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C9052F9B-68EB-420A-8CB5-EB27A9104A54}" xr6:coauthVersionLast="47" xr6:coauthVersionMax="47" xr10:uidLastSave="{00000000-0000-0000-0000-000000000000}"/>
  <bookViews>
    <workbookView xWindow="-110" yWindow="-110" windowWidth="38620" windowHeight="21100" firstSheet="0" activeTab="10" xr2:uid="{EB435307-C998-43AA-B9C1-44AC5F907F13}"/>
    <workbookView xWindow="38290" yWindow="-100" windowWidth="38620" windowHeight="21100" firstSheet="3" activeTab="12" xr2:uid="{78A22890-9293-44D3-90FA-09192B20EC6A}"/>
  </bookViews>
  <sheets>
    <sheet name="nexus_theme_level" sheetId="1" r:id="rId1"/>
    <sheet name="nexus_hall_level" sheetId="2" r:id="rId2"/>
    <sheet name="nexus_node_category" sheetId="3" r:id="rId3"/>
    <sheet name="nexus_node" sheetId="4" r:id="rId4"/>
    <sheet name="nexus_dic_story" sheetId="5" r:id="rId5"/>
    <sheet name="nexus_dic_event" sheetId="6" r:id="rId6"/>
    <sheet name="nexus_dic_relic" sheetId="7" r:id="rId7"/>
    <sheet name="nexus_dic_monster" sheetId="8" r:id="rId8"/>
    <sheet name="nexus_dic_reward" sheetId="9" r:id="rId9"/>
    <sheet name="nexus_normal_mission" sheetId="10" r:id="rId10"/>
    <sheet name="nexus_special_mission" sheetId="13" r:id="rId11"/>
    <sheet name="nexus_investment" sheetId="11" r:id="rId12"/>
    <sheet name="레퍼런스" sheetId="12" r:id="rId1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x:calcChain xmlns:x="http://schemas.openxmlformats.org/spreadsheetml/2006/main">
  <x:c r="A4" i="1"/>
  <x:c r="A5" i="1"/>
  <x:c r="E5" i="1"/>
  <x:c r="A6" i="1"/>
  <x:c r="E6" i="1"/>
  <x:c r="A7" i="1"/>
  <x:c r="E7" i="1"/>
  <x:c r="A8" i="1"/>
  <x:c r="E8" i="1"/>
  <x:c r="A9" i="1"/>
  <x:c r="E9" i="1"/>
  <x:c r="A10" i="1"/>
  <x:c r="E10" i="1"/>
  <x:c r="A11" i="1"/>
  <x:c r="E11" i="1"/>
  <x:c r="A12" i="1"/>
  <x:c r="E12" i="1"/>
  <x:c r="A13" i="1"/>
  <x:c r="E13" i="1"/>
  <x:c r="A14" i="1"/>
  <x:c r="E14" i="1"/>
  <x:c r="A15" i="1"/>
  <x:c r="E15" i="1"/>
  <x:c r="A16" i="1"/>
  <x:c r="E16" i="1"/>
  <x:c r="A17" i="1"/>
  <x:c r="E17" i="1"/>
  <x:c r="A18" i="1"/>
  <x:c r="E18" i="1"/>
  <x:c r="A19" i="1"/>
  <x:c r="E19" i="1"/>
  <x:c r="A20" i="1"/>
  <x:c r="E20" i="1"/>
  <x:c r="A21" i="1"/>
  <x:c r="E21" i="1"/>
  <x:c r="A22" i="1"/>
  <x:c r="E22" i="1"/>
  <x:c r="A23" i="1"/>
  <x:c r="E23" i="1"/>
  <x:c r="A24" i="1"/>
  <x:c r="E24" i="1"/>
  <x:c r="A25" i="1"/>
  <x:c r="E25" i="1"/>
  <x:c r="A26" i="1"/>
  <x:c r="E26" i="1"/>
  <x:c r="A27" i="1"/>
  <x:c r="E27" i="1"/>
  <x:c r="A28" i="1"/>
  <x:c r="E28" i="1"/>
  <x:c r="A29" i="1"/>
  <x:c r="E29" i="1"/>
  <x:c r="A30" i="1"/>
  <x:c r="E30" i="1"/>
  <x:c r="A31" i="1"/>
  <x:c r="E31" i="1"/>
  <x:c r="A32" i="1"/>
  <x:c r="E32" i="1"/>
  <x:c r="A33" i="1"/>
  <x:c r="E33" i="1"/>
  <x:c r="A34" i="1"/>
  <x:c r="E34" i="1"/>
  <x:c r="A35" i="1"/>
  <x:c r="E35" i="1"/>
  <x:c r="A36" i="1"/>
  <x:c r="E36" i="1"/>
  <x:c r="A37" i="1"/>
  <x:c r="E37" i="1"/>
  <x:c r="A38" i="1"/>
  <x:c r="E38" i="1"/>
  <x:c r="A39" i="1"/>
  <x:c r="E39" i="1"/>
  <x:c r="A40" i="1"/>
  <x:c r="E40" i="1"/>
  <x:c r="A41" i="1"/>
  <x:c r="E41" i="1"/>
  <x:c r="A42" i="1"/>
  <x:c r="E42" i="1"/>
  <x:c r="A43" i="1"/>
  <x:c r="E43" i="1"/>
  <x:c r="A44" i="1"/>
  <x:c r="E44" i="1"/>
  <x:c r="A45" i="1"/>
  <x:c r="E45" i="1"/>
  <x:c r="A46" i="1"/>
  <x:c r="E46" i="1"/>
  <x:c r="A47" i="1"/>
  <x:c r="E47" i="1"/>
  <x:c r="A48" i="1"/>
  <x:c r="E48" i="1"/>
  <x:c r="A49" i="1"/>
  <x:c r="E49" i="1"/>
  <x:c r="A50" i="1"/>
  <x:c r="E50" i="1"/>
  <x:c r="A51" i="1"/>
  <x:c r="E51" i="1"/>
  <x:c r="A52" i="1"/>
  <x:c r="E52" i="1"/>
  <x:c r="A53" i="1"/>
  <x:c r="E53" i="1"/>
  <x:c r="A54" i="1"/>
  <x:c r="E54" i="1"/>
  <x:c r="A55" i="1"/>
  <x:c r="E55" i="1"/>
  <x:c r="A56" i="1"/>
  <x:c r="E56" i="1"/>
  <x:c r="A57" i="1"/>
  <x:c r="E57" i="1"/>
  <x:c r="A58" i="1"/>
  <x:c r="E58" i="1"/>
  <x:c r="A59" i="1"/>
  <x:c r="E59" i="1"/>
  <x:c r="A60" i="1"/>
  <x:c r="E60" i="1"/>
  <x:c r="A61" i="1"/>
  <x:c r="E61" i="1"/>
  <x:c r="A62" i="1"/>
  <x:c r="E62" i="1"/>
  <x:c r="A63" i="1"/>
  <x:c r="E63" i="1"/>
  <x:c r="A64" i="1"/>
  <x:c r="E64" i="1"/>
  <x:c r="A65" i="1"/>
  <x:c r="E65" i="1"/>
  <x:c r="A66" i="1"/>
  <x:c r="E66" i="1"/>
  <x:c r="A67" i="1"/>
  <x:c r="E67" i="1"/>
  <x:c r="A68" i="1"/>
  <x:c r="E68" i="1"/>
  <x:c r="A69" i="1"/>
  <x:c r="E69" i="1"/>
  <x:c r="A70" i="1"/>
  <x:c r="E70" i="1"/>
  <x:c r="A71" i="1"/>
  <x:c r="E71" i="1"/>
  <x:c r="A72" i="1"/>
  <x:c r="E72" i="1"/>
  <x:c r="A73" i="1"/>
  <x:c r="E73" i="1"/>
  <x:c r="A74" i="1"/>
  <x:c r="E74" i="1"/>
  <x:c r="A75" i="1"/>
  <x:c r="E75" i="1"/>
  <x:c r="A76" i="1"/>
  <x:c r="E76" i="1"/>
  <x:c r="A77" i="1"/>
  <x:c r="E77" i="1"/>
  <x:c r="A78" i="1"/>
  <x:c r="E78" i="1"/>
  <x:c r="A79" i="1"/>
  <x:c r="E79" i="1"/>
  <x:c r="A80" i="1"/>
  <x:c r="E80" i="1"/>
  <x:c r="A81" i="1"/>
  <x:c r="E81" i="1"/>
  <x:c r="A82" i="1"/>
  <x:c r="E82" i="1"/>
  <x:c r="A83" i="1"/>
  <x:c r="E83" i="1"/>
  <x:c r="A84" i="1"/>
  <x:c r="E84" i="1"/>
  <x:c r="A85" i="1"/>
  <x:c r="E85" i="1"/>
  <x:c r="A86" i="1"/>
  <x:c r="E86" i="1"/>
  <x:c r="A87" i="1"/>
  <x:c r="E87" i="1"/>
  <x:c r="A88" i="1"/>
  <x:c r="E88" i="1"/>
  <x:c r="A89" i="1"/>
  <x:c r="E89" i="1"/>
  <x:c r="A90" i="1"/>
  <x:c r="E90" i="1"/>
  <x:c r="A91" i="1"/>
  <x:c r="E91" i="1"/>
  <x:c r="A92" i="1"/>
  <x:c r="E92" i="1"/>
  <x:c r="A93" i="1"/>
  <x:c r="E93" i="1"/>
  <x:c r="A94" i="1"/>
  <x:c r="E94" i="1"/>
  <x:c r="A95" i="1"/>
  <x:c r="E95" i="1"/>
  <x:c r="A96" i="1"/>
  <x:c r="E96" i="1"/>
  <x:c r="A97" i="1"/>
  <x:c r="E97" i="1"/>
  <x:c r="A98" i="1"/>
  <x:c r="E98" i="1"/>
  <x:c r="A99" i="1"/>
  <x:c r="E99" i="1"/>
  <x:c r="A100" i="1"/>
  <x:c r="E100" i="1"/>
  <x:c r="A101" i="1"/>
  <x:c r="E101" i="1"/>
  <x:c r="A102" i="1"/>
  <x:c r="E102" i="1"/>
  <x:c r="A103" i="1"/>
  <x:c r="E103" i="1"/>
  <x:c r="A4" i="2"/>
  <x:c r="A5" i="2"/>
  <x:c r="A6" i="2"/>
  <x:c r="A7" i="2"/>
  <x:c r="A8" i="2"/>
  <x:c r="A9" i="2"/>
  <x:c r="A10" i="2"/>
  <x:c r="A11" i="2"/>
  <x:c r="A12" i="2"/>
  <x:c r="A13" i="2"/>
  <x:c r="A4" i="3"/>
  <x:c r="F4" i="3"/>
  <x:c r="A5" i="3"/>
  <x:c r="F5" i="3"/>
  <x:c r="A6" i="3"/>
  <x:c r="F6" i="3"/>
  <x:c r="A7" i="3"/>
  <x:c r="F7" i="3"/>
  <x:c r="A4" i="4"/>
  <x:c r="E4" i="4"/>
  <x:c r="F4" i="4"/>
  <x:c r="T4" i="4"/>
  <x:c r="A5" i="4"/>
  <x:c r="E5" i="4"/>
  <x:c r="F5" i="4"/>
  <x:c r="T5" i="4"/>
  <x:c r="A6" i="4"/>
  <x:c r="E6" i="4"/>
  <x:c r="F6" i="4"/>
  <x:c r="T6" i="4"/>
  <x:c r="A7" i="4"/>
  <x:c r="E7" i="4"/>
  <x:c r="F7" i="4"/>
  <x:c r="T7" i="4"/>
  <x:c r="A8" i="4"/>
  <x:c r="E8" i="4"/>
  <x:c r="F8" i="4"/>
  <x:c r="T8" i="4"/>
  <x:c r="A9" i="4"/>
  <x:c r="E9" i="4"/>
  <x:c r="F9" i="4"/>
  <x:c r="T9" i="4"/>
  <x:c r="A10" i="4"/>
  <x:c r="E10" i="4"/>
  <x:c r="F10" i="4"/>
  <x:c r="T10" i="4"/>
  <x:c r="A11" i="4"/>
  <x:c r="E11" i="4"/>
  <x:c r="F11" i="4"/>
  <x:c r="T11" i="4"/>
  <x:c r="A12" i="4"/>
  <x:c r="E12" i="4"/>
  <x:c r="F12" i="4"/>
  <x:c r="T12" i="4"/>
  <x:c r="A13" i="4"/>
  <x:c r="E13" i="4"/>
  <x:c r="F13" i="4"/>
  <x:c r="T13" i="4"/>
  <x:c r="A14" i="4"/>
  <x:c r="E14" i="4"/>
  <x:c r="F14" i="4"/>
  <x:c r="T14" i="4"/>
  <x:c r="A15" i="4"/>
  <x:c r="E15" i="4"/>
  <x:c r="F15" i="4"/>
  <x:c r="T15" i="4"/>
  <x:c r="A16" i="4"/>
  <x:c r="E16" i="4"/>
  <x:c r="F16" i="4"/>
  <x:c r="T16" i="4"/>
  <x:c r="A17" i="4"/>
  <x:c r="E17" i="4"/>
  <x:c r="F17" i="4"/>
  <x:c r="T17" i="4"/>
  <x:c r="A18" i="4"/>
  <x:c r="E18" i="4"/>
  <x:c r="F18" i="4"/>
  <x:c r="T18" i="4"/>
  <x:c r="A19" i="4"/>
  <x:c r="E19" i="4"/>
  <x:c r="F19" i="4"/>
  <x:c r="T19" i="4"/>
  <x:c r="A20" i="4"/>
  <x:c r="E20" i="4"/>
  <x:c r="F20" i="4"/>
  <x:c r="T20" i="4"/>
  <x:c r="A21" i="4"/>
  <x:c r="E21" i="4"/>
  <x:c r="F21" i="4"/>
  <x:c r="T21" i="4"/>
  <x:c r="A22" i="4"/>
  <x:c r="E22" i="4"/>
  <x:c r="F22" i="4"/>
  <x:c r="T22" i="4"/>
  <x:c r="A23" i="4"/>
  <x:c r="E23" i="4"/>
  <x:c r="F23" i="4"/>
  <x:c r="T23" i="4"/>
  <x:c r="A24" i="4"/>
  <x:c r="E24" i="4"/>
  <x:c r="F24" i="4"/>
  <x:c r="T24" i="4"/>
  <x:c r="A25" i="4"/>
  <x:c r="E25" i="4"/>
  <x:c r="F25" i="4"/>
  <x:c r="T25" i="4"/>
  <x:c r="A26" i="4"/>
  <x:c r="E26" i="4"/>
  <x:c r="F26" i="4"/>
  <x:c r="T26" i="4"/>
  <x:c r="A27" i="4"/>
  <x:c r="E27" i="4"/>
  <x:c r="F27" i="4"/>
  <x:c r="T27" i="4"/>
  <x:c r="A28" i="4"/>
  <x:c r="E28" i="4"/>
  <x:c r="F28" i="4"/>
  <x:c r="T28" i="4"/>
  <x:c r="A29" i="4"/>
  <x:c r="E29" i="4"/>
  <x:c r="F29" i="4"/>
  <x:c r="T29" i="4"/>
  <x:c r="A30" i="4"/>
  <x:c r="E30" i="4"/>
  <x:c r="F30" i="4"/>
  <x:c r="T30" i="4"/>
  <x:c r="A31" i="4"/>
  <x:c r="E31" i="4"/>
  <x:c r="F31" i="4"/>
  <x:c r="T31" i="4"/>
  <x:c r="A32" i="4"/>
  <x:c r="E32" i="4"/>
  <x:c r="F32" i="4"/>
  <x:c r="T32" i="4"/>
  <x:c r="A33" i="4"/>
  <x:c r="E33" i="4"/>
  <x:c r="F33" i="4"/>
  <x:c r="T33" i="4"/>
  <x:c r="A34" i="4"/>
  <x:c r="E34" i="4"/>
  <x:c r="F34" i="4"/>
  <x:c r="T34" i="4"/>
  <x:c r="A35" i="4"/>
  <x:c r="E35" i="4"/>
  <x:c r="F35" i="4"/>
  <x:c r="T35" i="4"/>
  <x:c r="A36" i="4"/>
  <x:c r="E36" i="4"/>
  <x:c r="F36" i="4"/>
  <x:c r="T36" i="4"/>
  <x:c r="A37" i="4"/>
  <x:c r="E37" i="4"/>
  <x:c r="F37" i="4"/>
  <x:c r="T37" i="4"/>
  <x:c r="A38" i="4"/>
  <x:c r="E38" i="4"/>
  <x:c r="F38" i="4"/>
  <x:c r="T38" i="4"/>
  <x:c r="A39" i="4"/>
  <x:c r="E39" i="4"/>
  <x:c r="F39" i="4"/>
  <x:c r="T39" i="4"/>
  <x:c r="A40" i="4"/>
  <x:c r="E40" i="4"/>
  <x:c r="F40" i="4"/>
  <x:c r="T40" i="4"/>
  <x:c r="A41" i="4"/>
  <x:c r="E41" i="4"/>
  <x:c r="F41" i="4"/>
  <x:c r="T41" i="4"/>
  <x:c r="A42" i="4"/>
  <x:c r="E42" i="4"/>
  <x:c r="F42" i="4"/>
  <x:c r="T42" i="4"/>
  <x:c r="A43" i="4"/>
  <x:c r="E43" i="4"/>
  <x:c r="F43" i="4"/>
  <x:c r="T43" i="4"/>
  <x:c r="A44" i="4"/>
  <x:c r="E44" i="4"/>
  <x:c r="F44" i="4"/>
  <x:c r="T44" i="4"/>
  <x:c r="A45" i="4"/>
  <x:c r="E45" i="4"/>
  <x:c r="F45" i="4"/>
  <x:c r="T45" i="4"/>
  <x:c r="A46" i="4"/>
  <x:c r="E46" i="4"/>
  <x:c r="F46" i="4"/>
  <x:c r="T46" i="4"/>
  <x:c r="A47" i="4"/>
  <x:c r="E47" i="4"/>
  <x:c r="F47" i="4"/>
  <x:c r="T47" i="4"/>
  <x:c r="A48" i="4"/>
  <x:c r="E48" i="4"/>
  <x:c r="F48" i="4"/>
  <x:c r="T48" i="4"/>
  <x:c r="A49" i="4"/>
  <x:c r="E49" i="4"/>
  <x:c r="F49" i="4"/>
  <x:c r="T49" i="4"/>
  <x:c r="A50" i="4"/>
  <x:c r="E50" i="4"/>
  <x:c r="F50" i="4"/>
  <x:c r="T50" i="4"/>
  <x:c r="A51" i="4"/>
  <x:c r="E51" i="4"/>
  <x:c r="F51" i="4"/>
  <x:c r="T51" i="4"/>
  <x:c r="A52" i="4"/>
  <x:c r="E52" i="4"/>
  <x:c r="F52" i="4"/>
  <x:c r="T52" i="4"/>
  <x:c r="A53" i="4"/>
  <x:c r="E53" i="4"/>
  <x:c r="F53" i="4"/>
  <x:c r="T53" i="4"/>
  <x:c r="A54" i="4"/>
  <x:c r="E54" i="4"/>
  <x:c r="F54" i="4"/>
  <x:c r="T54" i="4"/>
  <x:c r="A55" i="4"/>
  <x:c r="E55" i="4"/>
  <x:c r="F55" i="4"/>
  <x:c r="T55" i="4"/>
  <x:c r="A56" i="4"/>
  <x:c r="E56" i="4"/>
  <x:c r="F56" i="4"/>
  <x:c r="T56" i="4"/>
  <x:c r="A57" i="4"/>
  <x:c r="E57" i="4"/>
  <x:c r="F57" i="4"/>
  <x:c r="T57" i="4"/>
  <x:c r="A58" i="4"/>
  <x:c r="E58" i="4"/>
  <x:c r="F58" i="4"/>
  <x:c r="T58" i="4"/>
  <x:c r="A59" i="4"/>
  <x:c r="E59" i="4"/>
  <x:c r="F59" i="4"/>
  <x:c r="T59" i="4"/>
  <x:c r="A60" i="4"/>
  <x:c r="E60" i="4"/>
  <x:c r="F60" i="4"/>
  <x:c r="T60" i="4"/>
  <x:c r="A61" i="4"/>
  <x:c r="E61" i="4"/>
  <x:c r="F61" i="4"/>
  <x:c r="T61" i="4"/>
  <x:c r="A62" i="4"/>
  <x:c r="E62" i="4"/>
  <x:c r="F62" i="4"/>
  <x:c r="T62" i="4"/>
  <x:c r="A63" i="4"/>
  <x:c r="E63" i="4"/>
  <x:c r="F63" i="4"/>
  <x:c r="T63" i="4"/>
  <x:c r="A64" i="4"/>
  <x:c r="E64" i="4"/>
  <x:c r="F64" i="4"/>
  <x:c r="T64" i="4"/>
  <x:c r="A65" i="4"/>
  <x:c r="E65" i="4"/>
  <x:c r="F65" i="4"/>
  <x:c r="T65" i="4"/>
  <x:c r="A66" i="4"/>
  <x:c r="E66" i="4"/>
  <x:c r="F66" i="4"/>
  <x:c r="T66" i="4"/>
  <x:c r="A67" i="4"/>
  <x:c r="E67" i="4"/>
  <x:c r="F67" i="4"/>
  <x:c r="T67" i="4"/>
  <x:c r="A68" i="4"/>
  <x:c r="E68" i="4"/>
  <x:c r="F68" i="4"/>
  <x:c r="T68" i="4"/>
  <x:c r="A69" i="4"/>
  <x:c r="E69" i="4"/>
  <x:c r="F69" i="4"/>
  <x:c r="T69" i="4"/>
  <x:c r="A70" i="4"/>
  <x:c r="E70" i="4"/>
  <x:c r="F70" i="4"/>
  <x:c r="T70" i="4"/>
  <x:c r="A71" i="4"/>
  <x:c r="E71" i="4"/>
  <x:c r="F71" i="4"/>
  <x:c r="T71" i="4"/>
  <x:c r="A72" i="4"/>
  <x:c r="E72" i="4"/>
  <x:c r="F72" i="4"/>
  <x:c r="T72" i="4"/>
  <x:c r="A73" i="4"/>
  <x:c r="E73" i="4"/>
  <x:c r="F73" i="4"/>
  <x:c r="T73" i="4"/>
  <x:c r="A74" i="4"/>
  <x:c r="E74" i="4"/>
  <x:c r="F74" i="4"/>
  <x:c r="T74" i="4"/>
  <x:c r="A75" i="4"/>
  <x:c r="E75" i="4"/>
  <x:c r="F75" i="4"/>
  <x:c r="T75" i="4"/>
  <x:c r="A76" i="4"/>
  <x:c r="E76" i="4"/>
  <x:c r="F76" i="4"/>
  <x:c r="T76" i="4"/>
  <x:c r="A77" i="4"/>
  <x:c r="E77" i="4"/>
  <x:c r="F77" i="4"/>
  <x:c r="T77" i="4"/>
  <x:c r="A78" i="4"/>
  <x:c r="E78" i="4"/>
  <x:c r="F78" i="4"/>
  <x:c r="T78" i="4"/>
  <x:c r="A79" i="4"/>
  <x:c r="E79" i="4"/>
  <x:c r="F79" i="4"/>
  <x:c r="T79" i="4"/>
  <x:c r="A80" i="4"/>
  <x:c r="E80" i="4"/>
  <x:c r="F80" i="4"/>
  <x:c r="T80" i="4"/>
  <x:c r="A81" i="4"/>
  <x:c r="E81" i="4"/>
  <x:c r="F81" i="4"/>
  <x:c r="T81" i="4"/>
  <x:c r="A82" i="4"/>
  <x:c r="E82" i="4"/>
  <x:c r="F82" i="4"/>
  <x:c r="T82" i="4"/>
  <x:c r="A83" i="4"/>
  <x:c r="E83" i="4"/>
  <x:c r="F83" i="4"/>
  <x:c r="T83" i="4"/>
  <x:c r="A84" i="4"/>
  <x:c r="E84" i="4"/>
  <x:c r="F84" i="4"/>
  <x:c r="T84" i="4"/>
  <x:c r="A85" i="4"/>
  <x:c r="E85" i="4"/>
  <x:c r="F85" i="4"/>
  <x:c r="T85" i="4"/>
  <x:c r="A86" i="4"/>
  <x:c r="E86" i="4"/>
  <x:c r="F86" i="4"/>
  <x:c r="T86" i="4"/>
  <x:c r="A87" i="4"/>
  <x:c r="E87" i="4"/>
  <x:c r="F87" i="4"/>
  <x:c r="T87" i="4"/>
  <x:c r="A88" i="4"/>
  <x:c r="E88" i="4"/>
  <x:c r="F88" i="4"/>
  <x:c r="T88" i="4"/>
  <x:c r="A89" i="4"/>
  <x:c r="E89" i="4"/>
  <x:c r="F89" i="4"/>
  <x:c r="T89" i="4"/>
  <x:c r="A90" i="4"/>
  <x:c r="E90" i="4"/>
  <x:c r="F90" i="4"/>
  <x:c r="T90" i="4"/>
  <x:c r="A91" i="4"/>
  <x:c r="E91" i="4"/>
  <x:c r="F91" i="4"/>
  <x:c r="T91" i="4"/>
  <x:c r="A92" i="4"/>
  <x:c r="E92" i="4"/>
  <x:c r="F92" i="4"/>
  <x:c r="T92" i="4"/>
  <x:c r="A93" i="4"/>
  <x:c r="E93" i="4"/>
  <x:c r="F93" i="4"/>
  <x:c r="T93" i="4"/>
  <x:c r="A94" i="4"/>
  <x:c r="E94" i="4"/>
  <x:c r="F94" i="4"/>
  <x:c r="T94" i="4"/>
  <x:c r="A95" i="4"/>
  <x:c r="E95" i="4"/>
  <x:c r="F95" i="4"/>
  <x:c r="T95" i="4"/>
  <x:c r="A96" i="4"/>
  <x:c r="E96" i="4"/>
  <x:c r="F96" i="4"/>
  <x:c r="T96" i="4"/>
  <x:c r="A97" i="4"/>
  <x:c r="E97" i="4"/>
  <x:c r="F97" i="4"/>
  <x:c r="T97" i="4"/>
  <x:c r="A98" i="4"/>
  <x:c r="E98" i="4"/>
  <x:c r="F98" i="4"/>
  <x:c r="T98" i="4"/>
  <x:c r="A99" i="4"/>
  <x:c r="E99" i="4"/>
  <x:c r="F99" i="4"/>
  <x:c r="T99" i="4"/>
  <x:c r="A100" i="4"/>
  <x:c r="E100" i="4"/>
  <x:c r="F100" i="4"/>
  <x:c r="T100" i="4"/>
  <x:c r="A101" i="4"/>
  <x:c r="E101" i="4"/>
  <x:c r="F101" i="4"/>
  <x:c r="T101" i="4"/>
  <x:c r="A102" i="4"/>
  <x:c r="E102" i="4"/>
  <x:c r="F102" i="4"/>
  <x:c r="T102" i="4"/>
  <x:c r="A103" i="4"/>
  <x:c r="E103" i="4"/>
  <x:c r="F103" i="4"/>
  <x:c r="T103" i="4"/>
  <x:c r="A104" i="4"/>
  <x:c r="E104" i="4"/>
  <x:c r="F104" i="4"/>
  <x:c r="T104" i="4"/>
  <x:c r="A105" i="4"/>
  <x:c r="E105" i="4"/>
  <x:c r="F105" i="4"/>
  <x:c r="T105" i="4"/>
  <x:c r="A106" i="4"/>
  <x:c r="E106" i="4"/>
  <x:c r="F106" i="4"/>
  <x:c r="T106" i="4"/>
  <x:c r="A107" i="4"/>
  <x:c r="E107" i="4"/>
  <x:c r="F107" i="4"/>
  <x:c r="T107" i="4"/>
  <x:c r="A108" i="4"/>
  <x:c r="E108" i="4"/>
  <x:c r="F108" i="4"/>
  <x:c r="T108" i="4"/>
  <x:c r="A109" i="4"/>
  <x:c r="E109" i="4"/>
  <x:c r="F109" i="4"/>
  <x:c r="T109" i="4"/>
  <x:c r="A110" i="4"/>
  <x:c r="E110" i="4"/>
  <x:c r="F110" i="4"/>
  <x:c r="T110" i="4"/>
  <x:c r="A111" i="4"/>
  <x:c r="E111" i="4"/>
  <x:c r="F111" i="4"/>
  <x:c r="T111" i="4"/>
  <x:c r="A112" i="4"/>
  <x:c r="E112" i="4"/>
  <x:c r="F112" i="4"/>
  <x:c r="T112" i="4"/>
  <x:c r="A113" i="4"/>
  <x:c r="E113" i="4"/>
  <x:c r="F113" i="4"/>
  <x:c r="T113" i="4"/>
  <x:c r="A114" i="4"/>
  <x:c r="E114" i="4"/>
  <x:c r="F114" i="4"/>
  <x:c r="T114" i="4"/>
  <x:c r="A115" i="4"/>
  <x:c r="E115" i="4"/>
  <x:c r="F115" i="4"/>
  <x:c r="T115" i="4"/>
  <x:c r="A116" i="4"/>
  <x:c r="E116" i="4"/>
  <x:c r="F116" i="4"/>
  <x:c r="T116" i="4"/>
  <x:c r="A117" i="4"/>
  <x:c r="E117" i="4"/>
  <x:c r="F117" i="4"/>
  <x:c r="T117" i="4"/>
  <x:c r="A118" i="4"/>
  <x:c r="E118" i="4"/>
  <x:c r="F118" i="4"/>
  <x:c r="T118" i="4"/>
  <x:c r="A119" i="4"/>
  <x:c r="E119" i="4"/>
  <x:c r="F119" i="4"/>
  <x:c r="T119" i="4"/>
  <x:c r="A120" i="4"/>
  <x:c r="E120" i="4"/>
  <x:c r="F120" i="4"/>
  <x:c r="T120" i="4"/>
  <x:c r="A121" i="4"/>
  <x:c r="E121" i="4"/>
  <x:c r="F121" i="4"/>
  <x:c r="T121" i="4"/>
  <x:c r="A122" i="4"/>
  <x:c r="E122" i="4"/>
  <x:c r="F122" i="4"/>
  <x:c r="T122" i="4"/>
  <x:c r="A123" i="4"/>
  <x:c r="E123" i="4"/>
  <x:c r="F123" i="4"/>
  <x:c r="T123" i="4"/>
  <x:c r="A124" i="4"/>
  <x:c r="E124" i="4"/>
  <x:c r="F124" i="4"/>
  <x:c r="T124" i="4"/>
  <x:c r="A125" i="4"/>
  <x:c r="E125" i="4"/>
  <x:c r="F125" i="4"/>
  <x:c r="T125" i="4"/>
  <x:c r="A126" i="4"/>
  <x:c r="E126" i="4"/>
  <x:c r="F126" i="4"/>
  <x:c r="T126" i="4"/>
  <x:c r="A127" i="4"/>
  <x:c r="E127" i="4"/>
  <x:c r="F127" i="4"/>
  <x:c r="T127" i="4"/>
  <x:c r="A128" i="4"/>
  <x:c r="E128" i="4"/>
  <x:c r="F128" i="4"/>
  <x:c r="T128" i="4"/>
  <x:c r="A129" i="4"/>
  <x:c r="E129" i="4"/>
  <x:c r="F129" i="4"/>
  <x:c r="T129" i="4"/>
  <x:c r="A130" i="4"/>
  <x:c r="E130" i="4"/>
  <x:c r="F130" i="4"/>
  <x:c r="T130" i="4"/>
  <x:c r="A131" i="4"/>
  <x:c r="E131" i="4"/>
  <x:c r="F131" i="4"/>
  <x:c r="T131" i="4"/>
  <x:c r="A132" i="4"/>
  <x:c r="E132" i="4"/>
  <x:c r="F132" i="4"/>
  <x:c r="T132" i="4"/>
  <x:c r="A133" i="4"/>
  <x:c r="E133" i="4"/>
  <x:c r="F133" i="4"/>
  <x:c r="T133" i="4"/>
  <x:c r="A134" i="4"/>
  <x:c r="E134" i="4"/>
  <x:c r="F134" i="4"/>
  <x:c r="T134" i="4"/>
  <x:c r="A135" i="4"/>
  <x:c r="E135" i="4"/>
  <x:c r="F135" i="4"/>
  <x:c r="T135" i="4"/>
  <x:c r="A136" i="4"/>
  <x:c r="E136" i="4"/>
  <x:c r="F136" i="4"/>
  <x:c r="T136" i="4"/>
  <x:c r="A137" i="4"/>
  <x:c r="E137" i="4"/>
  <x:c r="F137" i="4"/>
  <x:c r="T137" i="4"/>
  <x:c r="A138" i="4"/>
  <x:c r="E138" i="4"/>
  <x:c r="F138" i="4"/>
  <x:c r="T138" i="4"/>
  <x:c r="A139" i="4"/>
  <x:c r="E139" i="4"/>
  <x:c r="F139" i="4"/>
  <x:c r="T139" i="4"/>
  <x:c r="A140" i="4"/>
  <x:c r="E140" i="4"/>
  <x:c r="F140" i="4"/>
  <x:c r="T140" i="4"/>
  <x:c r="A141" i="4"/>
  <x:c r="E141" i="4"/>
  <x:c r="F141" i="4"/>
  <x:c r="T141" i="4"/>
  <x:c r="A142" i="4"/>
  <x:c r="E142" i="4"/>
  <x:c r="F142" i="4"/>
  <x:c r="T142" i="4"/>
  <x:c r="A143" i="4"/>
  <x:c r="E143" i="4"/>
  <x:c r="F143" i="4"/>
  <x:c r="T143" i="4"/>
  <x:c r="A144" i="4"/>
  <x:c r="E144" i="4"/>
  <x:c r="F144" i="4"/>
  <x:c r="T144" i="4"/>
  <x:c r="A145" i="4"/>
  <x:c r="E145" i="4"/>
  <x:c r="F145" i="4"/>
  <x:c r="T145" i="4"/>
  <x:c r="A146" i="4"/>
  <x:c r="E146" i="4"/>
  <x:c r="F146" i="4"/>
  <x:c r="T146" i="4"/>
  <x:c r="A147" i="4"/>
  <x:c r="E147" i="4"/>
  <x:c r="F147" i="4"/>
  <x:c r="T147" i="4"/>
  <x:c r="A148" i="4"/>
  <x:c r="E148" i="4"/>
  <x:c r="F148" i="4"/>
  <x:c r="T148" i="4"/>
  <x:c r="A149" i="4"/>
  <x:c r="E149" i="4"/>
  <x:c r="F149" i="4"/>
  <x:c r="T149" i="4"/>
  <x:c r="A150" i="4"/>
  <x:c r="E150" i="4"/>
  <x:c r="F150" i="4"/>
  <x:c r="T150" i="4"/>
  <x:c r="A151" i="4"/>
  <x:c r="E151" i="4"/>
  <x:c r="F151" i="4"/>
  <x:c r="T151" i="4"/>
  <x:c r="A152" i="4"/>
  <x:c r="E152" i="4"/>
  <x:c r="F152" i="4"/>
  <x:c r="T152" i="4"/>
  <x:c r="A153" i="4"/>
  <x:c r="E153" i="4"/>
  <x:c r="F153" i="4"/>
  <x:c r="T153" i="4"/>
  <x:c r="A154" i="4"/>
  <x:c r="E154" i="4"/>
  <x:c r="F154" i="4"/>
  <x:c r="T154" i="4"/>
  <x:c r="A155" i="4"/>
  <x:c r="E155" i="4"/>
  <x:c r="F155" i="4"/>
  <x:c r="T155" i="4"/>
  <x:c r="A156" i="4"/>
  <x:c r="E156" i="4"/>
  <x:c r="F156" i="4"/>
  <x:c r="T156" i="4"/>
  <x:c r="A157" i="4"/>
  <x:c r="E157" i="4"/>
  <x:c r="F157" i="4"/>
  <x:c r="T157" i="4"/>
  <x:c r="A158" i="4"/>
  <x:c r="E158" i="4"/>
  <x:c r="F158" i="4"/>
  <x:c r="T158" i="4"/>
  <x:c r="A159" i="4"/>
  <x:c r="E159" i="4"/>
  <x:c r="F159" i="4"/>
  <x:c r="T159" i="4"/>
  <x:c r="A160" i="4"/>
  <x:c r="E160" i="4"/>
  <x:c r="F160" i="4"/>
  <x:c r="T160" i="4"/>
  <x:c r="A161" i="4"/>
  <x:c r="E161" i="4"/>
  <x:c r="F161" i="4"/>
  <x:c r="T161" i="4"/>
  <x:c r="A162" i="4"/>
  <x:c r="E162" i="4"/>
  <x:c r="F162" i="4"/>
  <x:c r="T162" i="4"/>
  <x:c r="A163" i="4"/>
  <x:c r="E163" i="4"/>
  <x:c r="F163" i="4"/>
  <x:c r="T163" i="4"/>
  <x:c r="A164" i="4"/>
  <x:c r="E164" i="4"/>
  <x:c r="F164" i="4"/>
  <x:c r="T164" i="4"/>
  <x:c r="A165" i="4"/>
  <x:c r="E165" i="4"/>
  <x:c r="F165" i="4"/>
  <x:c r="T165" i="4"/>
  <x:c r="A166" i="4"/>
  <x:c r="E166" i="4"/>
  <x:c r="F166" i="4"/>
  <x:c r="T166" i="4"/>
  <x:c r="A167" i="4"/>
  <x:c r="E167" i="4"/>
  <x:c r="F167" i="4"/>
  <x:c r="T167" i="4"/>
  <x:c r="A168" i="4"/>
  <x:c r="E168" i="4"/>
  <x:c r="F168" i="4"/>
  <x:c r="T168" i="4"/>
  <x:c r="A169" i="4"/>
  <x:c r="E169" i="4"/>
  <x:c r="F169" i="4"/>
  <x:c r="T169" i="4"/>
  <x:c r="A170" i="4"/>
  <x:c r="E170" i="4"/>
  <x:c r="F170" i="4"/>
  <x:c r="T170" i="4"/>
  <x:c r="A171" i="4"/>
  <x:c r="E171" i="4"/>
  <x:c r="F171" i="4"/>
  <x:c r="T171" i="4"/>
  <x:c r="A172" i="4"/>
  <x:c r="E172" i="4"/>
  <x:c r="F172" i="4"/>
  <x:c r="T172" i="4"/>
  <x:c r="A173" i="4"/>
  <x:c r="E173" i="4"/>
  <x:c r="F173" i="4"/>
  <x:c r="T173" i="4"/>
  <x:c r="A174" i="4"/>
  <x:c r="E174" i="4"/>
  <x:c r="F174" i="4"/>
  <x:c r="T174" i="4"/>
  <x:c r="A175" i="4"/>
  <x:c r="E175" i="4"/>
  <x:c r="F175" i="4"/>
  <x:c r="T175" i="4"/>
  <x:c r="A176" i="4"/>
  <x:c r="E176" i="4"/>
  <x:c r="F176" i="4"/>
  <x:c r="T176" i="4"/>
  <x:c r="A177" i="4"/>
  <x:c r="E177" i="4"/>
  <x:c r="F177" i="4"/>
  <x:c r="T177" i="4"/>
  <x:c r="A178" i="4"/>
  <x:c r="E178" i="4"/>
  <x:c r="F178" i="4"/>
  <x:c r="T178" i="4"/>
  <x:c r="A179" i="4"/>
  <x:c r="E179" i="4"/>
  <x:c r="F179" i="4"/>
  <x:c r="T179" i="4"/>
  <x:c r="A180" i="4"/>
  <x:c r="E180" i="4"/>
  <x:c r="F180" i="4"/>
  <x:c r="T180" i="4"/>
  <x:c r="A181" i="4"/>
  <x:c r="E181" i="4"/>
  <x:c r="F181" i="4"/>
  <x:c r="T181" i="4"/>
  <x:c r="A182" i="4"/>
  <x:c r="E182" i="4"/>
  <x:c r="F182" i="4"/>
  <x:c r="T182" i="4"/>
  <x:c r="A183" i="4"/>
  <x:c r="E183" i="4"/>
  <x:c r="F183" i="4"/>
  <x:c r="T183" i="4"/>
  <x:c r="A184" i="4"/>
  <x:c r="E184" i="4"/>
  <x:c r="F184" i="4"/>
  <x:c r="T184" i="4"/>
  <x:c r="A185" i="4"/>
  <x:c r="E185" i="4"/>
  <x:c r="F185" i="4"/>
  <x:c r="T185" i="4"/>
  <x:c r="A186" i="4"/>
  <x:c r="E186" i="4"/>
  <x:c r="F186" i="4"/>
  <x:c r="T186" i="4"/>
  <x:c r="A187" i="4"/>
  <x:c r="E187" i="4"/>
  <x:c r="F187" i="4"/>
  <x:c r="T187" i="4"/>
  <x:c r="A188" i="4"/>
  <x:c r="E188" i="4"/>
  <x:c r="F188" i="4"/>
  <x:c r="T188" i="4"/>
  <x:c r="A189" i="4"/>
  <x:c r="E189" i="4"/>
  <x:c r="F189" i="4"/>
  <x:c r="T189" i="4"/>
  <x:c r="A190" i="4"/>
  <x:c r="E190" i="4"/>
  <x:c r="F190" i="4"/>
  <x:c r="T190" i="4"/>
  <x:c r="A191" i="4"/>
  <x:c r="E191" i="4"/>
  <x:c r="F191" i="4"/>
  <x:c r="T191" i="4"/>
  <x:c r="A192" i="4"/>
  <x:c r="E192" i="4"/>
  <x:c r="F192" i="4"/>
  <x:c r="T192" i="4"/>
  <x:c r="A193" i="4"/>
  <x:c r="E193" i="4"/>
  <x:c r="F193" i="4"/>
  <x:c r="T193" i="4"/>
  <x:c r="A194" i="4"/>
  <x:c r="E194" i="4"/>
  <x:c r="F194" i="4"/>
  <x:c r="T194" i="4"/>
  <x:c r="A195" i="4"/>
  <x:c r="E195" i="4"/>
  <x:c r="F195" i="4"/>
  <x:c r="T195" i="4"/>
  <x:c r="A196" i="4"/>
  <x:c r="E196" i="4"/>
  <x:c r="F196" i="4"/>
  <x:c r="T196" i="4"/>
  <x:c r="A197" i="4"/>
  <x:c r="E197" i="4"/>
  <x:c r="F197" i="4"/>
  <x:c r="T197" i="4"/>
  <x:c r="A198" i="4"/>
  <x:c r="E198" i="4"/>
  <x:c r="F198" i="4"/>
  <x:c r="T198" i="4"/>
  <x:c r="A199" i="4"/>
  <x:c r="E199" i="4"/>
  <x:c r="F199" i="4"/>
  <x:c r="T199" i="4"/>
  <x:c r="A200" i="4"/>
  <x:c r="E200" i="4"/>
  <x:c r="F200" i="4"/>
  <x:c r="T200" i="4"/>
  <x:c r="A201" i="4"/>
  <x:c r="E201" i="4"/>
  <x:c r="F201" i="4"/>
  <x:c r="T201" i="4"/>
  <x:c r="A202" i="4"/>
  <x:c r="E202" i="4"/>
  <x:c r="F202" i="4"/>
  <x:c r="T202" i="4"/>
  <x:c r="A203" i="4"/>
  <x:c r="E203" i="4"/>
  <x:c r="F203" i="4"/>
  <x:c r="T203" i="4"/>
  <x:c r="A204" i="4"/>
  <x:c r="E204" i="4"/>
  <x:c r="F204" i="4"/>
  <x:c r="T204" i="4"/>
  <x:c r="A205" i="4"/>
  <x:c r="E205" i="4"/>
  <x:c r="F205" i="4"/>
  <x:c r="T205" i="4"/>
  <x:c r="A206" i="4"/>
  <x:c r="E206" i="4"/>
  <x:c r="F206" i="4"/>
  <x:c r="T206" i="4"/>
  <x:c r="A207" i="4"/>
  <x:c r="E207" i="4"/>
  <x:c r="F207" i="4"/>
  <x:c r="T207" i="4"/>
  <x:c r="A208" i="4"/>
  <x:c r="E208" i="4"/>
  <x:c r="F208" i="4"/>
  <x:c r="T208" i="4"/>
  <x:c r="A209" i="4"/>
  <x:c r="E209" i="4"/>
  <x:c r="F209" i="4"/>
  <x:c r="T209" i="4"/>
  <x:c r="A210" i="4"/>
  <x:c r="E210" i="4"/>
  <x:c r="F210" i="4"/>
  <x:c r="T210" i="4"/>
  <x:c r="A211" i="4"/>
  <x:c r="E211" i="4"/>
  <x:c r="F211" i="4"/>
  <x:c r="T211" i="4"/>
  <x:c r="A212" i="4"/>
  <x:c r="E212" i="4"/>
  <x:c r="F212" i="4"/>
  <x:c r="T212" i="4"/>
  <x:c r="A213" i="4"/>
  <x:c r="E213" i="4"/>
  <x:c r="F213" i="4"/>
  <x:c r="T213" i="4"/>
  <x:c r="A214" i="4"/>
  <x:c r="E214" i="4"/>
  <x:c r="F214" i="4"/>
  <x:c r="T214" i="4"/>
  <x:c r="A215" i="4"/>
  <x:c r="E215" i="4"/>
  <x:c r="F215" i="4"/>
  <x:c r="T215" i="4"/>
  <x:c r="A216" i="4"/>
  <x:c r="E216" i="4"/>
  <x:c r="F216" i="4"/>
  <x:c r="T216" i="4"/>
  <x:c r="A217" i="4"/>
  <x:c r="E217" i="4"/>
  <x:c r="F217" i="4"/>
  <x:c r="T217" i="4"/>
  <x:c r="A218" i="4"/>
  <x:c r="E218" i="4"/>
  <x:c r="F218" i="4"/>
  <x:c r="T218" i="4"/>
  <x:c r="A219" i="4"/>
  <x:c r="E219" i="4"/>
  <x:c r="F219" i="4"/>
  <x:c r="T219" i="4"/>
  <x:c r="A220" i="4"/>
  <x:c r="E220" i="4"/>
  <x:c r="F220" i="4"/>
  <x:c r="T220" i="4"/>
  <x:c r="A221" i="4"/>
  <x:c r="E221" i="4"/>
  <x:c r="F221" i="4"/>
  <x:c r="T221" i="4"/>
  <x:c r="A222" i="4"/>
  <x:c r="E222" i="4"/>
  <x:c r="F222" i="4"/>
  <x:c r="T222" i="4"/>
  <x:c r="A223" i="4"/>
  <x:c r="E223" i="4"/>
  <x:c r="F223" i="4"/>
  <x:c r="T223" i="4"/>
  <x:c r="A224" i="4"/>
  <x:c r="E224" i="4"/>
  <x:c r="F224" i="4"/>
  <x:c r="T224" i="4"/>
  <x:c r="A225" i="4"/>
  <x:c r="E225" i="4"/>
  <x:c r="F225" i="4"/>
  <x:c r="T225" i="4"/>
  <x:c r="A226" i="4"/>
  <x:c r="E226" i="4"/>
  <x:c r="F226" i="4"/>
  <x:c r="T226" i="4"/>
  <x:c r="A227" i="4"/>
  <x:c r="E227" i="4"/>
  <x:c r="F227" i="4"/>
  <x:c r="T227" i="4"/>
  <x:c r="A228" i="4"/>
  <x:c r="E228" i="4"/>
  <x:c r="F228" i="4"/>
  <x:c r="T228" i="4"/>
  <x:c r="A229" i="4"/>
  <x:c r="E229" i="4"/>
  <x:c r="F229" i="4"/>
  <x:c r="T229" i="4"/>
  <x:c r="A230" i="4"/>
  <x:c r="E230" i="4"/>
  <x:c r="F230" i="4"/>
  <x:c r="T230" i="4"/>
  <x:c r="A231" i="4"/>
  <x:c r="E231" i="4"/>
  <x:c r="F231" i="4"/>
  <x:c r="T231" i="4"/>
  <x:c r="A232" i="4"/>
  <x:c r="E232" i="4"/>
  <x:c r="F232" i="4"/>
  <x:c r="T232" i="4"/>
  <x:c r="A233" i="4"/>
  <x:c r="E233" i="4"/>
  <x:c r="F233" i="4"/>
  <x:c r="T233" i="4"/>
  <x:c r="A234" i="4"/>
  <x:c r="E234" i="4"/>
  <x:c r="F234" i="4"/>
  <x:c r="T234" i="4"/>
  <x:c r="A235" i="4"/>
  <x:c r="E235" i="4"/>
  <x:c r="F235" i="4"/>
  <x:c r="T235" i="4"/>
  <x:c r="A236" i="4"/>
  <x:c r="E236" i="4"/>
  <x:c r="F236" i="4"/>
  <x:c r="T236" i="4"/>
  <x:c r="A237" i="4"/>
  <x:c r="E237" i="4"/>
  <x:c r="F237" i="4"/>
  <x:c r="T237" i="4"/>
  <x:c r="A238" i="4"/>
  <x:c r="E238" i="4"/>
  <x:c r="F238" i="4"/>
  <x:c r="T238" i="4"/>
  <x:c r="A239" i="4"/>
  <x:c r="E239" i="4"/>
  <x:c r="F239" i="4"/>
  <x:c r="T239" i="4"/>
  <x:c r="A240" i="4"/>
  <x:c r="E240" i="4"/>
  <x:c r="F240" i="4"/>
  <x:c r="T240" i="4"/>
  <x:c r="A241" i="4"/>
  <x:c r="E241" i="4"/>
  <x:c r="F241" i="4"/>
  <x:c r="T241" i="4"/>
  <x:c r="A242" i="4"/>
  <x:c r="E242" i="4"/>
  <x:c r="F242" i="4"/>
  <x:c r="T242" i="4"/>
  <x:c r="A243" i="4"/>
  <x:c r="E243" i="4"/>
  <x:c r="F243" i="4"/>
  <x:c r="T243" i="4"/>
  <x:c r="A244" i="4"/>
  <x:c r="E244" i="4"/>
  <x:c r="F244" i="4"/>
  <x:c r="T244" i="4"/>
  <x:c r="A245" i="4"/>
  <x:c r="E245" i="4"/>
  <x:c r="F245" i="4"/>
  <x:c r="T245" i="4"/>
  <x:c r="A246" i="4"/>
  <x:c r="E246" i="4"/>
  <x:c r="F246" i="4"/>
  <x:c r="T246" i="4"/>
  <x:c r="A247" i="4"/>
  <x:c r="E247" i="4"/>
  <x:c r="F247" i="4"/>
  <x:c r="T247" i="4"/>
  <x:c r="A248" i="4"/>
  <x:c r="E248" i="4"/>
  <x:c r="F248" i="4"/>
  <x:c r="T248" i="4"/>
  <x:c r="A249" i="4"/>
  <x:c r="E249" i="4"/>
  <x:c r="F249" i="4"/>
  <x:c r="T249" i="4"/>
  <x:c r="A250" i="4"/>
  <x:c r="E250" i="4"/>
  <x:c r="F250" i="4"/>
  <x:c r="T250" i="4"/>
  <x:c r="A251" i="4"/>
  <x:c r="E251" i="4"/>
  <x:c r="F251" i="4"/>
  <x:c r="T251" i="4"/>
  <x:c r="A252" i="4"/>
  <x:c r="E252" i="4"/>
  <x:c r="F252" i="4"/>
  <x:c r="T252" i="4"/>
  <x:c r="A253" i="4"/>
  <x:c r="E253" i="4"/>
  <x:c r="F253" i="4"/>
  <x:c r="T253" i="4"/>
  <x:c r="A254" i="4"/>
  <x:c r="E254" i="4"/>
  <x:c r="F254" i="4"/>
  <x:c r="T254" i="4"/>
  <x:c r="A255" i="4"/>
  <x:c r="E255" i="4"/>
  <x:c r="F255" i="4"/>
  <x:c r="T255" i="4"/>
  <x:c r="A256" i="4"/>
  <x:c r="E256" i="4"/>
  <x:c r="F256" i="4"/>
  <x:c r="T256" i="4"/>
  <x:c r="A257" i="4"/>
  <x:c r="E257" i="4"/>
  <x:c r="F257" i="4"/>
  <x:c r="T257" i="4"/>
  <x:c r="A258" i="4"/>
  <x:c r="E258" i="4"/>
  <x:c r="F258" i="4"/>
  <x:c r="T258" i="4"/>
  <x:c r="A259" i="4"/>
  <x:c r="E259" i="4"/>
  <x:c r="F259" i="4"/>
  <x:c r="T259" i="4"/>
  <x:c r="A260" i="4"/>
  <x:c r="E260" i="4"/>
  <x:c r="F260" i="4"/>
  <x:c r="T260" i="4"/>
  <x:c r="A261" i="4"/>
  <x:c r="E261" i="4"/>
  <x:c r="F261" i="4"/>
  <x:c r="T261" i="4"/>
  <x:c r="A262" i="4"/>
  <x:c r="E262" i="4"/>
  <x:c r="F262" i="4"/>
  <x:c r="T262" i="4"/>
  <x:c r="A263" i="4"/>
  <x:c r="E263" i="4"/>
  <x:c r="F263" i="4"/>
  <x:c r="T263" i="4"/>
  <x:c r="A264" i="4"/>
  <x:c r="E264" i="4"/>
  <x:c r="F264" i="4"/>
  <x:c r="T264" i="4"/>
  <x:c r="A265" i="4"/>
  <x:c r="E265" i="4"/>
  <x:c r="F265" i="4"/>
  <x:c r="T265" i="4"/>
  <x:c r="A266" i="4"/>
  <x:c r="E266" i="4"/>
  <x:c r="F266" i="4"/>
  <x:c r="T266" i="4"/>
  <x:c r="A267" i="4"/>
  <x:c r="E267" i="4"/>
  <x:c r="F267" i="4"/>
  <x:c r="T267" i="4"/>
  <x:c r="A268" i="4"/>
  <x:c r="E268" i="4"/>
  <x:c r="F268" i="4"/>
  <x:c r="T268" i="4"/>
  <x:c r="A269" i="4"/>
  <x:c r="E269" i="4"/>
  <x:c r="F269" i="4"/>
  <x:c r="T269" i="4"/>
  <x:c r="A270" i="4"/>
  <x:c r="E270" i="4"/>
  <x:c r="F270" i="4"/>
  <x:c r="T270" i="4"/>
  <x:c r="A271" i="4"/>
  <x:c r="E271" i="4"/>
  <x:c r="F271" i="4"/>
  <x:c r="T271" i="4"/>
  <x:c r="A272" i="4"/>
  <x:c r="E272" i="4"/>
  <x:c r="F272" i="4"/>
  <x:c r="T272" i="4"/>
  <x:c r="A273" i="4"/>
  <x:c r="E273" i="4"/>
  <x:c r="F273" i="4"/>
  <x:c r="T273" i="4"/>
  <x:c r="A274" i="4"/>
  <x:c r="E274" i="4"/>
  <x:c r="F274" i="4"/>
  <x:c r="T274" i="4"/>
  <x:c r="A275" i="4"/>
  <x:c r="E275" i="4"/>
  <x:c r="F275" i="4"/>
  <x:c r="T275" i="4"/>
  <x:c r="A276" i="4"/>
  <x:c r="E276" i="4"/>
  <x:c r="F276" i="4"/>
  <x:c r="T276" i="4"/>
  <x:c r="A277" i="4"/>
  <x:c r="E277" i="4"/>
  <x:c r="F277" i="4"/>
  <x:c r="T277" i="4"/>
  <x:c r="A278" i="4"/>
  <x:c r="E278" i="4"/>
  <x:c r="F278" i="4"/>
  <x:c r="T278" i="4"/>
  <x:c r="A279" i="4"/>
  <x:c r="E279" i="4"/>
  <x:c r="F279" i="4"/>
  <x:c r="T279" i="4"/>
  <x:c r="A280" i="4"/>
  <x:c r="E280" i="4"/>
  <x:c r="F280" i="4"/>
  <x:c r="T280" i="4"/>
  <x:c r="A281" i="4"/>
  <x:c r="E281" i="4"/>
  <x:c r="F281" i="4"/>
  <x:c r="T281" i="4"/>
  <x:c r="A282" i="4"/>
  <x:c r="E282" i="4"/>
  <x:c r="F282" i="4"/>
  <x:c r="T282" i="4"/>
  <x:c r="A283" i="4"/>
  <x:c r="E283" i="4"/>
  <x:c r="F283" i="4"/>
  <x:c r="T283" i="4"/>
  <x:c r="A284" i="4"/>
  <x:c r="E284" i="4"/>
  <x:c r="F284" i="4"/>
  <x:c r="T284" i="4"/>
  <x:c r="A285" i="4"/>
  <x:c r="E285" i="4"/>
  <x:c r="F285" i="4"/>
  <x:c r="T285" i="4"/>
  <x:c r="A286" i="4"/>
  <x:c r="E286" i="4"/>
  <x:c r="F286" i="4"/>
  <x:c r="T286" i="4"/>
  <x:c r="A287" i="4"/>
  <x:c r="E287" i="4"/>
  <x:c r="F287" i="4"/>
  <x:c r="T287" i="4"/>
  <x:c r="A288" i="4"/>
  <x:c r="E288" i="4"/>
  <x:c r="F288" i="4"/>
  <x:c r="T288" i="4"/>
  <x:c r="A289" i="4"/>
  <x:c r="E289" i="4"/>
  <x:c r="F289" i="4"/>
  <x:c r="T289" i="4"/>
  <x:c r="A290" i="4"/>
  <x:c r="E290" i="4"/>
  <x:c r="F290" i="4"/>
  <x:c r="T290" i="4"/>
  <x:c r="A291" i="4"/>
  <x:c r="E291" i="4"/>
  <x:c r="F291" i="4"/>
  <x:c r="T291" i="4"/>
  <x:c r="A292" i="4"/>
  <x:c r="E292" i="4"/>
  <x:c r="F292" i="4"/>
  <x:c r="T292" i="4"/>
  <x:c r="A293" i="4"/>
  <x:c r="E293" i="4"/>
  <x:c r="F293" i="4"/>
  <x:c r="T293" i="4"/>
  <x:c r="A294" i="4"/>
  <x:c r="E294" i="4"/>
  <x:c r="F294" i="4"/>
  <x:c r="T294" i="4"/>
  <x:c r="A295" i="4"/>
  <x:c r="E295" i="4"/>
  <x:c r="F295" i="4"/>
  <x:c r="T295" i="4"/>
  <x:c r="A296" i="4"/>
  <x:c r="E296" i="4"/>
  <x:c r="F296" i="4"/>
  <x:c r="T296" i="4"/>
  <x:c r="A297" i="4"/>
  <x:c r="E297" i="4"/>
  <x:c r="F297" i="4"/>
  <x:c r="T297" i="4"/>
  <x:c r="A298" i="4"/>
  <x:c r="E298" i="4"/>
  <x:c r="F298" i="4"/>
  <x:c r="T298" i="4"/>
  <x:c r="A299" i="4"/>
  <x:c r="E299" i="4"/>
  <x:c r="F299" i="4"/>
  <x:c r="T299" i="4"/>
  <x:c r="A300" i="4"/>
  <x:c r="E300" i="4"/>
  <x:c r="F300" i="4"/>
  <x:c r="T300" i="4"/>
  <x:c r="A301" i="4"/>
  <x:c r="E301" i="4"/>
  <x:c r="F301" i="4"/>
  <x:c r="T301" i="4"/>
  <x:c r="A302" i="4"/>
  <x:c r="E302" i="4"/>
  <x:c r="F302" i="4"/>
  <x:c r="T302" i="4"/>
  <x:c r="A303" i="4"/>
  <x:c r="E303" i="4"/>
  <x:c r="F303" i="4"/>
  <x:c r="T303" i="4"/>
  <x:c r="A304" i="4"/>
  <x:c r="E304" i="4"/>
  <x:c r="F304" i="4"/>
  <x:c r="T304" i="4"/>
  <x:c r="A305" i="4"/>
  <x:c r="E305" i="4"/>
  <x:c r="F305" i="4"/>
  <x:c r="T305" i="4"/>
  <x:c r="A306" i="4"/>
  <x:c r="E306" i="4"/>
  <x:c r="F306" i="4"/>
  <x:c r="T306" i="4"/>
  <x:c r="A307" i="4"/>
  <x:c r="E307" i="4"/>
  <x:c r="F307" i="4"/>
  <x:c r="T307" i="4"/>
  <x:c r="A308" i="4"/>
  <x:c r="E308" i="4"/>
  <x:c r="F308" i="4"/>
  <x:c r="T308" i="4"/>
  <x:c r="A309" i="4"/>
  <x:c r="E309" i="4"/>
  <x:c r="F309" i="4"/>
  <x:c r="T309" i="4"/>
  <x:c r="A310" i="4"/>
  <x:c r="E310" i="4"/>
  <x:c r="F310" i="4"/>
  <x:c r="T310" i="4"/>
  <x:c r="A311" i="4"/>
  <x:c r="E311" i="4"/>
  <x:c r="F311" i="4"/>
  <x:c r="T311" i="4"/>
  <x:c r="A312" i="4"/>
  <x:c r="E312" i="4"/>
  <x:c r="F312" i="4"/>
  <x:c r="T312" i="4"/>
  <x:c r="A313" i="4"/>
  <x:c r="E313" i="4"/>
  <x:c r="F313" i="4"/>
  <x:c r="T313" i="4"/>
  <x:c r="A314" i="4"/>
  <x:c r="E314" i="4"/>
  <x:c r="F314" i="4"/>
  <x:c r="T314" i="4"/>
  <x:c r="A315" i="4"/>
  <x:c r="E315" i="4"/>
  <x:c r="F315" i="4"/>
  <x:c r="T315" i="4"/>
  <x:c r="A316" i="4"/>
  <x:c r="E316" i="4"/>
  <x:c r="F316" i="4"/>
  <x:c r="T316" i="4"/>
  <x:c r="A317" i="4"/>
  <x:c r="E317" i="4"/>
  <x:c r="F317" i="4"/>
  <x:c r="T317" i="4"/>
  <x:c r="A318" i="4"/>
  <x:c r="E318" i="4"/>
  <x:c r="F318" i="4"/>
  <x:c r="T318" i="4"/>
  <x:c r="A319" i="4"/>
  <x:c r="E319" i="4"/>
  <x:c r="F319" i="4"/>
  <x:c r="T319" i="4"/>
  <x:c r="A320" i="4"/>
  <x:c r="E320" i="4"/>
  <x:c r="F320" i="4"/>
  <x:c r="T320" i="4"/>
  <x:c r="A321" i="4"/>
  <x:c r="E321" i="4"/>
  <x:c r="F321" i="4"/>
  <x:c r="T321" i="4"/>
  <x:c r="A322" i="4"/>
  <x:c r="E322" i="4"/>
  <x:c r="F322" i="4"/>
  <x:c r="T322" i="4"/>
  <x:c r="A323" i="4"/>
  <x:c r="E323" i="4"/>
  <x:c r="F323" i="4"/>
  <x:c r="T323" i="4"/>
  <x:c r="A324" i="4"/>
  <x:c r="E324" i="4"/>
  <x:c r="F324" i="4"/>
  <x:c r="T324" i="4"/>
  <x:c r="A325" i="4"/>
  <x:c r="E325" i="4"/>
  <x:c r="F325" i="4"/>
  <x:c r="T325" i="4"/>
  <x:c r="A326" i="4"/>
  <x:c r="E326" i="4"/>
  <x:c r="F326" i="4"/>
  <x:c r="T326" i="4"/>
  <x:c r="A327" i="4"/>
  <x:c r="E327" i="4"/>
  <x:c r="F327" i="4"/>
  <x:c r="T327" i="4"/>
  <x:c r="A328" i="4"/>
  <x:c r="E328" i="4"/>
  <x:c r="F328" i="4"/>
  <x:c r="T328" i="4"/>
  <x:c r="A329" i="4"/>
  <x:c r="E329" i="4"/>
  <x:c r="F329" i="4"/>
  <x:c r="T329" i="4"/>
  <x:c r="A330" i="4"/>
  <x:c r="E330" i="4"/>
  <x:c r="F330" i="4"/>
  <x:c r="T330" i="4"/>
  <x:c r="A331" i="4"/>
  <x:c r="E331" i="4"/>
  <x:c r="F331" i="4"/>
  <x:c r="T331" i="4"/>
  <x:c r="A332" i="4"/>
  <x:c r="E332" i="4"/>
  <x:c r="F332" i="4"/>
  <x:c r="T332" i="4"/>
  <x:c r="A333" i="4"/>
  <x:c r="E333" i="4"/>
  <x:c r="F333" i="4"/>
  <x:c r="T333" i="4"/>
  <x:c r="A334" i="4"/>
  <x:c r="E334" i="4"/>
  <x:c r="F334" i="4"/>
  <x:c r="T334" i="4"/>
  <x:c r="A335" i="4"/>
  <x:c r="E335" i="4"/>
  <x:c r="F335" i="4"/>
  <x:c r="T335" i="4"/>
  <x:c r="A336" i="4"/>
  <x:c r="E336" i="4"/>
  <x:c r="F336" i="4"/>
  <x:c r="T336" i="4"/>
  <x:c r="A337" i="4"/>
  <x:c r="E337" i="4"/>
  <x:c r="F337" i="4"/>
  <x:c r="T337" i="4"/>
  <x:c r="A338" i="4"/>
  <x:c r="E338" i="4"/>
  <x:c r="F338" i="4"/>
  <x:c r="T338" i="4"/>
  <x:c r="A339" i="4"/>
  <x:c r="E339" i="4"/>
  <x:c r="F339" i="4"/>
  <x:c r="T339" i="4"/>
  <x:c r="A340" i="4"/>
  <x:c r="E340" i="4"/>
  <x:c r="F340" i="4"/>
  <x:c r="T340" i="4"/>
  <x:c r="A341" i="4"/>
  <x:c r="E341" i="4"/>
  <x:c r="F341" i="4"/>
  <x:c r="T341" i="4"/>
  <x:c r="A342" i="4"/>
  <x:c r="E342" i="4"/>
  <x:c r="F342" i="4"/>
  <x:c r="T342" i="4"/>
  <x:c r="A343" i="4"/>
  <x:c r="E343" i="4"/>
  <x:c r="F343" i="4"/>
  <x:c r="T343" i="4"/>
  <x:c r="A344" i="4"/>
  <x:c r="E344" i="4"/>
  <x:c r="F344" i="4"/>
  <x:c r="T344" i="4"/>
  <x:c r="A345" i="4"/>
  <x:c r="E345" i="4"/>
  <x:c r="F345" i="4"/>
  <x:c r="T345" i="4"/>
  <x:c r="A346" i="4"/>
  <x:c r="E346" i="4"/>
  <x:c r="F346" i="4"/>
  <x:c r="T346" i="4"/>
  <x:c r="A347" i="4"/>
  <x:c r="E347" i="4"/>
  <x:c r="F347" i="4"/>
  <x:c r="T347" i="4"/>
  <x:c r="A348" i="4"/>
  <x:c r="E348" i="4"/>
  <x:c r="F348" i="4"/>
  <x:c r="T348" i="4"/>
  <x:c r="A349" i="4"/>
  <x:c r="E349" i="4"/>
  <x:c r="F349" i="4"/>
  <x:c r="T349" i="4"/>
  <x:c r="A350" i="4"/>
  <x:c r="E350" i="4"/>
  <x:c r="F350" i="4"/>
  <x:c r="T350" i="4"/>
  <x:c r="A351" i="4"/>
  <x:c r="E351" i="4"/>
  <x:c r="F351" i="4"/>
  <x:c r="T351" i="4"/>
  <x:c r="A352" i="4"/>
  <x:c r="E352" i="4"/>
  <x:c r="F352" i="4"/>
  <x:c r="T352" i="4"/>
  <x:c r="A353" i="4"/>
  <x:c r="E353" i="4"/>
  <x:c r="F353" i="4"/>
  <x:c r="T353" i="4"/>
  <x:c r="A354" i="4"/>
  <x:c r="E354" i="4"/>
  <x:c r="F354" i="4"/>
  <x:c r="T354" i="4"/>
  <x:c r="A355" i="4"/>
  <x:c r="E355" i="4"/>
  <x:c r="F355" i="4"/>
  <x:c r="T355" i="4"/>
  <x:c r="A356" i="4"/>
  <x:c r="E356" i="4"/>
  <x:c r="F356" i="4"/>
  <x:c r="T356" i="4"/>
  <x:c r="A357" i="4"/>
  <x:c r="E357" i="4"/>
  <x:c r="F357" i="4"/>
  <x:c r="T357" i="4"/>
  <x:c r="A358" i="4"/>
  <x:c r="E358" i="4"/>
  <x:c r="F358" i="4"/>
  <x:c r="T358" i="4"/>
  <x:c r="A359" i="4"/>
  <x:c r="E359" i="4"/>
  <x:c r="F359" i="4"/>
  <x:c r="T359" i="4"/>
  <x:c r="A360" i="4"/>
  <x:c r="E360" i="4"/>
  <x:c r="F360" i="4"/>
  <x:c r="T360" i="4"/>
  <x:c r="A361" i="4"/>
  <x:c r="E361" i="4"/>
  <x:c r="F361" i="4"/>
  <x:c r="T361" i="4"/>
  <x:c r="A362" i="4"/>
  <x:c r="E362" i="4"/>
  <x:c r="F362" i="4"/>
  <x:c r="T362" i="4"/>
  <x:c r="A363" i="4"/>
  <x:c r="E363" i="4"/>
  <x:c r="F363" i="4"/>
  <x:c r="T363" i="4"/>
  <x:c r="A364" i="4"/>
  <x:c r="E364" i="4"/>
  <x:c r="F364" i="4"/>
  <x:c r="T364" i="4"/>
  <x:c r="A365" i="4"/>
  <x:c r="E365" i="4"/>
  <x:c r="F365" i="4"/>
  <x:c r="T365" i="4"/>
  <x:c r="A366" i="4"/>
  <x:c r="E366" i="4"/>
  <x:c r="F366" i="4"/>
  <x:c r="T366" i="4"/>
  <x:c r="A367" i="4"/>
  <x:c r="E367" i="4"/>
  <x:c r="F367" i="4"/>
  <x:c r="T367" i="4"/>
  <x:c r="A368" i="4"/>
  <x:c r="E368" i="4"/>
  <x:c r="F368" i="4"/>
  <x:c r="T368" i="4"/>
  <x:c r="A369" i="4"/>
  <x:c r="E369" i="4"/>
  <x:c r="F369" i="4"/>
  <x:c r="T369" i="4"/>
  <x:c r="A370" i="4"/>
  <x:c r="E370" i="4"/>
  <x:c r="F370" i="4"/>
  <x:c r="T370" i="4"/>
  <x:c r="A371" i="4"/>
  <x:c r="E371" i="4"/>
  <x:c r="F371" i="4"/>
  <x:c r="T371" i="4"/>
  <x:c r="A372" i="4"/>
  <x:c r="E372" i="4"/>
  <x:c r="F372" i="4"/>
  <x:c r="T372" i="4"/>
  <x:c r="A373" i="4"/>
  <x:c r="E373" i="4"/>
  <x:c r="F373" i="4"/>
  <x:c r="T373" i="4"/>
  <x:c r="A374" i="4"/>
  <x:c r="E374" i="4"/>
  <x:c r="F374" i="4"/>
  <x:c r="T374" i="4"/>
  <x:c r="A375" i="4"/>
  <x:c r="E375" i="4"/>
  <x:c r="F375" i="4"/>
  <x:c r="T375" i="4"/>
  <x:c r="A376" i="4"/>
  <x:c r="E376" i="4"/>
  <x:c r="F376" i="4"/>
  <x:c r="T376" i="4"/>
  <x:c r="A377" i="4"/>
  <x:c r="E377" i="4"/>
  <x:c r="F377" i="4"/>
  <x:c r="T377" i="4"/>
  <x:c r="A378" i="4"/>
  <x:c r="E378" i="4"/>
  <x:c r="F378" i="4"/>
  <x:c r="T378" i="4"/>
  <x:c r="A379" i="4"/>
  <x:c r="E379" i="4"/>
  <x:c r="F379" i="4"/>
  <x:c r="T379" i="4"/>
  <x:c r="A380" i="4"/>
  <x:c r="E380" i="4"/>
  <x:c r="F380" i="4"/>
  <x:c r="T380" i="4"/>
  <x:c r="A381" i="4"/>
  <x:c r="E381" i="4"/>
  <x:c r="F381" i="4"/>
  <x:c r="T381" i="4"/>
  <x:c r="A382" i="4"/>
  <x:c r="E382" i="4"/>
  <x:c r="F382" i="4"/>
  <x:c r="T382" i="4"/>
  <x:c r="A383" i="4"/>
  <x:c r="E383" i="4"/>
  <x:c r="F383" i="4"/>
  <x:c r="T383" i="4"/>
  <x:c r="A384" i="4"/>
  <x:c r="E384" i="4"/>
  <x:c r="F384" i="4"/>
  <x:c r="T384" i="4"/>
  <x:c r="A385" i="4"/>
  <x:c r="E385" i="4"/>
  <x:c r="F385" i="4"/>
  <x:c r="T385" i="4"/>
  <x:c r="A386" i="4"/>
  <x:c r="E386" i="4"/>
  <x:c r="F386" i="4"/>
  <x:c r="T386" i="4"/>
  <x:c r="A387" i="4"/>
  <x:c r="E387" i="4"/>
  <x:c r="F387" i="4"/>
  <x:c r="T387" i="4"/>
  <x:c r="A388" i="4"/>
  <x:c r="E388" i="4"/>
  <x:c r="F388" i="4"/>
  <x:c r="T388" i="4"/>
  <x:c r="A389" i="4"/>
  <x:c r="E389" i="4"/>
  <x:c r="F389" i="4"/>
  <x:c r="T389" i="4"/>
  <x:c r="A390" i="4"/>
  <x:c r="E390" i="4"/>
  <x:c r="F390" i="4"/>
  <x:c r="T390" i="4"/>
  <x:c r="A391" i="4"/>
  <x:c r="E391" i="4"/>
  <x:c r="F391" i="4"/>
  <x:c r="T391" i="4"/>
  <x:c r="A392" i="4"/>
  <x:c r="E392" i="4"/>
  <x:c r="F392" i="4"/>
  <x:c r="T392" i="4"/>
  <x:c r="A393" i="4"/>
  <x:c r="E393" i="4"/>
  <x:c r="F393" i="4"/>
  <x:c r="T393" i="4"/>
  <x:c r="A394" i="4"/>
  <x:c r="E394" i="4"/>
  <x:c r="F394" i="4"/>
  <x:c r="T394" i="4"/>
  <x:c r="A395" i="4"/>
  <x:c r="E395" i="4"/>
  <x:c r="F395" i="4"/>
  <x:c r="T395" i="4"/>
  <x:c r="A396" i="4"/>
  <x:c r="E396" i="4"/>
  <x:c r="F396" i="4"/>
  <x:c r="T396" i="4"/>
  <x:c r="A397" i="4"/>
  <x:c r="E397" i="4"/>
  <x:c r="F397" i="4"/>
  <x:c r="T397" i="4"/>
  <x:c r="A398" i="4"/>
  <x:c r="E398" i="4"/>
  <x:c r="F398" i="4"/>
  <x:c r="T398" i="4"/>
  <x:c r="A399" i="4"/>
  <x:c r="E399" i="4"/>
  <x:c r="F399" i="4"/>
  <x:c r="T399" i="4"/>
  <x:c r="A400" i="4"/>
  <x:c r="E400" i="4"/>
  <x:c r="F400" i="4"/>
  <x:c r="T400" i="4"/>
  <x:c r="A401" i="4"/>
  <x:c r="E401" i="4"/>
  <x:c r="F401" i="4"/>
  <x:c r="T401" i="4"/>
  <x:c r="A402" i="4"/>
  <x:c r="E402" i="4"/>
  <x:c r="F402" i="4"/>
  <x:c r="T402" i="4"/>
  <x:c r="A403" i="4"/>
  <x:c r="E403" i="4"/>
  <x:c r="F403" i="4"/>
  <x:c r="T403" i="4"/>
  <x:c r="A404" i="4"/>
  <x:c r="E404" i="4"/>
  <x:c r="F404" i="4"/>
  <x:c r="T404" i="4"/>
  <x:c r="A405" i="4"/>
  <x:c r="E405" i="4"/>
  <x:c r="F405" i="4"/>
  <x:c r="T405" i="4"/>
  <x:c r="A406" i="4"/>
  <x:c r="E406" i="4"/>
  <x:c r="F406" i="4"/>
  <x:c r="T406" i="4"/>
  <x:c r="A407" i="4"/>
  <x:c r="E407" i="4"/>
  <x:c r="F407" i="4"/>
  <x:c r="T407" i="4"/>
  <x:c r="A408" i="4"/>
  <x:c r="E408" i="4"/>
  <x:c r="F408" i="4"/>
  <x:c r="T408" i="4"/>
  <x:c r="A409" i="4"/>
  <x:c r="E409" i="4"/>
  <x:c r="F409" i="4"/>
  <x:c r="T409" i="4"/>
  <x:c r="A410" i="4"/>
  <x:c r="E410" i="4"/>
  <x:c r="F410" i="4"/>
  <x:c r="T410" i="4"/>
  <x:c r="A411" i="4"/>
  <x:c r="E411" i="4"/>
  <x:c r="F411" i="4"/>
  <x:c r="T411" i="4"/>
  <x:c r="A412" i="4"/>
  <x:c r="E412" i="4"/>
  <x:c r="F412" i="4"/>
  <x:c r="T412" i="4"/>
  <x:c r="A413" i="4"/>
  <x:c r="E413" i="4"/>
  <x:c r="F413" i="4"/>
  <x:c r="T413" i="4"/>
  <x:c r="A414" i="4"/>
  <x:c r="E414" i="4"/>
  <x:c r="F414" i="4"/>
  <x:c r="T414" i="4"/>
  <x:c r="A415" i="4"/>
  <x:c r="E415" i="4"/>
  <x:c r="F415" i="4"/>
  <x:c r="T415" i="4"/>
  <x:c r="A416" i="4"/>
  <x:c r="E416" i="4"/>
  <x:c r="F416" i="4"/>
  <x:c r="T416" i="4"/>
  <x:c r="A417" i="4"/>
  <x:c r="E417" i="4"/>
  <x:c r="F417" i="4"/>
  <x:c r="T417" i="4"/>
  <x:c r="A418" i="4"/>
  <x:c r="E418" i="4"/>
  <x:c r="F418" i="4"/>
  <x:c r="T418" i="4"/>
  <x:c r="A419" i="4"/>
  <x:c r="E419" i="4"/>
  <x:c r="F419" i="4"/>
  <x:c r="T419" i="4"/>
  <x:c r="A420" i="4"/>
  <x:c r="E420" i="4"/>
  <x:c r="F420" i="4"/>
  <x:c r="T420" i="4"/>
  <x:c r="A421" i="4"/>
  <x:c r="E421" i="4"/>
  <x:c r="F421" i="4"/>
  <x:c r="T421" i="4"/>
  <x:c r="A422" i="4"/>
  <x:c r="E422" i="4"/>
  <x:c r="F422" i="4"/>
  <x:c r="T422" i="4"/>
  <x:c r="A423" i="4"/>
  <x:c r="E423" i="4"/>
  <x:c r="F423" i="4"/>
  <x:c r="T423" i="4"/>
  <x:c r="A424" i="4"/>
  <x:c r="E424" i="4"/>
  <x:c r="F424" i="4"/>
  <x:c r="T424" i="4"/>
  <x:c r="A425" i="4"/>
  <x:c r="E425" i="4"/>
  <x:c r="F425" i="4"/>
  <x:c r="T425" i="4"/>
  <x:c r="A426" i="4"/>
  <x:c r="E426" i="4"/>
  <x:c r="F426" i="4"/>
  <x:c r="T426" i="4"/>
  <x:c r="A427" i="4"/>
  <x:c r="E427" i="4"/>
  <x:c r="F427" i="4"/>
  <x:c r="T427" i="4"/>
  <x:c r="A428" i="4"/>
  <x:c r="E428" i="4"/>
  <x:c r="F428" i="4"/>
  <x:c r="T428" i="4"/>
  <x:c r="A429" i="4"/>
  <x:c r="E429" i="4"/>
  <x:c r="F429" i="4"/>
  <x:c r="T429" i="4"/>
  <x:c r="A430" i="4"/>
  <x:c r="E430" i="4"/>
  <x:c r="F430" i="4"/>
  <x:c r="T430" i="4"/>
  <x:c r="A431" i="4"/>
  <x:c r="E431" i="4"/>
  <x:c r="F431" i="4"/>
  <x:c r="T431" i="4"/>
  <x:c r="A432" i="4"/>
  <x:c r="E432" i="4"/>
  <x:c r="F432" i="4"/>
  <x:c r="T432" i="4"/>
  <x:c r="A433" i="4"/>
  <x:c r="E433" i="4"/>
  <x:c r="F433" i="4"/>
  <x:c r="T433" i="4"/>
  <x:c r="A434" i="4"/>
  <x:c r="E434" i="4"/>
  <x:c r="F434" i="4"/>
  <x:c r="T434" i="4"/>
  <x:c r="A435" i="4"/>
  <x:c r="E435" i="4"/>
  <x:c r="F435" i="4"/>
  <x:c r="T435" i="4"/>
  <x:c r="A436" i="4"/>
  <x:c r="E436" i="4"/>
  <x:c r="F436" i="4"/>
  <x:c r="T436" i="4"/>
  <x:c r="A437" i="4"/>
  <x:c r="E437" i="4"/>
  <x:c r="F437" i="4"/>
  <x:c r="T437" i="4"/>
  <x:c r="A438" i="4"/>
  <x:c r="E438" i="4"/>
  <x:c r="F438" i="4"/>
  <x:c r="T438" i="4"/>
  <x:c r="A439" i="4"/>
  <x:c r="E439" i="4"/>
  <x:c r="F439" i="4"/>
  <x:c r="T439" i="4"/>
  <x:c r="A440" i="4"/>
  <x:c r="E440" i="4"/>
  <x:c r="F440" i="4"/>
  <x:c r="T440" i="4"/>
  <x:c r="A441" i="4"/>
  <x:c r="E441" i="4"/>
  <x:c r="F441" i="4"/>
  <x:c r="T441" i="4"/>
  <x:c r="A442" i="4"/>
  <x:c r="E442" i="4"/>
  <x:c r="F442" i="4"/>
  <x:c r="T442" i="4"/>
  <x:c r="A443" i="4"/>
  <x:c r="E443" i="4"/>
  <x:c r="F443" i="4"/>
  <x:c r="T443" i="4"/>
  <x:c r="A444" i="4"/>
  <x:c r="E444" i="4"/>
  <x:c r="F444" i="4"/>
  <x:c r="T444" i="4"/>
  <x:c r="A445" i="4"/>
  <x:c r="E445" i="4"/>
  <x:c r="F445" i="4"/>
  <x:c r="T445" i="4"/>
  <x:c r="A446" i="4"/>
  <x:c r="E446" i="4"/>
  <x:c r="F446" i="4"/>
  <x:c r="T446" i="4"/>
  <x:c r="A447" i="4"/>
  <x:c r="E447" i="4"/>
  <x:c r="F447" i="4"/>
  <x:c r="T447" i="4"/>
  <x:c r="A448" i="4"/>
  <x:c r="E448" i="4"/>
  <x:c r="F448" i="4"/>
  <x:c r="T448" i="4"/>
  <x:c r="A449" i="4"/>
  <x:c r="E449" i="4"/>
  <x:c r="F449" i="4"/>
  <x:c r="T449" i="4"/>
  <x:c r="A450" i="4"/>
  <x:c r="E450" i="4"/>
  <x:c r="F450" i="4"/>
  <x:c r="T450" i="4"/>
  <x:c r="A451" i="4"/>
  <x:c r="E451" i="4"/>
  <x:c r="F451" i="4"/>
  <x:c r="T451" i="4"/>
  <x:c r="A452" i="4"/>
  <x:c r="E452" i="4"/>
  <x:c r="F452" i="4"/>
  <x:c r="T452" i="4"/>
  <x:c r="A453" i="4"/>
  <x:c r="E453" i="4"/>
  <x:c r="F453" i="4"/>
  <x:c r="T453" i="4"/>
  <x:c r="A454" i="4"/>
  <x:c r="E454" i="4"/>
  <x:c r="F454" i="4"/>
  <x:c r="T454" i="4"/>
  <x:c r="A455" i="4"/>
  <x:c r="E455" i="4"/>
  <x:c r="F455" i="4"/>
  <x:c r="T455" i="4"/>
  <x:c r="A456" i="4"/>
  <x:c r="E456" i="4"/>
  <x:c r="F456" i="4"/>
  <x:c r="T456" i="4"/>
  <x:c r="A457" i="4"/>
  <x:c r="E457" i="4"/>
  <x:c r="F457" i="4"/>
  <x:c r="T457" i="4"/>
  <x:c r="A458" i="4"/>
  <x:c r="E458" i="4"/>
  <x:c r="F458" i="4"/>
  <x:c r="T458" i="4"/>
  <x:c r="A459" i="4"/>
  <x:c r="E459" i="4"/>
  <x:c r="F459" i="4"/>
  <x:c r="T459" i="4"/>
  <x:c r="A460" i="4"/>
  <x:c r="E460" i="4"/>
  <x:c r="F460" i="4"/>
  <x:c r="T460" i="4"/>
  <x:c r="A461" i="4"/>
  <x:c r="E461" i="4"/>
  <x:c r="F461" i="4"/>
  <x:c r="T461" i="4"/>
  <x:c r="A462" i="4"/>
  <x:c r="E462" i="4"/>
  <x:c r="F462" i="4"/>
  <x:c r="T462" i="4"/>
  <x:c r="A463" i="4"/>
  <x:c r="E463" i="4"/>
  <x:c r="F463" i="4"/>
  <x:c r="T463" i="4"/>
  <x:c r="A464" i="4"/>
  <x:c r="E464" i="4"/>
  <x:c r="F464" i="4"/>
  <x:c r="T464" i="4"/>
  <x:c r="A465" i="4"/>
  <x:c r="E465" i="4"/>
  <x:c r="F465" i="4"/>
  <x:c r="T465" i="4"/>
  <x:c r="A466" i="4"/>
  <x:c r="E466" i="4"/>
  <x:c r="F466" i="4"/>
  <x:c r="T466" i="4"/>
  <x:c r="A467" i="4"/>
  <x:c r="E467" i="4"/>
  <x:c r="F467" i="4"/>
  <x:c r="T467" i="4"/>
  <x:c r="A468" i="4"/>
  <x:c r="E468" i="4"/>
  <x:c r="F468" i="4"/>
  <x:c r="T468" i="4"/>
  <x:c r="A469" i="4"/>
  <x:c r="E469" i="4"/>
  <x:c r="F469" i="4"/>
  <x:c r="T469" i="4"/>
  <x:c r="A470" i="4"/>
  <x:c r="E470" i="4"/>
  <x:c r="F470" i="4"/>
  <x:c r="T470" i="4"/>
  <x:c r="A471" i="4"/>
  <x:c r="E471" i="4"/>
  <x:c r="F471" i="4"/>
  <x:c r="T471" i="4"/>
  <x:c r="A472" i="4"/>
  <x:c r="E472" i="4"/>
  <x:c r="F472" i="4"/>
  <x:c r="T472" i="4"/>
  <x:c r="A473" i="4"/>
  <x:c r="E473" i="4"/>
  <x:c r="F473" i="4"/>
  <x:c r="T473" i="4"/>
  <x:c r="A474" i="4"/>
  <x:c r="E474" i="4"/>
  <x:c r="F474" i="4"/>
  <x:c r="T474" i="4"/>
  <x:c r="A475" i="4"/>
  <x:c r="E475" i="4"/>
  <x:c r="F475" i="4"/>
  <x:c r="T475" i="4"/>
  <x:c r="A476" i="4"/>
  <x:c r="E476" i="4"/>
  <x:c r="F476" i="4"/>
  <x:c r="T476" i="4"/>
  <x:c r="A477" i="4"/>
  <x:c r="E477" i="4"/>
  <x:c r="F477" i="4"/>
  <x:c r="T477" i="4"/>
  <x:c r="A478" i="4"/>
  <x:c r="E478" i="4"/>
  <x:c r="F478" i="4"/>
  <x:c r="T478" i="4"/>
  <x:c r="A479" i="4"/>
  <x:c r="E479" i="4"/>
  <x:c r="F479" i="4"/>
  <x:c r="T479" i="4"/>
  <x:c r="A480" i="4"/>
  <x:c r="E480" i="4"/>
  <x:c r="F480" i="4"/>
  <x:c r="T480" i="4"/>
  <x:c r="A481" i="4"/>
  <x:c r="E481" i="4"/>
  <x:c r="F481" i="4"/>
  <x:c r="T481" i="4"/>
  <x:c r="A482" i="4"/>
  <x:c r="E482" i="4"/>
  <x:c r="F482" i="4"/>
  <x:c r="T482" i="4"/>
  <x:c r="A483" i="4"/>
  <x:c r="E483" i="4"/>
  <x:c r="F483" i="4"/>
  <x:c r="T483" i="4"/>
  <x:c r="A484" i="4"/>
  <x:c r="E484" i="4"/>
  <x:c r="F484" i="4"/>
  <x:c r="T484" i="4"/>
  <x:c r="A485" i="4"/>
  <x:c r="E485" i="4"/>
  <x:c r="F485" i="4"/>
  <x:c r="T485" i="4"/>
  <x:c r="A486" i="4"/>
  <x:c r="E486" i="4"/>
  <x:c r="F486" i="4"/>
  <x:c r="T486" i="4"/>
  <x:c r="A487" i="4"/>
  <x:c r="E487" i="4"/>
  <x:c r="F487" i="4"/>
  <x:c r="T487" i="4"/>
  <x:c r="A488" i="4"/>
  <x:c r="E488" i="4"/>
  <x:c r="F488" i="4"/>
  <x:c r="T488" i="4"/>
  <x:c r="A489" i="4"/>
  <x:c r="E489" i="4"/>
  <x:c r="F489" i="4"/>
  <x:c r="T489" i="4"/>
  <x:c r="A490" i="4"/>
  <x:c r="E490" i="4"/>
  <x:c r="F490" i="4"/>
  <x:c r="T490" i="4"/>
  <x:c r="A491" i="4"/>
  <x:c r="E491" i="4"/>
  <x:c r="F491" i="4"/>
  <x:c r="T491" i="4"/>
  <x:c r="A492" i="4"/>
  <x:c r="E492" i="4"/>
  <x:c r="F492" i="4"/>
  <x:c r="T492" i="4"/>
  <x:c r="A493" i="4"/>
  <x:c r="E493" i="4"/>
  <x:c r="F493" i="4"/>
  <x:c r="T493" i="4"/>
  <x:c r="A494" i="4"/>
  <x:c r="E494" i="4"/>
  <x:c r="F494" i="4"/>
  <x:c r="T494" i="4"/>
  <x:c r="A495" i="4"/>
  <x:c r="E495" i="4"/>
  <x:c r="F495" i="4"/>
  <x:c r="T495" i="4"/>
  <x:c r="A496" i="4"/>
  <x:c r="E496" i="4"/>
  <x:c r="F496" i="4"/>
  <x:c r="T496" i="4"/>
  <x:c r="A497" i="4"/>
  <x:c r="E497" i="4"/>
  <x:c r="F497" i="4"/>
  <x:c r="T497" i="4"/>
  <x:c r="A498" i="4"/>
  <x:c r="E498" i="4"/>
  <x:c r="F498" i="4"/>
  <x:c r="T498" i="4"/>
  <x:c r="A499" i="4"/>
  <x:c r="E499" i="4"/>
  <x:c r="F499" i="4"/>
  <x:c r="T499" i="4"/>
  <x:c r="A500" i="4"/>
  <x:c r="E500" i="4"/>
  <x:c r="F500" i="4"/>
  <x:c r="T500" i="4"/>
  <x:c r="A501" i="4"/>
  <x:c r="E501" i="4"/>
  <x:c r="F501" i="4"/>
  <x:c r="T501" i="4"/>
  <x:c r="A502" i="4"/>
  <x:c r="E502" i="4"/>
  <x:c r="F502" i="4"/>
  <x:c r="T502" i="4"/>
  <x:c r="A503" i="4"/>
  <x:c r="E503" i="4"/>
  <x:c r="F503" i="4"/>
  <x:c r="T503" i="4"/>
  <x:c r="A504" i="4"/>
  <x:c r="E504" i="4"/>
  <x:c r="F504" i="4"/>
  <x:c r="T504" i="4"/>
  <x:c r="A505" i="4"/>
  <x:c r="E505" i="4"/>
  <x:c r="F505" i="4"/>
  <x:c r="T505" i="4"/>
  <x:c r="A506" i="4"/>
  <x:c r="E506" i="4"/>
  <x:c r="F506" i="4"/>
  <x:c r="T506" i="4"/>
  <x:c r="A507" i="4"/>
  <x:c r="E507" i="4"/>
  <x:c r="F507" i="4"/>
  <x:c r="T507" i="4"/>
  <x:c r="A508" i="4"/>
  <x:c r="E508" i="4"/>
  <x:c r="F508" i="4"/>
  <x:c r="T508" i="4"/>
  <x:c r="A509" i="4"/>
  <x:c r="E509" i="4"/>
  <x:c r="F509" i="4"/>
  <x:c r="T509" i="4"/>
  <x:c r="A510" i="4"/>
  <x:c r="E510" i="4"/>
  <x:c r="F510" i="4"/>
  <x:c r="T510" i="4"/>
  <x:c r="A511" i="4"/>
  <x:c r="E511" i="4"/>
  <x:c r="F511" i="4"/>
  <x:c r="T511" i="4"/>
  <x:c r="A512" i="4"/>
  <x:c r="E512" i="4"/>
  <x:c r="F512" i="4"/>
  <x:c r="T512" i="4"/>
  <x:c r="A513" i="4"/>
  <x:c r="E513" i="4"/>
  <x:c r="F513" i="4"/>
  <x:c r="T513" i="4"/>
  <x:c r="A514" i="4"/>
  <x:c r="E514" i="4"/>
  <x:c r="F514" i="4"/>
  <x:c r="T514" i="4"/>
  <x:c r="A515" i="4"/>
  <x:c r="E515" i="4"/>
  <x:c r="F515" i="4"/>
  <x:c r="T515" i="4"/>
  <x:c r="A516" i="4"/>
  <x:c r="E516" i="4"/>
  <x:c r="F516" i="4"/>
  <x:c r="T516" i="4"/>
  <x:c r="A517" i="4"/>
  <x:c r="E517" i="4"/>
  <x:c r="F517" i="4"/>
  <x:c r="T517" i="4"/>
  <x:c r="A518" i="4"/>
  <x:c r="E518" i="4"/>
  <x:c r="F518" i="4"/>
  <x:c r="T518" i="4"/>
  <x:c r="A519" i="4"/>
  <x:c r="E519" i="4"/>
  <x:c r="F519" i="4"/>
  <x:c r="T519" i="4"/>
  <x:c r="A520" i="4"/>
  <x:c r="E520" i="4"/>
  <x:c r="F520" i="4"/>
  <x:c r="T520" i="4"/>
  <x:c r="A521" i="4"/>
  <x:c r="E521" i="4"/>
  <x:c r="F521" i="4"/>
  <x:c r="T521" i="4"/>
  <x:c r="A522" i="4"/>
  <x:c r="E522" i="4"/>
  <x:c r="F522" i="4"/>
  <x:c r="T522" i="4"/>
  <x:c r="A523" i="4"/>
  <x:c r="E523" i="4"/>
  <x:c r="F523" i="4"/>
  <x:c r="T523" i="4"/>
  <x:c r="A524" i="4"/>
  <x:c r="E524" i="4"/>
  <x:c r="F524" i="4"/>
  <x:c r="T524" i="4"/>
  <x:c r="A525" i="4"/>
  <x:c r="E525" i="4"/>
  <x:c r="F525" i="4"/>
  <x:c r="T525" i="4"/>
  <x:c r="A526" i="4"/>
  <x:c r="E526" i="4"/>
  <x:c r="F526" i="4"/>
  <x:c r="T526" i="4"/>
  <x:c r="A527" i="4"/>
  <x:c r="E527" i="4"/>
  <x:c r="F527" i="4"/>
  <x:c r="T527" i="4"/>
  <x:c r="A528" i="4"/>
  <x:c r="E528" i="4"/>
  <x:c r="F528" i="4"/>
  <x:c r="T528" i="4"/>
  <x:c r="A529" i="4"/>
  <x:c r="E529" i="4"/>
  <x:c r="F529" i="4"/>
  <x:c r="T529" i="4"/>
  <x:c r="A530" i="4"/>
  <x:c r="E530" i="4"/>
  <x:c r="F530" i="4"/>
  <x:c r="T530" i="4"/>
  <x:c r="A531" i="4"/>
  <x:c r="E531" i="4"/>
  <x:c r="F531" i="4"/>
  <x:c r="T531" i="4"/>
  <x:c r="A532" i="4"/>
  <x:c r="E532" i="4"/>
  <x:c r="F532" i="4"/>
  <x:c r="T532" i="4"/>
  <x:c r="A533" i="4"/>
  <x:c r="E533" i="4"/>
  <x:c r="F533" i="4"/>
  <x:c r="T533" i="4"/>
  <x:c r="A534" i="4"/>
  <x:c r="E534" i="4"/>
  <x:c r="F534" i="4"/>
  <x:c r="T534" i="4"/>
  <x:c r="A535" i="4"/>
  <x:c r="E535" i="4"/>
  <x:c r="F535" i="4"/>
  <x:c r="T535" i="4"/>
  <x:c r="A536" i="4"/>
  <x:c r="E536" i="4"/>
  <x:c r="F536" i="4"/>
  <x:c r="T536" i="4"/>
  <x:c r="A537" i="4"/>
  <x:c r="E537" i="4"/>
  <x:c r="F537" i="4"/>
  <x:c r="T537" i="4"/>
  <x:c r="A538" i="4"/>
  <x:c r="E538" i="4"/>
  <x:c r="F538" i="4"/>
  <x:c r="T538" i="4"/>
  <x:c r="A539" i="4"/>
  <x:c r="E539" i="4"/>
  <x:c r="F539" i="4"/>
  <x:c r="T539" i="4"/>
  <x:c r="A540" i="4"/>
  <x:c r="E540" i="4"/>
  <x:c r="F540" i="4"/>
  <x:c r="T540" i="4"/>
  <x:c r="A541" i="4"/>
  <x:c r="E541" i="4"/>
  <x:c r="F541" i="4"/>
  <x:c r="T541" i="4"/>
  <x:c r="A542" i="4"/>
  <x:c r="E542" i="4"/>
  <x:c r="F542" i="4"/>
  <x:c r="T542" i="4"/>
  <x:c r="A543" i="4"/>
  <x:c r="E543" i="4"/>
  <x:c r="F543" i="4"/>
  <x:c r="T543" i="4"/>
  <x:c r="A544" i="4"/>
  <x:c r="E544" i="4"/>
  <x:c r="F544" i="4"/>
  <x:c r="T544" i="4"/>
  <x:c r="A545" i="4"/>
  <x:c r="E545" i="4"/>
  <x:c r="F545" i="4"/>
  <x:c r="T545" i="4"/>
  <x:c r="A546" i="4"/>
  <x:c r="E546" i="4"/>
  <x:c r="F546" i="4"/>
  <x:c r="T546" i="4"/>
  <x:c r="A547" i="4"/>
  <x:c r="E547" i="4"/>
  <x:c r="F547" i="4"/>
  <x:c r="T547" i="4"/>
  <x:c r="A548" i="4"/>
  <x:c r="E548" i="4"/>
  <x:c r="F548" i="4"/>
  <x:c r="T548" i="4"/>
  <x:c r="A549" i="4"/>
  <x:c r="E549" i="4"/>
  <x:c r="F549" i="4"/>
  <x:c r="T549" i="4"/>
  <x:c r="A550" i="4"/>
  <x:c r="E550" i="4"/>
  <x:c r="F550" i="4"/>
  <x:c r="T550" i="4"/>
  <x:c r="A551" i="4"/>
  <x:c r="E551" i="4"/>
  <x:c r="F551" i="4"/>
  <x:c r="T551" i="4"/>
  <x:c r="A552" i="4"/>
  <x:c r="E552" i="4"/>
  <x:c r="F552" i="4"/>
  <x:c r="T552" i="4"/>
  <x:c r="A553" i="4"/>
  <x:c r="E553" i="4"/>
  <x:c r="F553" i="4"/>
  <x:c r="T553" i="4"/>
  <x:c r="A554" i="4"/>
  <x:c r="E554" i="4"/>
  <x:c r="F554" i="4"/>
  <x:c r="T554" i="4"/>
  <x:c r="A555" i="4"/>
  <x:c r="E555" i="4"/>
  <x:c r="F555" i="4"/>
  <x:c r="T555" i="4"/>
  <x:c r="A556" i="4"/>
  <x:c r="E556" i="4"/>
  <x:c r="F556" i="4"/>
  <x:c r="T556" i="4"/>
  <x:c r="A557" i="4"/>
  <x:c r="E557" i="4"/>
  <x:c r="F557" i="4"/>
  <x:c r="T557" i="4"/>
  <x:c r="A558" i="4"/>
  <x:c r="E558" i="4"/>
  <x:c r="F558" i="4"/>
  <x:c r="T558" i="4"/>
  <x:c r="A559" i="4"/>
  <x:c r="E559" i="4"/>
  <x:c r="F559" i="4"/>
  <x:c r="T559" i="4"/>
  <x:c r="A560" i="4"/>
  <x:c r="E560" i="4"/>
  <x:c r="F560" i="4"/>
  <x:c r="T560" i="4"/>
  <x:c r="A561" i="4"/>
  <x:c r="E561" i="4"/>
  <x:c r="F561" i="4"/>
  <x:c r="T561" i="4"/>
  <x:c r="A562" i="4"/>
  <x:c r="E562" i="4"/>
  <x:c r="F562" i="4"/>
  <x:c r="T562" i="4"/>
  <x:c r="A563" i="4"/>
  <x:c r="E563" i="4"/>
  <x:c r="F563" i="4"/>
  <x:c r="T563" i="4"/>
  <x:c r="A564" i="4"/>
  <x:c r="E564" i="4"/>
  <x:c r="F564" i="4"/>
  <x:c r="T564" i="4"/>
  <x:c r="A565" i="4"/>
  <x:c r="E565" i="4"/>
  <x:c r="F565" i="4"/>
  <x:c r="T565" i="4"/>
  <x:c r="A566" i="4"/>
  <x:c r="E566" i="4"/>
  <x:c r="F566" i="4"/>
  <x:c r="T566" i="4"/>
  <x:c r="A567" i="4"/>
  <x:c r="E567" i="4"/>
  <x:c r="F567" i="4"/>
  <x:c r="T567" i="4"/>
  <x:c r="A568" i="4"/>
  <x:c r="E568" i="4"/>
  <x:c r="F568" i="4"/>
  <x:c r="T568" i="4"/>
  <x:c r="A569" i="4"/>
  <x:c r="E569" i="4"/>
  <x:c r="F569" i="4"/>
  <x:c r="T569" i="4"/>
  <x:c r="A570" i="4"/>
  <x:c r="E570" i="4"/>
  <x:c r="F570" i="4"/>
  <x:c r="T570" i="4"/>
  <x:c r="A571" i="4"/>
  <x:c r="E571" i="4"/>
  <x:c r="F571" i="4"/>
  <x:c r="T571" i="4"/>
  <x:c r="A572" i="4"/>
  <x:c r="E572" i="4"/>
  <x:c r="F572" i="4"/>
  <x:c r="T572" i="4"/>
  <x:c r="A573" i="4"/>
  <x:c r="E573" i="4"/>
  <x:c r="F573" i="4"/>
  <x:c r="T573" i="4"/>
  <x:c r="A574" i="4"/>
  <x:c r="E574" i="4"/>
  <x:c r="F574" i="4"/>
  <x:c r="T574" i="4"/>
  <x:c r="A575" i="4"/>
  <x:c r="E575" i="4"/>
  <x:c r="F575" i="4"/>
  <x:c r="T575" i="4"/>
  <x:c r="A576" i="4"/>
  <x:c r="E576" i="4"/>
  <x:c r="F576" i="4"/>
  <x:c r="T576" i="4"/>
  <x:c r="A577" i="4"/>
  <x:c r="E577" i="4"/>
  <x:c r="F577" i="4"/>
  <x:c r="T577" i="4"/>
  <x:c r="A578" i="4"/>
  <x:c r="E578" i="4"/>
  <x:c r="F578" i="4"/>
  <x:c r="T578" i="4"/>
  <x:c r="A579" i="4"/>
  <x:c r="E579" i="4"/>
  <x:c r="F579" i="4"/>
  <x:c r="T579" i="4"/>
  <x:c r="A580" i="4"/>
  <x:c r="E580" i="4"/>
  <x:c r="F580" i="4"/>
  <x:c r="T580" i="4"/>
  <x:c r="A581" i="4"/>
  <x:c r="E581" i="4"/>
  <x:c r="F581" i="4"/>
  <x:c r="T581" i="4"/>
  <x:c r="A582" i="4"/>
  <x:c r="E582" i="4"/>
  <x:c r="F582" i="4"/>
  <x:c r="T582" i="4"/>
  <x:c r="A583" i="4"/>
  <x:c r="E583" i="4"/>
  <x:c r="F583" i="4"/>
  <x:c r="T583" i="4"/>
  <x:c r="A584" i="4"/>
  <x:c r="E584" i="4"/>
  <x:c r="F584" i="4"/>
  <x:c r="T584" i="4"/>
  <x:c r="A585" i="4"/>
  <x:c r="E585" i="4"/>
  <x:c r="F585" i="4"/>
  <x:c r="T585" i="4"/>
  <x:c r="A586" i="4"/>
  <x:c r="E586" i="4"/>
  <x:c r="F586" i="4"/>
  <x:c r="T586" i="4"/>
  <x:c r="A587" i="4"/>
  <x:c r="E587" i="4"/>
  <x:c r="F587" i="4"/>
  <x:c r="T587" i="4"/>
  <x:c r="A588" i="4"/>
  <x:c r="E588" i="4"/>
  <x:c r="F588" i="4"/>
  <x:c r="T588" i="4"/>
  <x:c r="A589" i="4"/>
  <x:c r="E589" i="4"/>
  <x:c r="F589" i="4"/>
  <x:c r="T589" i="4"/>
  <x:c r="A590" i="4"/>
  <x:c r="E590" i="4"/>
  <x:c r="F590" i="4"/>
  <x:c r="T590" i="4"/>
  <x:c r="A591" i="4"/>
  <x:c r="E591" i="4"/>
  <x:c r="F591" i="4"/>
  <x:c r="T591" i="4"/>
  <x:c r="A592" i="4"/>
  <x:c r="E592" i="4"/>
  <x:c r="F592" i="4"/>
  <x:c r="T592" i="4"/>
  <x:c r="A593" i="4"/>
  <x:c r="E593" i="4"/>
  <x:c r="F593" i="4"/>
  <x:c r="T593" i="4"/>
  <x:c r="A594" i="4"/>
  <x:c r="E594" i="4"/>
  <x:c r="F594" i="4"/>
  <x:c r="T594" i="4"/>
  <x:c r="A595" i="4"/>
  <x:c r="E595" i="4"/>
  <x:c r="F595" i="4"/>
  <x:c r="T595" i="4"/>
  <x:c r="A596" i="4"/>
  <x:c r="E596" i="4"/>
  <x:c r="F596" i="4"/>
  <x:c r="T596" i="4"/>
  <x:c r="A597" i="4"/>
  <x:c r="E597" i="4"/>
  <x:c r="F597" i="4"/>
  <x:c r="T597" i="4"/>
  <x:c r="A598" i="4"/>
  <x:c r="E598" i="4"/>
  <x:c r="F598" i="4"/>
  <x:c r="T598" i="4"/>
  <x:c r="A599" i="4"/>
  <x:c r="E599" i="4"/>
  <x:c r="F599" i="4"/>
  <x:c r="T599" i="4"/>
  <x:c r="A600" i="4"/>
  <x:c r="E600" i="4"/>
  <x:c r="F600" i="4"/>
  <x:c r="T600" i="4"/>
  <x:c r="A601" i="4"/>
  <x:c r="E601" i="4"/>
  <x:c r="F601" i="4"/>
  <x:c r="T601" i="4"/>
  <x:c r="A602" i="4"/>
  <x:c r="E602" i="4"/>
  <x:c r="F602" i="4"/>
  <x:c r="T602" i="4"/>
  <x:c r="A603" i="4"/>
  <x:c r="E603" i="4"/>
  <x:c r="F603" i="4"/>
  <x:c r="T603" i="4"/>
  <x:c r="A604" i="4"/>
  <x:c r="E604" i="4"/>
  <x:c r="F604" i="4"/>
  <x:c r="T604" i="4"/>
  <x:c r="A605" i="4"/>
  <x:c r="E605" i="4"/>
  <x:c r="F605" i="4"/>
  <x:c r="T605" i="4"/>
  <x:c r="A606" i="4"/>
  <x:c r="E606" i="4"/>
  <x:c r="F606" i="4"/>
  <x:c r="T606" i="4"/>
  <x:c r="A607" i="4"/>
  <x:c r="E607" i="4"/>
  <x:c r="F607" i="4"/>
  <x:c r="T607" i="4"/>
  <x:c r="A608" i="4"/>
  <x:c r="E608" i="4"/>
  <x:c r="F608" i="4"/>
  <x:c r="T608" i="4"/>
  <x:c r="A609" i="4"/>
  <x:c r="E609" i="4"/>
  <x:c r="F609" i="4"/>
  <x:c r="T609" i="4"/>
  <x:c r="A610" i="4"/>
  <x:c r="E610" i="4"/>
  <x:c r="F610" i="4"/>
  <x:c r="T610" i="4"/>
  <x:c r="A611" i="4"/>
  <x:c r="E611" i="4"/>
  <x:c r="F611" i="4"/>
  <x:c r="T611" i="4"/>
  <x:c r="A612" i="4"/>
  <x:c r="E612" i="4"/>
  <x:c r="F612" i="4"/>
  <x:c r="T612" i="4"/>
  <x:c r="A613" i="4"/>
  <x:c r="E613" i="4"/>
  <x:c r="F613" i="4"/>
  <x:c r="T613" i="4"/>
  <x:c r="A614" i="4"/>
  <x:c r="E614" i="4"/>
  <x:c r="F614" i="4"/>
  <x:c r="T614" i="4"/>
  <x:c r="A615" i="4"/>
  <x:c r="E615" i="4"/>
  <x:c r="F615" i="4"/>
  <x:c r="T615" i="4"/>
  <x:c r="A616" i="4"/>
  <x:c r="E616" i="4"/>
  <x:c r="F616" i="4"/>
  <x:c r="T616" i="4"/>
  <x:c r="A617" i="4"/>
  <x:c r="E617" i="4"/>
  <x:c r="F617" i="4"/>
  <x:c r="T617" i="4"/>
  <x:c r="A618" i="4"/>
  <x:c r="E618" i="4"/>
  <x:c r="F618" i="4"/>
  <x:c r="T618" i="4"/>
  <x:c r="A619" i="4"/>
  <x:c r="E619" i="4"/>
  <x:c r="F619" i="4"/>
  <x:c r="T619" i="4"/>
  <x:c r="A620" i="4"/>
  <x:c r="E620" i="4"/>
  <x:c r="F620" i="4"/>
  <x:c r="T620" i="4"/>
  <x:c r="A621" i="4"/>
  <x:c r="E621" i="4"/>
  <x:c r="F621" i="4"/>
  <x:c r="T621" i="4"/>
  <x:c r="A622" i="4"/>
  <x:c r="E622" i="4"/>
  <x:c r="F622" i="4"/>
  <x:c r="T622" i="4"/>
  <x:c r="A623" i="4"/>
  <x:c r="E623" i="4"/>
  <x:c r="F623" i="4"/>
  <x:c r="T623" i="4"/>
  <x:c r="A624" i="4"/>
  <x:c r="E624" i="4"/>
  <x:c r="F624" i="4"/>
  <x:c r="T624" i="4"/>
  <x:c r="A625" i="4"/>
  <x:c r="E625" i="4"/>
  <x:c r="F625" i="4"/>
  <x:c r="T625" i="4"/>
  <x:c r="A626" i="4"/>
  <x:c r="E626" i="4"/>
  <x:c r="F626" i="4"/>
  <x:c r="T626" i="4"/>
  <x:c r="A627" i="4"/>
  <x:c r="E627" i="4"/>
  <x:c r="F627" i="4"/>
  <x:c r="T627" i="4"/>
  <x:c r="A628" i="4"/>
  <x:c r="E628" i="4"/>
  <x:c r="F628" i="4"/>
  <x:c r="T628" i="4"/>
  <x:c r="A629" i="4"/>
  <x:c r="E629" i="4"/>
  <x:c r="F629" i="4"/>
  <x:c r="T629" i="4"/>
  <x:c r="A630" i="4"/>
  <x:c r="E630" i="4"/>
  <x:c r="F630" i="4"/>
  <x:c r="T630" i="4"/>
  <x:c r="A631" i="4"/>
  <x:c r="E631" i="4"/>
  <x:c r="F631" i="4"/>
  <x:c r="T631" i="4"/>
  <x:c r="A632" i="4"/>
  <x:c r="E632" i="4"/>
  <x:c r="F632" i="4"/>
  <x:c r="T632" i="4"/>
  <x:c r="A633" i="4"/>
  <x:c r="E633" i="4"/>
  <x:c r="F633" i="4"/>
  <x:c r="T633" i="4"/>
  <x:c r="A634" i="4"/>
  <x:c r="E634" i="4"/>
  <x:c r="F634" i="4"/>
  <x:c r="T634" i="4"/>
  <x:c r="A635" i="4"/>
  <x:c r="E635" i="4"/>
  <x:c r="F635" i="4"/>
  <x:c r="T635" i="4"/>
  <x:c r="A636" i="4"/>
  <x:c r="E636" i="4"/>
  <x:c r="F636" i="4"/>
  <x:c r="T636" i="4"/>
  <x:c r="A637" i="4"/>
  <x:c r="E637" i="4"/>
  <x:c r="F637" i="4"/>
  <x:c r="T637" i="4"/>
  <x:c r="A638" i="4"/>
  <x:c r="E638" i="4"/>
  <x:c r="F638" i="4"/>
  <x:c r="T638" i="4"/>
  <x:c r="A639" i="4"/>
  <x:c r="E639" i="4"/>
  <x:c r="F639" i="4"/>
  <x:c r="T639" i="4"/>
  <x:c r="A640" i="4"/>
  <x:c r="E640" i="4"/>
  <x:c r="F640" i="4"/>
  <x:c r="T640" i="4"/>
  <x:c r="A641" i="4"/>
  <x:c r="E641" i="4"/>
  <x:c r="F641" i="4"/>
  <x:c r="T641" i="4"/>
  <x:c r="A642" i="4"/>
  <x:c r="E642" i="4"/>
  <x:c r="F642" i="4"/>
  <x:c r="T642" i="4"/>
  <x:c r="A643" i="4"/>
  <x:c r="E643" i="4"/>
  <x:c r="F643" i="4"/>
  <x:c r="T643" i="4"/>
  <x:c r="A644" i="4"/>
  <x:c r="E644" i="4"/>
  <x:c r="F644" i="4"/>
  <x:c r="T644" i="4"/>
  <x:c r="A645" i="4"/>
  <x:c r="E645" i="4"/>
  <x:c r="F645" i="4"/>
  <x:c r="T645" i="4"/>
  <x:c r="A646" i="4"/>
  <x:c r="E646" i="4"/>
  <x:c r="F646" i="4"/>
  <x:c r="T646" i="4"/>
  <x:c r="A647" i="4"/>
  <x:c r="E647" i="4"/>
  <x:c r="F647" i="4"/>
  <x:c r="T647" i="4"/>
  <x:c r="A648" i="4"/>
  <x:c r="E648" i="4"/>
  <x:c r="F648" i="4"/>
  <x:c r="T648" i="4"/>
  <x:c r="A649" i="4"/>
  <x:c r="E649" i="4"/>
  <x:c r="F649" i="4"/>
  <x:c r="T649" i="4"/>
  <x:c r="A650" i="4"/>
  <x:c r="E650" i="4"/>
  <x:c r="F650" i="4"/>
  <x:c r="T650" i="4"/>
  <x:c r="A651" i="4"/>
  <x:c r="E651" i="4"/>
  <x:c r="F651" i="4"/>
  <x:c r="T651" i="4"/>
  <x:c r="A652" i="4"/>
  <x:c r="E652" i="4"/>
  <x:c r="F652" i="4"/>
  <x:c r="T652" i="4"/>
  <x:c r="A653" i="4"/>
  <x:c r="E653" i="4"/>
  <x:c r="F653" i="4"/>
  <x:c r="T653" i="4"/>
  <x:c r="A654" i="4"/>
  <x:c r="E654" i="4"/>
  <x:c r="F654" i="4"/>
  <x:c r="T654" i="4"/>
  <x:c r="A655" i="4"/>
  <x:c r="E655" i="4"/>
  <x:c r="F655" i="4"/>
  <x:c r="T655" i="4"/>
  <x:c r="A656" i="4"/>
  <x:c r="E656" i="4"/>
  <x:c r="F656" i="4"/>
  <x:c r="T656" i="4"/>
  <x:c r="A657" i="4"/>
  <x:c r="E657" i="4"/>
  <x:c r="F657" i="4"/>
  <x:c r="T657" i="4"/>
  <x:c r="A658" i="4"/>
  <x:c r="E658" i="4"/>
  <x:c r="F658" i="4"/>
  <x:c r="T658" i="4"/>
  <x:c r="A659" i="4"/>
  <x:c r="E659" i="4"/>
  <x:c r="F659" i="4"/>
  <x:c r="T659" i="4"/>
  <x:c r="A660" i="4"/>
  <x:c r="E660" i="4"/>
  <x:c r="F660" i="4"/>
  <x:c r="T660" i="4"/>
  <x:c r="A661" i="4"/>
  <x:c r="E661" i="4"/>
  <x:c r="F661" i="4"/>
  <x:c r="T661" i="4"/>
  <x:c r="A662" i="4"/>
  <x:c r="E662" i="4"/>
  <x:c r="F662" i="4"/>
  <x:c r="T662" i="4"/>
  <x:c r="A663" i="4"/>
  <x:c r="E663" i="4"/>
  <x:c r="F663" i="4"/>
  <x:c r="T663" i="4"/>
  <x:c r="A664" i="4"/>
  <x:c r="E664" i="4"/>
  <x:c r="F664" i="4"/>
  <x:c r="T664" i="4"/>
  <x:c r="A665" i="4"/>
  <x:c r="E665" i="4"/>
  <x:c r="F665" i="4"/>
  <x:c r="T665" i="4"/>
  <x:c r="A666" i="4"/>
  <x:c r="E666" i="4"/>
  <x:c r="F666" i="4"/>
  <x:c r="T666" i="4"/>
  <x:c r="A667" i="4"/>
  <x:c r="E667" i="4"/>
  <x:c r="F667" i="4"/>
  <x:c r="T667" i="4"/>
  <x:c r="A668" i="4"/>
  <x:c r="E668" i="4"/>
  <x:c r="F668" i="4"/>
  <x:c r="T668" i="4"/>
  <x:c r="A669" i="4"/>
  <x:c r="E669" i="4"/>
  <x:c r="F669" i="4"/>
  <x:c r="T669" i="4"/>
  <x:c r="A670" i="4"/>
  <x:c r="E670" i="4"/>
  <x:c r="F670" i="4"/>
  <x:c r="T670" i="4"/>
  <x:c r="A671" i="4"/>
  <x:c r="E671" i="4"/>
  <x:c r="F671" i="4"/>
  <x:c r="T671" i="4"/>
  <x:c r="A672" i="4"/>
  <x:c r="E672" i="4"/>
  <x:c r="F672" i="4"/>
  <x:c r="T672" i="4"/>
  <x:c r="A673" i="4"/>
  <x:c r="E673" i="4"/>
  <x:c r="F673" i="4"/>
  <x:c r="T673" i="4"/>
  <x:c r="A674" i="4"/>
  <x:c r="E674" i="4"/>
  <x:c r="F674" i="4"/>
  <x:c r="T674" i="4"/>
  <x:c r="A675" i="4"/>
  <x:c r="E675" i="4"/>
  <x:c r="F675" i="4"/>
  <x:c r="T675" i="4"/>
  <x:c r="A676" i="4"/>
  <x:c r="E676" i="4"/>
  <x:c r="F676" i="4"/>
  <x:c r="T676" i="4"/>
  <x:c r="A677" i="4"/>
  <x:c r="E677" i="4"/>
  <x:c r="F677" i="4"/>
  <x:c r="T677" i="4"/>
  <x:c r="A678" i="4"/>
  <x:c r="E678" i="4"/>
  <x:c r="F678" i="4"/>
  <x:c r="T678" i="4"/>
  <x:c r="A679" i="4"/>
  <x:c r="E679" i="4"/>
  <x:c r="F679" i="4"/>
  <x:c r="T679" i="4"/>
  <x:c r="A680" i="4"/>
  <x:c r="E680" i="4"/>
  <x:c r="F680" i="4"/>
  <x:c r="T680" i="4"/>
  <x:c r="A681" i="4"/>
  <x:c r="E681" i="4"/>
  <x:c r="F681" i="4"/>
  <x:c r="T681" i="4"/>
  <x:c r="A682" i="4"/>
  <x:c r="E682" i="4"/>
  <x:c r="F682" i="4"/>
  <x:c r="T682" i="4"/>
  <x:c r="A683" i="4"/>
  <x:c r="E683" i="4"/>
  <x:c r="F683" i="4"/>
  <x:c r="T683" i="4"/>
  <x:c r="A684" i="4"/>
  <x:c r="E684" i="4"/>
  <x:c r="F684" i="4"/>
  <x:c r="T684" i="4"/>
  <x:c r="A685" i="4"/>
  <x:c r="E685" i="4"/>
  <x:c r="F685" i="4"/>
  <x:c r="T685" i="4"/>
  <x:c r="A686" i="4"/>
  <x:c r="E686" i="4"/>
  <x:c r="F686" i="4"/>
  <x:c r="T686" i="4"/>
  <x:c r="A687" i="4"/>
  <x:c r="E687" i="4"/>
  <x:c r="F687" i="4"/>
  <x:c r="T687" i="4"/>
  <x:c r="A688" i="4"/>
  <x:c r="E688" i="4"/>
  <x:c r="F688" i="4"/>
  <x:c r="T688" i="4"/>
  <x:c r="A689" i="4"/>
  <x:c r="E689" i="4"/>
  <x:c r="F689" i="4"/>
  <x:c r="T689" i="4"/>
  <x:c r="A690" i="4"/>
  <x:c r="E690" i="4"/>
  <x:c r="F690" i="4"/>
  <x:c r="T690" i="4"/>
  <x:c r="A691" i="4"/>
  <x:c r="E691" i="4"/>
  <x:c r="F691" i="4"/>
  <x:c r="T691" i="4"/>
  <x:c r="A692" i="4"/>
  <x:c r="E692" i="4"/>
  <x:c r="F692" i="4"/>
  <x:c r="T692" i="4"/>
  <x:c r="A693" i="4"/>
  <x:c r="E693" i="4"/>
  <x:c r="F693" i="4"/>
  <x:c r="T693" i="4"/>
  <x:c r="A694" i="4"/>
  <x:c r="E694" i="4"/>
  <x:c r="F694" i="4"/>
  <x:c r="T694" i="4"/>
  <x:c r="A695" i="4"/>
  <x:c r="E695" i="4"/>
  <x:c r="F695" i="4"/>
  <x:c r="T695" i="4"/>
  <x:c r="A696" i="4"/>
  <x:c r="E696" i="4"/>
  <x:c r="F696" i="4"/>
  <x:c r="T696" i="4"/>
  <x:c r="A697" i="4"/>
  <x:c r="E697" i="4"/>
  <x:c r="F697" i="4"/>
  <x:c r="T697" i="4"/>
  <x:c r="A698" i="4"/>
  <x:c r="E698" i="4"/>
  <x:c r="F698" i="4"/>
  <x:c r="T698" i="4"/>
  <x:c r="A699" i="4"/>
  <x:c r="E699" i="4"/>
  <x:c r="F699" i="4"/>
  <x:c r="T699" i="4"/>
  <x:c r="A700" i="4"/>
  <x:c r="E700" i="4"/>
  <x:c r="F700" i="4"/>
  <x:c r="T700" i="4"/>
  <x:c r="A701" i="4"/>
  <x:c r="E701" i="4"/>
  <x:c r="F701" i="4"/>
  <x:c r="T701" i="4"/>
  <x:c r="A702" i="4"/>
  <x:c r="E702" i="4"/>
  <x:c r="F702" i="4"/>
  <x:c r="T702" i="4"/>
  <x:c r="A703" i="4"/>
  <x:c r="E703" i="4"/>
  <x:c r="F703" i="4"/>
  <x:c r="T703" i="4"/>
  <x:c r="A704" i="4"/>
  <x:c r="E704" i="4"/>
  <x:c r="F704" i="4"/>
  <x:c r="T704" i="4"/>
  <x:c r="A705" i="4"/>
  <x:c r="E705" i="4"/>
  <x:c r="F705" i="4"/>
  <x:c r="T705" i="4"/>
  <x:c r="A706" i="4"/>
  <x:c r="E706" i="4"/>
  <x:c r="F706" i="4"/>
  <x:c r="T706" i="4"/>
  <x:c r="A707" i="4"/>
  <x:c r="E707" i="4"/>
  <x:c r="F707" i="4"/>
  <x:c r="T707" i="4"/>
  <x:c r="A708" i="4"/>
  <x:c r="E708" i="4"/>
  <x:c r="F708" i="4"/>
  <x:c r="T708" i="4"/>
  <x:c r="A709" i="4"/>
  <x:c r="E709" i="4"/>
  <x:c r="F709" i="4"/>
  <x:c r="T709" i="4"/>
  <x:c r="A710" i="4"/>
  <x:c r="E710" i="4"/>
  <x:c r="F710" i="4"/>
  <x:c r="T710" i="4"/>
  <x:c r="A711" i="4"/>
  <x:c r="E711" i="4"/>
  <x:c r="F711" i="4"/>
  <x:c r="T711" i="4"/>
  <x:c r="A712" i="4"/>
  <x:c r="E712" i="4"/>
  <x:c r="F712" i="4"/>
  <x:c r="T712" i="4"/>
  <x:c r="A713" i="4"/>
  <x:c r="E713" i="4"/>
  <x:c r="F713" i="4"/>
  <x:c r="T713" i="4"/>
  <x:c r="A714" i="4"/>
  <x:c r="E714" i="4"/>
  <x:c r="F714" i="4"/>
  <x:c r="T714" i="4"/>
  <x:c r="A715" i="4"/>
  <x:c r="E715" i="4"/>
  <x:c r="F715" i="4"/>
  <x:c r="T715" i="4"/>
  <x:c r="A716" i="4"/>
  <x:c r="E716" i="4"/>
  <x:c r="F716" i="4"/>
  <x:c r="T716" i="4"/>
  <x:c r="A717" i="4"/>
  <x:c r="E717" i="4"/>
  <x:c r="F717" i="4"/>
  <x:c r="T717" i="4"/>
  <x:c r="A718" i="4"/>
  <x:c r="E718" i="4"/>
  <x:c r="F718" i="4"/>
  <x:c r="T718" i="4"/>
  <x:c r="A719" i="4"/>
  <x:c r="E719" i="4"/>
  <x:c r="F719" i="4"/>
  <x:c r="T719" i="4"/>
  <x:c r="A4" i="5"/>
  <x:c r="A5" i="5"/>
  <x:c r="A6" i="5"/>
  <x:c r="A7" i="5"/>
  <x:c r="A8" i="5"/>
  <x:c r="A9" i="5"/>
  <x:c r="A10" i="5"/>
  <x:c r="A11" i="5"/>
  <x:c r="A12" i="5"/>
  <x:c r="A13" i="5"/>
  <x:c r="A14" i="5"/>
  <x:c r="A15" i="5"/>
  <x:c r="A16" i="5"/>
  <x:c r="A17" i="5"/>
  <x:c r="A18" i="5"/>
  <x:c r="A4" i="6"/>
  <x:c r="A5" i="6"/>
  <x:c r="A6" i="6"/>
  <x:c r="A7" i="6"/>
  <x:c r="A8" i="6"/>
  <x:c r="A9" i="6"/>
  <x:c r="A10" i="6"/>
  <x:c r="A11" i="6"/>
  <x:c r="A12" i="6"/>
  <x:c r="A13" i="6"/>
  <x:c r="A14" i="6"/>
  <x:c r="A15" i="6"/>
  <x:c r="A16" i="6"/>
  <x:c r="A17" i="6"/>
  <x:c r="A4" i="8"/>
  <x:c r="A5" i="8"/>
  <x:c r="A6" i="8"/>
  <x:c r="A7" i="8"/>
  <x:c r="A8" i="8"/>
  <x:c r="A9" i="8"/>
  <x:c r="A10" i="8"/>
  <x:c r="A11" i="8"/>
  <x:c r="A12" i="8"/>
  <x:c r="A4" i="9"/>
  <x:c r="A5" i="9"/>
  <x:c r="A6" i="9"/>
  <x:c r="A7" i="9"/>
  <x:c r="A8" i="9"/>
  <x:c r="A4" i="10"/>
  <x:c r="H4" i="10"/>
  <x:c r="A5" i="10"/>
  <x:c r="H5" i="10"/>
  <x:c r="A6" i="10"/>
  <x:c r="H6" i="10"/>
  <x:c r="A7" i="10"/>
  <x:c r="H7" i="10"/>
  <x:c r="A8" i="10"/>
  <x:c r="H8" i="10"/>
  <x:c r="A4" i="13"/>
  <x:c r="G4" i="13"/>
  <x:c r="H4" i="13"/>
  <x:c r="I4" i="13"/>
  <x:c r="L4" i="13"/>
  <x:c r="A5" i="13"/>
  <x:c r="F5" i="13"/>
  <x:c r="G5" i="13"/>
  <x:c r="H5" i="13"/>
  <x:c r="I5" i="13"/>
  <x:c r="L5" i="13"/>
  <x:c r="A6" i="13"/>
  <x:c r="F6" i="13"/>
  <x:c r="G6" i="13"/>
  <x:c r="H6" i="13"/>
  <x:c r="I6" i="13"/>
  <x:c r="L6" i="13"/>
  <x:c r="A7" i="13"/>
  <x:c r="F7" i="13"/>
  <x:c r="G7" i="13"/>
  <x:c r="H7" i="13"/>
  <x:c r="I7" i="13"/>
  <x:c r="L7" i="13"/>
  <x:c r="A8" i="13"/>
  <x:c r="F8" i="13"/>
  <x:c r="G8" i="13"/>
  <x:c r="H8" i="13"/>
  <x:c r="I8" i="13"/>
  <x:c r="L8" i="13"/>
  <x:c r="A9" i="13"/>
  <x:c r="F9" i="13"/>
  <x:c r="G9" i="13"/>
  <x:c r="H9" i="13"/>
  <x:c r="I9" i="13"/>
  <x:c r="L9" i="13"/>
  <x:c r="A4" i="11"/>
  <x:c r="F4" i="11"/>
  <x:c r="A5" i="11"/>
  <x:c r="F5" i="11"/>
  <x:c r="A6" i="11"/>
  <x:c r="F6" i="11"/>
  <x:c r="A7" i="11"/>
  <x:c r="F7" i="11"/>
  <x:c r="A8" i="11"/>
  <x:c r="F8" i="11"/>
  <x:c r="H144" i="12"/>
  <x:c r="H145" i="12"/>
  <x:c r="H146" i="12"/>
  <x:c r="H147" i="12"/>
  <x:c r="H148" i="12"/>
</x:calcChain>
</file>

<file path=xl/sharedStrings.xml><?xml version="1.0" encoding="utf-8"?>
<x:sst xmlns:x="http://schemas.openxmlformats.org/spreadsheetml/2006/main">
  <x:si>
    <x:t>lbh9517_175126</x:t>
  </x:si>
  <x:si>
    <x:t>고유값</x:t>
  </x:si>
  <x:si>
    <x:t>테마 id</x:t>
  </x:si>
  <x:si>
    <x:t>패스 레벨</x:t>
  </x:si>
  <x:si>
    <x:t>필요 exp 양</x:t>
  </x:si>
  <x:si>
    <x:t>완료 보상 1</x:t>
  </x:si>
  <x:si>
    <x:t>보상 값 1</x:t>
  </x:si>
  <x:si>
    <x:t>해금될 도감 스토리 id</x:t>
  </x:si>
  <x:si>
    <x:t>y시 메인 리워드</x:t>
  </x:si>
  <x:si>
    <x:t>등급 설정</x:t>
  </x:si>
  <x:si>
    <x:t>세트 설정</x:t>
  </x:si>
  <x:si>
    <x:t>장비 옵션 설정</x:t>
  </x:si>
  <x:si>
    <x:t>장비 강화 LV 설정(현재 15만 사용 가능)</x:t>
  </x:si>
  <x:si>
    <x:t>id</x:t>
  </x:si>
  <x:si>
    <x:t>export_id</x:t>
  </x:si>
  <x:si>
    <x:t>theme_id</x:t>
  </x:si>
  <x:si>
    <x:t>level</x:t>
  </x:si>
  <x:si>
    <x:t>need_exp_value</x:t>
  </x:si>
  <x:si>
    <x:t>reward_id_1</x:t>
  </x:si>
  <x:si>
    <x:t>reward_value_1</x:t>
  </x:si>
  <x:si>
    <x:t>dic_collect_story</x:t>
  </x:si>
  <x:si>
    <x:t>main_reward</x:t>
  </x:si>
  <x:si>
    <x:t>*grade_rate_1</x:t>
  </x:si>
  <x:si>
    <x:t>*set_drop_1</x:t>
  </x:si>
  <x:si>
    <x:t>*equip_op_1</x:t>
  </x:si>
  <x:si>
    <x:t>*equip_enchant_lv_1</x:t>
  </x:si>
  <x:si>
    <x:t>s1</x:t>
  </x:si>
  <x:si>
    <x:t>to_gold</x:t>
  </x:si>
  <x:si>
    <x:t>nexus_s1_story_001</x:t>
  </x:si>
  <x:si>
    <x:t>to_stigma</x:t>
  </x:si>
  <x:si>
    <x:t>to_ticketrare</x:t>
  </x:si>
  <x:si>
    <x:t>nexus_s1_story_002</x:t>
  </x:si>
  <x:si>
    <x:t>to_crystal</x:t>
  </x:si>
  <x:si>
    <x:t>nexus_s1_story_003</x:t>
  </x:si>
  <x:si>
    <x:t>to_powder</x:t>
  </x:si>
  <x:si>
    <x:t>to_ticketrare_wish</x:t>
  </x:si>
  <x:si>
    <x:t>nexus_s1_story_004</x:t>
  </x:si>
  <x:si>
    <x:t>nexus_s1_story_005</x:t>
  </x:si>
  <x:si>
    <x:t>y</x:t>
  </x:si>
  <x:si>
    <x:t>nexus_s1_story_006</x:t>
  </x:si>
  <x:si>
    <x:t>nexus_s1_story_007</x:t>
  </x:si>
  <x:si>
    <x:t>nexus_s1_story_008</x:t>
  </x:si>
  <x:si>
    <x:t>nexus_s1_story_009</x:t>
  </x:si>
  <x:si>
    <x:t>nexus_s1_story_010</x:t>
  </x:si>
  <x:si>
    <x:t>nexus_s1_story_011</x:t>
  </x:si>
  <x:si>
    <x:t>nexus_s1_story_012</x:t>
  </x:si>
  <x:si>
    <x:t>nexus_s1_story_013</x:t>
  </x:si>
  <x:si>
    <x:t>nexus_s1_story_014</x:t>
  </x:si>
  <x:si>
    <x:t>nexus_s1_story_015</x:t>
  </x:si>
  <x:si>
    <x:t>to_mura</x:t>
  </x:si>
  <x:si>
    <x:t>to_ticketspecial</x:t>
  </x:si>
  <x:si>
    <x:t>to_hero2</x:t>
  </x:si>
  <x:si>
    <x:t>to_ticketmoon</x:t>
  </x:si>
  <x:si>
    <x:t>sp_eqf5s_210422</x:t>
  </x:si>
  <x:si>
    <x:t>레벨</x:t>
  </x:si>
  <x:si>
    <x:t>레벨 별 배경</x:t>
  </x:si>
  <x:si>
    <x:t>레벨 별 이미지</x:t>
  </x:si>
  <x:si>
    <x:t>레벨 상승 필요 아이템</x:t>
  </x:si>
  <x:si>
    <x:t>레벨 상승 필요 개수</x:t>
  </x:si>
  <x:si>
    <x:t>노드 구획 해방 권한</x:t>
  </x:si>
  <x:si>
    <x:t>리워드 타입</x:t>
  </x:si>
  <x:si>
    <x:t>리워드 id</x:t>
  </x:si>
  <x:si>
    <x:t>리워드 개수</x:t>
  </x:si>
  <x:si>
    <x:t>level_bg</x:t>
  </x:si>
  <x:si>
    <x:t>level_image</x:t>
  </x:si>
  <x:si>
    <x:t>level_require_item_id</x:t>
  </x:si>
  <x:si>
    <x:t>level_require_item_value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</x:si>
  <x:si>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node_permission</x:t>
    </x:r>
    <x:phoneticPr fontId="0" type="noConversion"/>
  </x:si>
  <x:si>
    <x:t>reward_type_1</x:t>
  </x:si>
  <x:si>
    <x:t>reward_1_value</x:t>
  </x:si>
  <x:si>
    <x:t>reward_type_2</x:t>
  </x:si>
  <x:si>
    <x:t>reward_id_2</x:t>
  </x:si>
  <x:si>
    <x:t>reward_2_value</x:t>
  </x:si>
  <x:si>
    <x:t>*grade_rate_2</x:t>
  </x:si>
  <x:si>
    <x:t>*set_drop_2</x:t>
  </x:si>
  <x:si>
    <x:t>*equip_op_2</x:t>
  </x:si>
  <x:si>
    <x:t>*equip_enchant_lv_2</x:t>
  </x:si>
  <x:si>
    <x:t>bg_nexus1_00pct</x:t>
  </x:si>
  <x:si>
    <x:t>nexus_hall_lv_01</x:t>
  </x:si>
  <x:si>
    <x:t>node</x:t>
  </x:si>
  <x:si>
    <x:t>item</x:t>
  </x:si>
  <x:si>
    <x:t>nexus_hall_lv_02</x:t>
  </x:si>
  <x:si>
    <x:t>bg_nexus1_25pct</x:t>
  </x:si>
  <x:si>
    <x:t>nexus_hall_lv_03</x:t>
  </x:si>
  <x:si>
    <x:t>nexus_hall_lv_04</x:t>
  </x:si>
  <x:si>
    <x:t>bg_nexus1_50pct</x:t>
  </x:si>
  <x:si>
    <x:t>nexus_hall_lv_05</x:t>
  </x:si>
  <x:si>
    <x:t>nexus_hall_lv_06</x:t>
  </x:si>
  <x:si>
    <x:t>bg_nexus1_75pct</x:t>
  </x:si>
  <x:si>
    <x:t>nexus_hall_lv_07</x:t>
  </x:si>
  <x:si>
    <x:t>nexus_hall_lv_08</x:t>
  </x:si>
  <x:si>
    <x:t>bg_nexus1_100pct</x:t>
  </x:si>
  <x:si>
    <x:t>nexus_hall_lv_09</x:t>
  </x:si>
  <x:si>
    <x:t>nexus_hall_lv_10</x:t>
  </x:si>
  <x:si>
    <x:t>노드카테고리id</x:t>
  </x:si>
  <x:si>
    <x:t>테마 id 주석</x:t>
  </x:si>
  <x:si>
    <x:t>노드 카테고리 주석</x:t>
  </x:si>
  <x:si>
    <x:t>카테고리 정렬 순서</x:t>
  </x:si>
  <x:si>
    <x:t>노드 이름 tid</x:t>
  </x:si>
  <x:si>
    <x:t>category</x:t>
  </x:si>
  <x:si>
    <x:t>index</x:t>
  </x:si>
  <x:si>
    <x:t>node_name</x:t>
  </x:si>
  <x:si>
    <x:t>survival</x:t>
  </x:si>
  <x:si>
    <x:t>economy</x:t>
  </x:si>
  <x:si>
    <x:t>relic</x:t>
  </x:si>
  <x:si>
    <x:t>battle</x:t>
  </x:si>
  <x:si>
    <x:t>노드 카테고리</x:t>
  </x:si>
  <x:si>
    <x:t>카테고리 TID</x:t>
  </x:si>
  <x:si>
    <x:t>노드 이미지 파일명</x:t>
  </x:si>
  <x:si>
    <x:t>메인 리워드 권한</x:t>
  </x:si>
  <x:si>
    <x:t>노드 활성화 필요 아이템</x:t>
  </x:si>
  <x:si>
    <x:t>노드 활성화 필요 개수</x:t>
  </x:si>
  <x:si>
    <x:r>
      <x:rPr>
        <x:vertAlign val="baseline"/>
        <x:sz val="11"/>
        <x:color theme="1"/>
        <x:rFont val="맑은 고딕"/>
        <x:family val="3"/>
        <x:charset val="129"/>
      </x:rPr>
      <x:t>전체 필요 개수</x:t>
    </x:r>
    <x:phoneticPr fontId="0" type="noConversion"/>
  </x:si>
  <x:si>
    <x:t>노드 활성화 횟수</x:t>
  </x:si>
  <x:si>
    <x:t>노드 칼럼 위치</x:t>
  </x:si>
  <x:si>
    <x:t>노드 행 위치</x:t>
  </x:si>
  <x:si>
    <x:t>선행 조건 노드 ID 1</x:t>
  </x:si>
  <x:si>
    <x:t>선행 조건 노드 ID 2</x:t>
  </x:si>
  <x:si>
    <x:t>선행 조건 노드 ID 3</x:t>
  </x:si>
  <x:si>
    <x:t>선행 조건 노드 ID 4</x:t>
  </x:si>
  <x:si>
    <x:t>선행 조건 노드 ID 5</x:t>
  </x:si>
  <x:si>
    <x:t>nexus_effect 테이블의 id 입력</x:t>
  </x:si>
  <x:si>
    <x:t>category_name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</x:si>
  <x:si>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node_effect_desc</x:t>
    </x:r>
    <x:phoneticPr fontId="0" type="noConversion"/>
  </x:si>
  <x:si>
    <x:t>image</x:t>
  </x:si>
  <x:si>
    <x:t>active_item_value</x:t>
  </x:si>
  <x:si>
    <x:t>active_item_id</x:t>
  </x:si>
  <x:si>
    <x:t>active_step</x:t>
  </x:si>
  <x:si>
    <x:t>column</x:t>
  </x:si>
  <x:si>
    <x:t>row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</x:si>
  <x:si>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condition_node_1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</x:si>
  <x:si>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condition_node_2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</x:si>
  <x:si>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condition_node_3</x:t>
    </x:r>
    <x:phoneticPr fontId="0" type="noConversion"/>
  </x:si>
  <x:si>
    <x:t>condition_node_4</x:t>
  </x:si>
  <x:si>
    <x:t>condition_node_5</x:t>
  </x:si>
  <x:si>
    <x:t>nexus_effect_id</x:t>
  </x:si>
  <x:si>
    <x:t>icon_menu_max_hp</x:t>
  </x:si>
  <x:si>
    <x:t>20;30;30</x:t>
  </x:si>
  <x:si>
    <x:t>30;40;50</x:t>
  </x:si>
  <x:si>
    <x:t>s1_node_survival_1_4</x:t>
  </x:si>
  <x:si>
    <x:t>icon_menu_trust</x:t>
  </x:si>
  <x:si>
    <x:t>40;50;60</x:t>
  </x:si>
  <x:si>
    <x:t>s1_node_survival_2_2</x:t>
  </x:si>
  <x:si>
    <x:t>s1_node_survival_2_6</x:t>
  </x:si>
  <x:si>
    <x:t>50;60;70</x:t>
  </x:si>
  <x:si>
    <x:t>s1_node_survival_3_2</x:t>
  </x:si>
  <x:si>
    <x:t>s1_node_survival_3_6</x:t>
  </x:si>
  <x:si>
    <x:t>icon_menu_battle2</x:t>
  </x:si>
  <x:si>
    <x:t>60;70;90</x:t>
  </x:si>
  <x:si>
    <x:t>s1_node_survival_4_2</x:t>
  </x:si>
  <x:si>
    <x:t>s1_node_survival_4_6</x:t>
  </x:si>
  <x:si>
    <x:t>70;80;100</x:t>
  </x:si>
  <x:si>
    <x:t>s1_node_survival_5_2</x:t>
  </x:si>
  <x:si>
    <x:t>s1_node_survival_5_6</x:t>
  </x:si>
  <x:si>
    <x:t>90;100;100</x:t>
  </x:si>
  <x:si>
    <x:t>s1_node_survival_6_4</x:t>
  </x:si>
  <x:si>
    <x:t>100;110;110</x:t>
  </x:si>
  <x:si>
    <x:t>s1_node_survival_7_2</x:t>
  </x:si>
  <x:si>
    <x:t>s1_node_survival_7_6</x:t>
  </x:si>
  <x:si>
    <x:t>110;120;130</x:t>
  </x:si>
  <x:si>
    <x:t>s1_node_survival_8_2</x:t>
  </x:si>
  <x:si>
    <x:t>s1_node_survival_8_6</x:t>
  </x:si>
  <x:si>
    <x:t>120;130;140</x:t>
  </x:si>
  <x:si>
    <x:t>s1_node_survival_9_2</x:t>
  </x:si>
  <x:si>
    <x:t>s1_node_survival_9_6</x:t>
  </x:si>
  <x:si>
    <x:t>130;140;160</x:t>
  </x:si>
  <x:si>
    <x:t>s1_node_survival_10_2</x:t>
  </x:si>
  <x:si>
    <x:t>s1_node_survival_10_6</x:t>
  </x:si>
  <x:si>
    <x:t>140;150;170</x:t>
  </x:si>
  <x:si>
    <x:t>s1_node_survival_11_4</x:t>
  </x:si>
  <x:si>
    <x:t>160;170;170</x:t>
  </x:si>
  <x:si>
    <x:t>s1_node_survival_12_2</x:t>
  </x:si>
  <x:si>
    <x:t>s1_node_survival_12_6</x:t>
  </x:si>
  <x:si>
    <x:t>170;180;180</x:t>
  </x:si>
  <x:si>
    <x:t>s1_node_survival_13_2</x:t>
  </x:si>
  <x:si>
    <x:t>s1_node_survival_13_6</x:t>
  </x:si>
  <x:si>
    <x:t>180;190;200</x:t>
  </x:si>
  <x:si>
    <x:t>s1_node_survival_14_2</x:t>
  </x:si>
  <x:si>
    <x:t>s1_node_survival_14_6</x:t>
  </x:si>
  <x:si>
    <x:t>190;200;210</x:t>
  </x:si>
  <x:si>
    <x:t>s1_node_survival_15_2</x:t>
  </x:si>
  <x:si>
    <x:t>s1_node_survival_15_6</x:t>
  </x:si>
  <x:si>
    <x:t>200;210;230</x:t>
  </x:si>
  <x:si>
    <x:t>s1_node_survival_16_4</x:t>
  </x:si>
  <x:si>
    <x:t>210;220;240</x:t>
  </x:si>
  <x:si>
    <x:t>s1_node_survival_17_2</x:t>
  </x:si>
  <x:si>
    <x:t>s1_node_survival_17_6</x:t>
  </x:si>
  <x:si>
    <x:t>230;240;240</x:t>
  </x:si>
  <x:si>
    <x:t>s1_node_survival_18_2</x:t>
  </x:si>
  <x:si>
    <x:t>s1_node_survival_18_6</x:t>
  </x:si>
  <x:si>
    <x:t>240;250;250</x:t>
  </x:si>
  <x:si>
    <x:t>s1_node_survival_19_2</x:t>
  </x:si>
  <x:si>
    <x:t>s1_node_survival_19_6</x:t>
  </x:si>
  <x:si>
    <x:t>250;260;270</x:t>
  </x:si>
  <x:si>
    <x:t>s1_node_survival_20_2</x:t>
  </x:si>
  <x:si>
    <x:t>s1_node_survival_20_6</x:t>
  </x:si>
  <x:si>
    <x:t>260;270;280</x:t>
  </x:si>
  <x:si>
    <x:t>s1_node_survival_21_4</x:t>
  </x:si>
  <x:si>
    <x:t>270;280;290</x:t>
  </x:si>
  <x:si>
    <x:t>s1_node_survival_22_2</x:t>
  </x:si>
  <x:si>
    <x:t>s1_node_survival_22_6</x:t>
  </x:si>
  <x:si>
    <x:t>280;290;310</x:t>
  </x:si>
  <x:si>
    <x:t>s1_node_survival_23_2</x:t>
  </x:si>
  <x:si>
    <x:t>s1_node_survival_23_6</x:t>
  </x:si>
  <x:si>
    <x:t>290;300;320</x:t>
  </x:si>
  <x:si>
    <x:t>s1_node_survival_24_2</x:t>
  </x:si>
  <x:si>
    <x:t>s1_node_survival_24_6</x:t>
  </x:si>
  <x:si>
    <x:t>310;320;320</x:t>
  </x:si>
  <x:si>
    <x:t>s1_node_survival_25_2</x:t>
  </x:si>
  <x:si>
    <x:t>s1_node_survival_25_6</x:t>
  </x:si>
  <x:si>
    <x:t>320;330;330</x:t>
  </x:si>
  <x:si>
    <x:t>s1_node_survival_26_4</x:t>
  </x:si>
  <x:si>
    <x:t>330;340;350</x:t>
  </x:si>
  <x:si>
    <x:t>s1_node_survival_27_2</x:t>
  </x:si>
  <x:si>
    <x:t>s1_node_survival_27_6</x:t>
  </x:si>
  <x:si>
    <x:t>340;350;360</x:t>
  </x:si>
  <x:si>
    <x:t>s1_node_survival_28_2</x:t>
  </x:si>
  <x:si>
    <x:t>s1_node_survival_28_6</x:t>
  </x:si>
  <x:si>
    <x:t>350;360;380</x:t>
  </x:si>
  <x:si>
    <x:t>s1_node_survival_29_2</x:t>
  </x:si>
  <x:si>
    <x:t>s1_node_survival_29_6</x:t>
  </x:si>
  <x:si>
    <x:t>360;370;390</x:t>
  </x:si>
  <x:si>
    <x:t>s1_node_survival_30_2</x:t>
  </x:si>
  <x:si>
    <x:t>s1_node_survival_30_6</x:t>
  </x:si>
  <x:si>
    <x:t>380;390;390</x:t>
  </x:si>
  <x:si>
    <x:t>s1_node_survival_31_4</x:t>
  </x:si>
  <x:si>
    <x:t>390;400;400</x:t>
  </x:si>
  <x:si>
    <x:t>s1_node_survival_32_2</x:t>
  </x:si>
  <x:si>
    <x:t>s1_node_survival_32_6</x:t>
  </x:si>
  <x:si>
    <x:t>400;410;420</x:t>
  </x:si>
  <x:si>
    <x:t>s1_node_survival_33_2</x:t>
  </x:si>
  <x:si>
    <x:t>s1_node_survival_33_6</x:t>
  </x:si>
  <x:si>
    <x:t>410;420;430</x:t>
  </x:si>
  <x:si>
    <x:t>s1_node_survival_34_2</x:t>
  </x:si>
  <x:si>
    <x:t>s1_node_survival_34_6</x:t>
  </x:si>
  <x:si>
    <x:t>420;430;450</x:t>
  </x:si>
  <x:si>
    <x:t>s1_node_survival_35_2</x:t>
  </x:si>
  <x:si>
    <x:t>s1_node_survival_35_6</x:t>
  </x:si>
  <x:si>
    <x:t>430;440;460</x:t>
  </x:si>
  <x:si>
    <x:t>s1_node_survival_36_4</x:t>
  </x:si>
  <x:si>
    <x:t>450;460;460</x:t>
  </x:si>
  <x:si>
    <x:t>s1_node_survival_37_2</x:t>
  </x:si>
  <x:si>
    <x:t>s1_node_survival_37_6</x:t>
  </x:si>
  <x:si>
    <x:t>460;470;470</x:t>
  </x:si>
  <x:si>
    <x:t>s1_node_survival_38_2</x:t>
  </x:si>
  <x:si>
    <x:t>s1_node_survival_38_6</x:t>
  </x:si>
  <x:si>
    <x:t>470;480;490</x:t>
  </x:si>
  <x:si>
    <x:t>s1_node_survival_39_2</x:t>
  </x:si>
  <x:si>
    <x:t>s1_node_survival_39_6</x:t>
  </x:si>
  <x:si>
    <x:t>480;490;500</x:t>
  </x:si>
  <x:si>
    <x:t>s1_node_survival_40_2</x:t>
  </x:si>
  <x:si>
    <x:t>s1_node_survival_40_6</x:t>
  </x:si>
  <x:si>
    <x:t>490;500;520</x:t>
  </x:si>
  <x:si>
    <x:t>s1_node_survival_41_4</x:t>
  </x:si>
  <x:si>
    <x:t>500;510;530</x:t>
  </x:si>
  <x:si>
    <x:t>s1_node_survival_42_2</x:t>
  </x:si>
  <x:si>
    <x:t>s1_node_survival_42_6</x:t>
  </x:si>
  <x:si>
    <x:t>510;520;540</x:t>
  </x:si>
  <x:si>
    <x:t>s1_node_survival_43_2</x:t>
  </x:si>
  <x:si>
    <x:t>s1_node_survival_43_6</x:t>
  </x:si>
  <x:si>
    <x:t>530;540;540</x:t>
  </x:si>
  <x:si>
    <x:t>s1_node_survival_44_2</x:t>
  </x:si>
  <x:si>
    <x:t>s1_node_survival_44_6</x:t>
  </x:si>
  <x:si>
    <x:t>540;550;550</x:t>
  </x:si>
  <x:si>
    <x:t>s1_node_survival_45_2</x:t>
  </x:si>
  <x:si>
    <x:t>s1_node_survival_45_6</x:t>
  </x:si>
  <x:si>
    <x:t>550;560;570</x:t>
  </x:si>
  <x:si>
    <x:t>s1_node_survival_46_4</x:t>
  </x:si>
  <x:si>
    <x:t>560;570;580</x:t>
  </x:si>
  <x:si>
    <x:t>s1_node_survival_47_2</x:t>
  </x:si>
  <x:si>
    <x:t>s1_node_survival_47_6</x:t>
  </x:si>
  <x:si>
    <x:t>570;580;600</x:t>
  </x:si>
  <x:si>
    <x:t>s1_node_survival_48_2</x:t>
  </x:si>
  <x:si>
    <x:t>s1_node_survival_48_6</x:t>
  </x:si>
  <x:si>
    <x:t>580;590;610</x:t>
  </x:si>
  <x:si>
    <x:t>s1_node_survival_49_2</x:t>
  </x:si>
  <x:si>
    <x:t>s1_node_survival_49_6</x:t>
  </x:si>
  <x:si>
    <x:t>600;610;610</x:t>
  </x:si>
  <x:si>
    <x:t>s1_node_survival_50_2</x:t>
  </x:si>
  <x:si>
    <x:t>s1_node_survival_50_6</x:t>
  </x:si>
  <x:si>
    <x:t>610;620;620</x:t>
  </x:si>
  <x:si>
    <x:t>s1_node_survival_51_4</x:t>
  </x:si>
  <x:si>
    <x:t>620;630;640</x:t>
  </x:si>
  <x:si>
    <x:t>s1_node_survival_52_2</x:t>
  </x:si>
  <x:si>
    <x:t>s1_node_survival_52_6</x:t>
  </x:si>
  <x:si>
    <x:t>630;640;650</x:t>
  </x:si>
  <x:si>
    <x:t>s1_node_survival_53_2</x:t>
  </x:si>
  <x:si>
    <x:t>s1_node_survival_53_6</x:t>
  </x:si>
  <x:si>
    <x:t>640;650;670</x:t>
  </x:si>
  <x:si>
    <x:t>s1_node_survival_54_2</x:t>
  </x:si>
  <x:si>
    <x:t>s1_node_survival_54_6</x:t>
  </x:si>
  <x:si>
    <x:t>650;660;680</x:t>
  </x:si>
  <x:si>
    <x:t>s1_node_survival_55_2</x:t>
  </x:si>
  <x:si>
    <x:t>s1_node_survival_55_6</x:t>
  </x:si>
  <x:si>
    <x:t>670;680;680</x:t>
  </x:si>
  <x:si>
    <x:t>s1_node_survival_56_4</x:t>
  </x:si>
  <x:si>
    <x:t>680;690;690</x:t>
  </x:si>
  <x:si>
    <x:t>s1_node_survival_57_2</x:t>
  </x:si>
  <x:si>
    <x:t>s1_node_survival_57_6</x:t>
  </x:si>
  <x:si>
    <x:t>690;700;710</x:t>
  </x:si>
  <x:si>
    <x:t>s1_node_survival_58_2</x:t>
  </x:si>
  <x:si>
    <x:t>s1_node_survival_58_6</x:t>
  </x:si>
  <x:si>
    <x:t>700;710;720</x:t>
  </x:si>
  <x:si>
    <x:t>s1_node_survival_59_2</x:t>
  </x:si>
  <x:si>
    <x:t>s1_node_survival_59_6</x:t>
  </x:si>
  <x:si>
    <x:t>710;720;740</x:t>
  </x:si>
  <x:si>
    <x:t>s1_node_survival_60_2</x:t>
  </x:si>
  <x:si>
    <x:t>s1_node_survival_60_6</x:t>
  </x:si>
  <x:si>
    <x:t>720;730;750</x:t>
  </x:si>
  <x:si>
    <x:t>s1_node_survival_61_4</x:t>
  </x:si>
  <x:si>
    <x:t>730;740;760</x:t>
  </x:si>
  <x:si>
    <x:t>s1_node_survival_62_2</x:t>
  </x:si>
  <x:si>
    <x:t>s1_node_survival_62_6</x:t>
  </x:si>
  <x:si>
    <x:t>750;760;760</x:t>
  </x:si>
  <x:si>
    <x:t>s1_node_survival_63_2</x:t>
  </x:si>
  <x:si>
    <x:t>s1_node_survival_63_6</x:t>
  </x:si>
  <x:si>
    <x:t>760;770;770</x:t>
  </x:si>
  <x:si>
    <x:t>s1_node_survival_64_2</x:t>
  </x:si>
  <x:si>
    <x:t>s1_node_survival_64_6</x:t>
  </x:si>
  <x:si>
    <x:t>770;780;790</x:t>
  </x:si>
  <x:si>
    <x:t>s1_node_survival_65_2</x:t>
  </x:si>
  <x:si>
    <x:t>s1_node_survival_65_6</x:t>
  </x:si>
  <x:si>
    <x:t>780;790;800</x:t>
  </x:si>
  <x:si>
    <x:t>s1_node_survival_66_4</x:t>
  </x:si>
  <x:si>
    <x:t>790;800;820</x:t>
  </x:si>
  <x:si>
    <x:t>s1_node_survival_67_2</x:t>
  </x:si>
  <x:si>
    <x:t>s1_node_survival_67_6</x:t>
  </x:si>
  <x:si>
    <x:t>800;810;830</x:t>
  </x:si>
  <x:si>
    <x:t>s1_node_survival_68_2</x:t>
  </x:si>
  <x:si>
    <x:t>s1_node_survival_68_6</x:t>
  </x:si>
  <x:si>
    <x:t>820;830;830</x:t>
  </x:si>
  <x:si>
    <x:t>s1_node_survival_69_2</x:t>
  </x:si>
  <x:si>
    <x:t>s1_node_survival_69_6</x:t>
  </x:si>
  <x:si>
    <x:t>830;840;840</x:t>
  </x:si>
  <x:si>
    <x:t>s1_node_survival_70_2</x:t>
  </x:si>
  <x:si>
    <x:t>s1_node_survival_70_6</x:t>
  </x:si>
  <x:si>
    <x:t>840;850;860</x:t>
  </x:si>
  <x:si>
    <x:t>s1_node_survival_71_4</x:t>
  </x:si>
  <x:si>
    <x:t>850;860;870</x:t>
  </x:si>
  <x:si>
    <x:t>s1_node_survival_72_2</x:t>
  </x:si>
  <x:si>
    <x:t>s1_node_survival_72_6</x:t>
  </x:si>
  <x:si>
    <x:t>860;870;890</x:t>
  </x:si>
  <x:si>
    <x:t>s1_node_survival_73_2</x:t>
  </x:si>
  <x:si>
    <x:t>s1_node_survival_73_6</x:t>
  </x:si>
  <x:si>
    <x:t>870;880;900</x:t>
  </x:si>
  <x:si>
    <x:t>s1_node_survival_74_2</x:t>
  </x:si>
  <x:si>
    <x:t>s1_node_survival_74_6</x:t>
  </x:si>
  <x:si>
    <x:t>890;900;900</x:t>
  </x:si>
  <x:si>
    <x:t>s1_node_survival_75_2</x:t>
  </x:si>
  <x:si>
    <x:t>s1_node_survival_75_6</x:t>
  </x:si>
  <x:si>
    <x:t>900;910;910</x:t>
  </x:si>
  <x:si>
    <x:t>s1_node_survival_76_4</x:t>
  </x:si>
  <x:si>
    <x:t>910;920;930</x:t>
  </x:si>
  <x:si>
    <x:t>s1_node_survival_77_2</x:t>
  </x:si>
  <x:si>
    <x:t>s1_node_survival_77_6</x:t>
  </x:si>
  <x:si>
    <x:t>920;930;940</x:t>
  </x:si>
  <x:si>
    <x:t>s1_node_survival_78_2</x:t>
  </x:si>
  <x:si>
    <x:t>s1_node_survival_78_6</x:t>
  </x:si>
  <x:si>
    <x:t>930;940;960</x:t>
  </x:si>
  <x:si>
    <x:t>s1_node_survival_79_2</x:t>
  </x:si>
  <x:si>
    <x:t>s1_node_survival_79_6</x:t>
  </x:si>
  <x:si>
    <x:t>940;950;970</x:t>
  </x:si>
  <x:si>
    <x:t>s1_node_survival_80_2</x:t>
  </x:si>
  <x:si>
    <x:t>s1_node_survival_80_6</x:t>
  </x:si>
  <x:si>
    <x:t>960;970;970</x:t>
  </x:si>
  <x:si>
    <x:t>s1_node_survival_81_4</x:t>
  </x:si>
  <x:si>
    <x:t>970;980;980</x:t>
  </x:si>
  <x:si>
    <x:t>s1_node_survival_82_2</x:t>
  </x:si>
  <x:si>
    <x:t>s1_node_survival_82_6</x:t>
  </x:si>
  <x:si>
    <x:t>980;990;990</x:t>
  </x:si>
  <x:si>
    <x:t>s1_node_survival_83_2</x:t>
  </x:si>
  <x:si>
    <x:t>s1_node_survival_83_6</x:t>
  </x:si>
  <x:si>
    <x:t>990;1000;1010</x:t>
  </x:si>
  <x:si>
    <x:t>s1_node_survival_84_2</x:t>
  </x:si>
  <x:si>
    <x:t>s1_node_survival_84_6</x:t>
  </x:si>
  <x:si>
    <x:t>1000;1010;1020</x:t>
  </x:si>
  <x:si>
    <x:t>s1_node_survival_85_2</x:t>
  </x:si>
  <x:si>
    <x:t>s1_node_survival_85_6</x:t>
  </x:si>
  <x:si>
    <x:t>1010;1020;1040</x:t>
  </x:si>
  <x:si>
    <x:t>s1_node_survival_86_4</x:t>
  </x:si>
  <x:si>
    <x:t>1020;1030;1050</x:t>
  </x:si>
  <x:si>
    <x:t>s1_node_survival_87_2</x:t>
  </x:si>
  <x:si>
    <x:t>s1_node_survival_87_6</x:t>
  </x:si>
  <x:si>
    <x:t>1040;1050;1050</x:t>
  </x:si>
  <x:si>
    <x:t>s1_node_survival_88_2</x:t>
  </x:si>
  <x:si>
    <x:t>s1_node_survival_88_6</x:t>
  </x:si>
  <x:si>
    <x:t>1050;1060;1060</x:t>
  </x:si>
  <x:si>
    <x:t>s1_node_survival_89_2</x:t>
  </x:si>
  <x:si>
    <x:t>s1_node_survival_89_6</x:t>
  </x:si>
  <x:si>
    <x:t>1060;1070;1080</x:t>
  </x:si>
  <x:si>
    <x:t>s1_node_survival_90_2</x:t>
  </x:si>
  <x:si>
    <x:t>s1_node_survival_90_6</x:t>
  </x:si>
  <x:si>
    <x:t>1070;1080;1090</x:t>
  </x:si>
  <x:si>
    <x:t>s1_node_survival_91_4</x:t>
  </x:si>
  <x:si>
    <x:t>1080;1090;1110</x:t>
  </x:si>
  <x:si>
    <x:t>s1_node_survival_92_2</x:t>
  </x:si>
  <x:si>
    <x:t>s1_node_survival_92_6</x:t>
  </x:si>
  <x:si>
    <x:t>1090;1100;1120</x:t>
  </x:si>
  <x:si>
    <x:t>s1_node_survival_93_2</x:t>
  </x:si>
  <x:si>
    <x:t>s1_node_survival_93_6</x:t>
  </x:si>
  <x:si>
    <x:t>1110;1120;1120</x:t>
  </x:si>
  <x:si>
    <x:t>s1_node_survival_94_2</x:t>
  </x:si>
  <x:si>
    <x:t>s1_node_survival_94_6</x:t>
  </x:si>
  <x:si>
    <x:t>1120;1130;1130</x:t>
  </x:si>
  <x:si>
    <x:t>s1_node_survival_95_2</x:t>
  </x:si>
  <x:si>
    <x:t>s1_node_survival_95_6</x:t>
  </x:si>
  <x:si>
    <x:t>1130;1140;1150</x:t>
  </x:si>
  <x:si>
    <x:t>s1_node_survival_96_4</x:t>
  </x:si>
  <x:si>
    <x:t>1140;1150;1160</x:t>
  </x:si>
  <x:si>
    <x:t>s1_node_survival_97_2</x:t>
  </x:si>
  <x:si>
    <x:t>s1_node_survival_97_6</x:t>
  </x:si>
  <x:si>
    <x:t>1150;1160;1180</x:t>
  </x:si>
  <x:si>
    <x:t>s1_node_survival_98_2</x:t>
  </x:si>
  <x:si>
    <x:t>s1_node_survival_98_6</x:t>
  </x:si>
  <x:si>
    <x:t>1160;1170;1190</x:t>
  </x:si>
  <x:si>
    <x:t>s1_node_survival_99_6</x:t>
  </x:si>
  <x:si>
    <x:t>s1_node_survival_99_2</x:t>
  </x:si>
  <x:si>
    <x:t>icon_rumble_gold</x:t>
  </x:si>
  <x:si>
    <x:t>30;40;40</x:t>
  </x:si>
  <x:si>
    <x:t>s1_node_economy_1_4</x:t>
  </x:si>
  <x:si>
    <x:t>s1_node_economy_2_2</x:t>
  </x:si>
  <x:si>
    <x:t>icon_menu_rumble_lvup</x:t>
  </x:si>
  <x:si>
    <x:t>s1_node_economy_2_6</x:t>
  </x:si>
  <x:si>
    <x:t>s1_node_economy_3_2</x:t>
  </x:si>
  <x:si>
    <x:t>s1_node_economy_3_6</x:t>
  </x:si>
  <x:si>
    <x:t>s1_node_economy_4_2</x:t>
  </x:si>
  <x:si>
    <x:t>s1_node_economy_4_6</x:t>
  </x:si>
  <x:si>
    <x:t>s1_node_economy_5_2</x:t>
  </x:si>
  <x:si>
    <x:t>s1_node_economy_5_6</x:t>
  </x:si>
  <x:si>
    <x:t>100;110;120</x:t>
  </x:si>
  <x:si>
    <x:t>s1_node_economy_6_4</x:t>
  </x:si>
  <x:si>
    <x:t>s1_node_economy_7_2</x:t>
  </x:si>
  <x:si>
    <x:t>s1_node_economy_7_6</x:t>
  </x:si>
  <x:si>
    <x:t>120;130;150</x:t>
  </x:si>
  <x:si>
    <x:t>s1_node_economy_8_2</x:t>
  </x:si>
  <x:si>
    <x:t>s1_node_economy_8_6</x:t>
  </x:si>
  <x:si>
    <x:t>s1_node_economy_9_2</x:t>
  </x:si>
  <x:si>
    <x:t>s1_node_economy_9_6</x:t>
  </x:si>
  <x:si>
    <x:t>150;160;160</x:t>
  </x:si>
  <x:si>
    <x:t>s1_node_economy_10_2</x:t>
  </x:si>
  <x:si>
    <x:t>s1_node_economy_10_6</x:t>
  </x:si>
  <x:si>
    <x:t>s1_node_economy_11_4</x:t>
  </x:si>
  <x:si>
    <x:t>170;180;190</x:t>
  </x:si>
  <x:si>
    <x:t>s1_node_economy_12_2</x:t>
  </x:si>
  <x:si>
    <x:t>s1_node_economy_12_6</x:t>
  </x:si>
  <x:si>
    <x:t>180;190;210</x:t>
  </x:si>
  <x:si>
    <x:t>s1_node_economy_13_2</x:t>
  </x:si>
  <x:si>
    <x:t>s1_node_economy_13_6</x:t>
  </x:si>
  <x:si>
    <x:t>190;200;220</x:t>
  </x:si>
  <x:si>
    <x:t>s1_node_economy_14_2</x:t>
  </x:si>
  <x:si>
    <x:t>s1_node_economy_14_6</x:t>
  </x:si>
  <x:si>
    <x:t>210;220;220</x:t>
  </x:si>
  <x:si>
    <x:t>s1_node_economy_15_2</x:t>
  </x:si>
  <x:si>
    <x:t>s1_node_economy_15_6</x:t>
  </x:si>
  <x:si>
    <x:t>220;230;230</x:t>
  </x:si>
  <x:si>
    <x:t>s1_node_economy_16_4</x:t>
  </x:si>
  <x:si>
    <x:t>230;240;250</x:t>
  </x:si>
  <x:si>
    <x:t>s1_node_economy_17_2</x:t>
  </x:si>
  <x:si>
    <x:t>s1_node_economy_17_6</x:t>
  </x:si>
  <x:si>
    <x:t>240;250;260</x:t>
  </x:si>
  <x:si>
    <x:t>s1_node_economy_18_2</x:t>
  </x:si>
  <x:si>
    <x:t>s1_node_economy_18_6</x:t>
  </x:si>
  <x:si>
    <x:t>250;260;280</x:t>
  </x:si>
  <x:si>
    <x:t>s1_node_economy_19_2</x:t>
  </x:si>
  <x:si>
    <x:t>s1_node_economy_19_6</x:t>
  </x:si>
  <x:si>
    <x:t>270;280;280</x:t>
  </x:si>
  <x:si>
    <x:t>s1_node_economy_20_2</x:t>
  </x:si>
  <x:si>
    <x:t>s1_node_economy_20_6</x:t>
  </x:si>
  <x:si>
    <x:t>280;290;290</x:t>
  </x:si>
  <x:si>
    <x:t>s1_node_economy_21_4</x:t>
  </x:si>
  <x:si>
    <x:t>290;300;310</x:t>
  </x:si>
  <x:si>
    <x:t>s1_node_economy_22_2</x:t>
  </x:si>
  <x:si>
    <x:t>s1_node_economy_22_6</x:t>
  </x:si>
  <x:si>
    <x:t>300;310;320</x:t>
  </x:si>
  <x:si>
    <x:t>s1_node_economy_23_2</x:t>
  </x:si>
  <x:si>
    <x:t>s1_node_economy_23_6</x:t>
  </x:si>
  <x:si>
    <x:t>310;320;340</x:t>
  </x:si>
  <x:si>
    <x:t>s1_node_economy_24_2</x:t>
  </x:si>
  <x:si>
    <x:t>s1_node_economy_24_6</x:t>
  </x:si>
  <x:si>
    <x:t>320;330;350</x:t>
  </x:si>
  <x:si>
    <x:t>s1_node_economy_25_2</x:t>
  </x:si>
  <x:si>
    <x:t>s1_node_economy_25_6</x:t>
  </x:si>
  <x:si>
    <x:t>340;350;350</x:t>
  </x:si>
  <x:si>
    <x:t>s1_node_economy_26_4</x:t>
  </x:si>
  <x:si>
    <x:t>350;360;370</x:t>
  </x:si>
  <x:si>
    <x:t>s1_node_economy_27_2</x:t>
  </x:si>
  <x:si>
    <x:t>s1_node_economy_27_6</x:t>
  </x:si>
  <x:si>
    <x:t>360;370;380</x:t>
  </x:si>
  <x:si>
    <x:t>s1_node_economy_28_2</x:t>
  </x:si>
  <x:si>
    <x:t>s1_node_economy_28_6</x:t>
  </x:si>
  <x:si>
    <x:t>370;380;400</x:t>
  </x:si>
  <x:si>
    <x:t>s1_node_economy_29_2</x:t>
  </x:si>
  <x:si>
    <x:t>s1_node_economy_29_6</x:t>
  </x:si>
  <x:si>
    <x:t>380;390;410</x:t>
  </x:si>
  <x:si>
    <x:t>s1_node_economy_30_2</x:t>
  </x:si>
  <x:si>
    <x:t>s1_node_economy_30_6</x:t>
  </x:si>
  <x:si>
    <x:t>400;410;410</x:t>
  </x:si>
  <x:si>
    <x:t>s1_node_economy_31_4</x:t>
  </x:si>
  <x:si>
    <x:t>410;420;420</x:t>
  </x:si>
  <x:si>
    <x:t>s1_node_economy_32_2</x:t>
  </x:si>
  <x:si>
    <x:t>s1_node_economy_32_6</x:t>
  </x:si>
  <x:si>
    <x:t>420;430;440</x:t>
  </x:si>
  <x:si>
    <x:t>s1_node_economy_33_2</x:t>
  </x:si>
  <x:si>
    <x:t>s1_node_economy_33_6</x:t>
  </x:si>
  <x:si>
    <x:t>s1_node_economy_34_2</x:t>
  </x:si>
  <x:si>
    <x:t>s1_node_economy_34_6</x:t>
  </x:si>
  <x:si>
    <x:t>440;450;470</x:t>
  </x:si>
  <x:si>
    <x:t>s1_node_economy_35_2</x:t>
  </x:si>
  <x:si>
    <x:t>s1_node_economy_35_6</x:t>
  </x:si>
  <x:si>
    <x:t>s1_node_economy_36_4</x:t>
  </x:si>
  <x:si>
    <x:t>470;480;480</x:t>
  </x:si>
  <x:si>
    <x:t>s1_node_economy_37_2</x:t>
  </x:si>
  <x:si>
    <x:t>s1_node_economy_37_6</x:t>
  </x:si>
  <x:si>
    <x:t>s1_node_economy_38_2</x:t>
  </x:si>
  <x:si>
    <x:t>s1_node_economy_38_6</x:t>
  </x:si>
  <x:si>
    <x:t>s1_node_economy_39_2</x:t>
  </x:si>
  <x:si>
    <x:t>s1_node_economy_39_6</x:t>
  </x:si>
  <x:si>
    <x:t>s1_node_economy_40_2</x:t>
  </x:si>
  <x:si>
    <x:t>s1_node_economy_40_6</x:t>
  </x:si>
  <x:si>
    <x:t>520;530;530</x:t>
  </x:si>
  <x:si>
    <x:t>s1_node_economy_41_4</x:t>
  </x:si>
  <x:si>
    <x:t>s1_node_economy_42_2</x:t>
  </x:si>
  <x:si>
    <x:t>s1_node_economy_42_6</x:t>
  </x:si>
  <x:si>
    <x:t>540;550;560</x:t>
  </x:si>
  <x:si>
    <x:t>s1_node_economy_43_2</x:t>
  </x:si>
  <x:si>
    <x:t>s1_node_economy_43_6</x:t>
  </x:si>
  <x:si>
    <x:t>s1_node_economy_44_2</x:t>
  </x:si>
  <x:si>
    <x:t>s1_node_economy_44_6</x:t>
  </x:si>
  <x:si>
    <x:t>560;570;590</x:t>
  </x:si>
  <x:si>
    <x:t>s1_node_economy_45_2</x:t>
  </x:si>
  <x:si>
    <x:t>s1_node_economy_45_6</x:t>
  </x:si>
  <x:si>
    <x:t>580;590;590</x:t>
  </x:si>
  <x:si>
    <x:t>s1_node_economy_46_4</x:t>
  </x:si>
  <x:si>
    <x:t>590;600;600</x:t>
  </x:si>
  <x:si>
    <x:t>s1_node_economy_47_2</x:t>
  </x:si>
  <x:si>
    <x:t>s1_node_economy_47_6</x:t>
  </x:si>
  <x:si>
    <x:t>600;610;620</x:t>
  </x:si>
  <x:si>
    <x:t>s1_node_economy_48_2</x:t>
  </x:si>
  <x:si>
    <x:t>s1_node_economy_48_6</x:t>
  </x:si>
  <x:si>
    <x:t>610;620;630</x:t>
  </x:si>
  <x:si>
    <x:t>s1_node_economy_49_2</x:t>
  </x:si>
  <x:si>
    <x:t>s1_node_economy_49_6</x:t>
  </x:si>
  <x:si>
    <x:t>620;630;650</x:t>
  </x:si>
  <x:si>
    <x:t>s1_node_economy_50_2</x:t>
  </x:si>
  <x:si>
    <x:t>s1_node_economy_50_6</x:t>
  </x:si>
  <x:si>
    <x:t>630;640;660</x:t>
  </x:si>
  <x:si>
    <x:t>s1_node_economy_51_4</x:t>
  </x:si>
  <x:si>
    <x:t>650;660;660</x:t>
  </x:si>
  <x:si>
    <x:t>s1_node_economy_52_2</x:t>
  </x:si>
  <x:si>
    <x:t>s1_node_economy_52_6</x:t>
  </x:si>
  <x:si>
    <x:t>660;670;680</x:t>
  </x:si>
  <x:si>
    <x:t>s1_node_economy_53_2</x:t>
  </x:si>
  <x:si>
    <x:t>s1_node_economy_53_6</x:t>
  </x:si>
  <x:si>
    <x:t>670;680;690</x:t>
  </x:si>
  <x:si>
    <x:t>s1_node_economy_54_2</x:t>
  </x:si>
  <x:si>
    <x:t>s1_node_economy_54_6</x:t>
  </x:si>
  <x:si>
    <x:t>680;690;710</x:t>
  </x:si>
  <x:si>
    <x:t>s1_node_economy_55_2</x:t>
  </x:si>
  <x:si>
    <x:t>s1_node_economy_55_6</x:t>
  </x:si>
  <x:si>
    <x:t>690;700;720</x:t>
  </x:si>
  <x:si>
    <x:t>s1_node_economy_56_4</x:t>
  </x:si>
  <x:si>
    <x:t>710;720;720</x:t>
  </x:si>
  <x:si>
    <x:t>s1_node_economy_57_2</x:t>
  </x:si>
  <x:si>
    <x:t>s1_node_economy_57_6</x:t>
  </x:si>
  <x:si>
    <x:t>720;730;730</x:t>
  </x:si>
  <x:si>
    <x:t>s1_node_economy_58_2</x:t>
  </x:si>
  <x:si>
    <x:t>s1_node_economy_58_6</x:t>
  </x:si>
  <x:si>
    <x:t>730;740;750</x:t>
  </x:si>
  <x:si>
    <x:t>s1_node_economy_59_2</x:t>
  </x:si>
  <x:si>
    <x:t>s1_node_economy_59_6</x:t>
  </x:si>
  <x:si>
    <x:t>740;750;770</x:t>
  </x:si>
  <x:si>
    <x:t>s1_node_economy_60_2</x:t>
  </x:si>
  <x:si>
    <x:t>s1_node_economy_60_6</x:t>
  </x:si>
  <x:si>
    <x:t>750;760;780</x:t>
  </x:si>
  <x:si>
    <x:t>s1_node_economy_61_4</x:t>
  </x:si>
  <x:si>
    <x:t>770;780;780</x:t>
  </x:si>
  <x:si>
    <x:t>s1_node_economy_62_2</x:t>
  </x:si>
  <x:si>
    <x:t>s1_node_economy_62_6</x:t>
  </x:si>
  <x:si>
    <x:t>780;790;790</x:t>
  </x:si>
  <x:si>
    <x:t>s1_node_economy_63_2</x:t>
  </x:si>
  <x:si>
    <x:t>s1_node_economy_63_6</x:t>
  </x:si>
  <x:si>
    <x:t>790;800;810</x:t>
  </x:si>
  <x:si>
    <x:t>s1_node_economy_64_2</x:t>
  </x:si>
  <x:si>
    <x:t>s1_node_economy_64_6</x:t>
  </x:si>
  <x:si>
    <x:t>800;810;820</x:t>
  </x:si>
  <x:si>
    <x:t>s1_node_economy_65_2</x:t>
  </x:si>
  <x:si>
    <x:t>s1_node_economy_65_6</x:t>
  </x:si>
  <x:si>
    <x:t>810;820;840</x:t>
  </x:si>
  <x:si>
    <x:t>s1_node_economy_66_4</x:t>
  </x:si>
  <x:si>
    <x:t>s1_node_economy_67_2</x:t>
  </x:si>
  <x:si>
    <x:t>s1_node_economy_67_6</x:t>
  </x:si>
  <x:si>
    <x:t>840;850;850</x:t>
  </x:si>
  <x:si>
    <x:t>s1_node_economy_68_2</x:t>
  </x:si>
  <x:si>
    <x:t>s1_node_economy_68_6</x:t>
  </x:si>
  <x:si>
    <x:t>s1_node_economy_69_2</x:t>
  </x:si>
  <x:si>
    <x:t>s1_node_economy_69_6</x:t>
  </x:si>
  <x:si>
    <x:t>860;870;880</x:t>
  </x:si>
  <x:si>
    <x:t>s1_node_economy_70_2</x:t>
  </x:si>
  <x:si>
    <x:t>s1_node_economy_70_6</x:t>
  </x:si>
  <x:si>
    <x:t>s1_node_economy_71_4</x:t>
  </x:si>
  <x:si>
    <x:t>s1_node_economy_72_2</x:t>
  </x:si>
  <x:si>
    <x:t>s1_node_economy_72_6</x:t>
  </x:si>
  <x:si>
    <x:t>s1_node_economy_73_2</x:t>
  </x:si>
  <x:si>
    <x:t>s1_node_economy_73_6</x:t>
  </x:si>
  <x:si>
    <x:t>s1_node_economy_74_2</x:t>
  </x:si>
  <x:si>
    <x:t>s1_node_economy_74_6</x:t>
  </x:si>
  <x:si>
    <x:t>s1_node_economy_75_2</x:t>
  </x:si>
  <x:si>
    <x:t>s1_node_economy_75_6</x:t>
  </x:si>
  <x:si>
    <x:t>s1_node_economy_76_4</x:t>
  </x:si>
  <x:si>
    <x:t>s1_node_economy_77_2</x:t>
  </x:si>
  <x:si>
    <x:t>s1_node_economy_77_6</x:t>
  </x:si>
  <x:si>
    <x:t>s1_node_economy_78_2</x:t>
  </x:si>
  <x:si>
    <x:t>s1_node_economy_78_6</x:t>
  </x:si>
  <x:si>
    <x:t>970;980;990</x:t>
  </x:si>
  <x:si>
    <x:t>s1_node_economy_79_2</x:t>
  </x:si>
  <x:si>
    <x:t>s1_node_economy_79_6</x:t>
  </x:si>
  <x:si>
    <x:t>980;990;1000</x:t>
  </x:si>
  <x:si>
    <x:t>s1_node_economy_80_2</x:t>
  </x:si>
  <x:si>
    <x:t>s1_node_economy_80_6</x:t>
  </x:si>
  <x:si>
    <x:t>990;1000;1020</x:t>
  </x:si>
  <x:si>
    <x:t>s1_node_economy_81_4</x:t>
  </x:si>
  <x:si>
    <x:t>1000;1010;1030</x:t>
  </x:si>
  <x:si>
    <x:t>s1_node_economy_82_2</x:t>
  </x:si>
  <x:si>
    <x:t>s1_node_economy_82_6</x:t>
  </x:si>
  <x:si>
    <x:t>1020;1030;1030</x:t>
  </x:si>
  <x:si>
    <x:t>s1_node_economy_83_2</x:t>
  </x:si>
  <x:si>
    <x:t>s1_node_economy_83_6</x:t>
  </x:si>
  <x:si>
    <x:t>1030;1040;1040</x:t>
  </x:si>
  <x:si>
    <x:t>s1_node_economy_84_2</x:t>
  </x:si>
  <x:si>
    <x:t>s1_node_economy_84_6</x:t>
  </x:si>
  <x:si>
    <x:t>1040;1050;1060</x:t>
  </x:si>
  <x:si>
    <x:t>s1_node_economy_85_2</x:t>
  </x:si>
  <x:si>
    <x:t>s1_node_economy_85_6</x:t>
  </x:si>
  <x:si>
    <x:t>1050;1060;1080</x:t>
  </x:si>
  <x:si>
    <x:t>s1_node_economy_86_4</x:t>
  </x:si>
  <x:si>
    <x:t>1060;1070;1090</x:t>
  </x:si>
  <x:si>
    <x:t>s1_node_economy_87_2</x:t>
  </x:si>
  <x:si>
    <x:t>s1_node_economy_87_6</x:t>
  </x:si>
  <x:si>
    <x:t>1080;1090;1090</x:t>
  </x:si>
  <x:si>
    <x:t>s1_node_economy_88_2</x:t>
  </x:si>
  <x:si>
    <x:t>s1_node_economy_88_6</x:t>
  </x:si>
  <x:si>
    <x:t>1090;1100;1100</x:t>
  </x:si>
  <x:si>
    <x:t>s1_node_economy_89_2</x:t>
  </x:si>
  <x:si>
    <x:t>s1_node_economy_89_6</x:t>
  </x:si>
  <x:si>
    <x:t>1100;1110;1120</x:t>
  </x:si>
  <x:si>
    <x:t>s1_node_economy_90_2</x:t>
  </x:si>
  <x:si>
    <x:t>s1_node_economy_90_6</x:t>
  </x:si>
  <x:si>
    <x:t>1110;1120;1130</x:t>
  </x:si>
  <x:si>
    <x:t>s1_node_economy_91_4</x:t>
  </x:si>
  <x:si>
    <x:t>1120;1130;1150</x:t>
  </x:si>
  <x:si>
    <x:t>s1_node_economy_92_2</x:t>
  </x:si>
  <x:si>
    <x:t>s1_node_economy_92_6</x:t>
  </x:si>
  <x:si>
    <x:t>1140;1150;1150</x:t>
  </x:si>
  <x:si>
    <x:t>s1_node_economy_93_2</x:t>
  </x:si>
  <x:si>
    <x:t>s1_node_economy_93_6</x:t>
  </x:si>
  <x:si>
    <x:t>1150;1160;1160</x:t>
  </x:si>
  <x:si>
    <x:t>s1_node_economy_94_2</x:t>
  </x:si>
  <x:si>
    <x:t>s1_node_economy_94_6</x:t>
  </x:si>
  <x:si>
    <x:t>1160;1170;1180</x:t>
  </x:si>
  <x:si>
    <x:t>s1_node_economy_95_2</x:t>
  </x:si>
  <x:si>
    <x:t>s1_node_economy_95_6</x:t>
  </x:si>
  <x:si>
    <x:t>1170;1180;1190</x:t>
  </x:si>
  <x:si>
    <x:t>s1_node_economy_96_4</x:t>
  </x:si>
  <x:si>
    <x:t>1180;1190;1210</x:t>
  </x:si>
  <x:si>
    <x:t>s1_node_economy_97_2</x:t>
  </x:si>
  <x:si>
    <x:t>s1_node_economy_97_6</x:t>
  </x:si>
  <x:si>
    <x:t>1190;1200;1220</x:t>
  </x:si>
  <x:si>
    <x:t>s1_node_economy_98_2</x:t>
  </x:si>
  <x:si>
    <x:t>s1_node_economy_98_6</x:t>
  </x:si>
  <x:si>
    <x:t>1210;1220;1220</x:t>
  </x:si>
  <x:si>
    <x:t>s1_node_economy_99_6</x:t>
  </x:si>
  <x:si>
    <x:t>s1_node_economy_99_2</x:t>
  </x:si>
  <x:si>
    <x:t>icon_menu_sticker</x:t>
  </x:si>
  <x:si>
    <x:t>40;50;70</x:t>
  </x:si>
  <x:si>
    <x:t>60;70;70</x:t>
  </x:si>
  <x:si>
    <x:t>s1_node_relic_1_4</x:t>
  </x:si>
  <x:si>
    <x:t>70;80;90</x:t>
  </x:si>
  <x:si>
    <x:t>s1_node_relic_2_2</x:t>
  </x:si>
  <x:si>
    <x:t>s1_node_relic_2_6</x:t>
  </x:si>
  <x:si>
    <x:t>80;90;100</x:t>
  </x:si>
  <x:si>
    <x:t>s1_node_relic_3_2</x:t>
  </x:si>
  <x:si>
    <x:t>s1_node_relic_3_6</x:t>
  </x:si>
  <x:si>
    <x:t>90;100;120</x:t>
  </x:si>
  <x:si>
    <x:t>s1_node_relic_4_2</x:t>
  </x:si>
  <x:si>
    <x:t>s1_node_relic_4_6</x:t>
  </x:si>
  <x:si>
    <x:t>110;120;120</x:t>
  </x:si>
  <x:si>
    <x:t>s1_node_relic_5_2</x:t>
  </x:si>
  <x:si>
    <x:t>s1_node_relic_5_6</x:t>
  </x:si>
  <x:si>
    <x:t>s1_node_relic_6_4</x:t>
  </x:si>
  <x:si>
    <x:t>s1_node_relic_7_2</x:t>
  </x:si>
  <x:si>
    <x:t>s1_node_relic_7_6</x:t>
  </x:si>
  <x:si>
    <x:t>icon_menu_att</x:t>
  </x:si>
  <x:si>
    <x:t>s1_node_relic_8_2</x:t>
  </x:si>
  <x:si>
    <x:t>s1_node_relic_8_6</x:t>
  </x:si>
  <x:si>
    <x:t>s1_node_relic_9_2</x:t>
  </x:si>
  <x:si>
    <x:t>s1_node_relic_9_6</x:t>
  </x:si>
  <x:si>
    <x:t>s1_node_relic_10_2</x:t>
  </x:si>
  <x:si>
    <x:t>s1_node_relic_10_6</x:t>
  </x:si>
  <x:si>
    <x:t>s1_node_relic_11_4</x:t>
  </x:si>
  <x:si>
    <x:t>200;210;210</x:t>
  </x:si>
  <x:si>
    <x:t>s1_node_relic_12_2</x:t>
  </x:si>
  <x:si>
    <x:t>s1_node_relic_12_6</x:t>
  </x:si>
  <x:si>
    <x:t>s1_node_relic_13_2</x:t>
  </x:si>
  <x:si>
    <x:t>s1_node_relic_13_6</x:t>
  </x:si>
  <x:si>
    <x:t>220;230;240</x:t>
  </x:si>
  <x:si>
    <x:t>s1_node_relic_14_2</x:t>
  </x:si>
  <x:si>
    <x:t>s1_node_relic_14_6</x:t>
  </x:si>
  <x:si>
    <x:t>230;240;260</x:t>
  </x:si>
  <x:si>
    <x:t>s1_node_relic_15_2</x:t>
  </x:si>
  <x:si>
    <x:t>s1_node_relic_15_6</x:t>
  </x:si>
  <x:si>
    <x:t>250;260;260</x:t>
  </x:si>
  <x:si>
    <x:t>s1_node_relic_16_4</x:t>
  </x:si>
  <x:si>
    <x:t>s1_node_relic_17_2</x:t>
  </x:si>
  <x:si>
    <x:t>s1_node_relic_17_6</x:t>
  </x:si>
  <x:si>
    <x:t>s1_node_relic_18_2</x:t>
  </x:si>
  <x:si>
    <x:t>s1_node_relic_18_6</x:t>
  </x:si>
  <x:si>
    <x:t>s1_node_relic_19_2</x:t>
  </x:si>
  <x:si>
    <x:t>s1_node_relic_19_6</x:t>
  </x:si>
  <x:si>
    <x:t>300;310;310</x:t>
  </x:si>
  <x:si>
    <x:t>s1_node_relic_20_2</x:t>
  </x:si>
  <x:si>
    <x:t>s1_node_relic_20_6</x:t>
  </x:si>
  <x:si>
    <x:t>310;320;330</x:t>
  </x:si>
  <x:si>
    <x:t>s1_node_relic_21_4</x:t>
  </x:si>
  <x:si>
    <x:t>s1_node_relic_22_2</x:t>
  </x:si>
  <x:si>
    <x:t>s1_node_relic_22_6</x:t>
  </x:si>
  <x:si>
    <x:t>330;340;360</x:t>
  </x:si>
  <x:si>
    <x:t>s1_node_relic_23_2</x:t>
  </x:si>
  <x:si>
    <x:t>s1_node_relic_23_6</x:t>
  </x:si>
  <x:si>
    <x:t>350;360;360</x:t>
  </x:si>
  <x:si>
    <x:t>s1_node_relic_24_2</x:t>
  </x:si>
  <x:si>
    <x:t>s1_node_relic_24_6</x:t>
  </x:si>
  <x:si>
    <x:t>s1_node_relic_25_2</x:t>
  </x:si>
  <x:si>
    <x:t>s1_node_relic_25_6</x:t>
  </x:si>
  <x:si>
    <x:t>s1_node_relic_26_4</x:t>
  </x:si>
  <x:si>
    <x:t>s1_node_relic_27_2</x:t>
  </x:si>
  <x:si>
    <x:t>s1_node_relic_27_6</x:t>
  </x:si>
  <x:si>
    <x:t>s1_node_relic_28_2</x:t>
  </x:si>
  <x:si>
    <x:t>s1_node_relic_28_6</x:t>
  </x:si>
  <x:si>
    <x:t>s1_node_relic_29_2</x:t>
  </x:si>
  <x:si>
    <x:t>s1_node_relic_29_6</x:t>
  </x:si>
  <x:si>
    <x:t>s1_node_relic_30_2</x:t>
  </x:si>
  <x:si>
    <x:t>s1_node_relic_30_6</x:t>
  </x:si>
  <x:si>
    <x:t>440;450;450</x:t>
  </x:si>
  <x:si>
    <x:t>s1_node_relic_31_4</x:t>
  </x:si>
  <x:si>
    <x:t>450;460;470</x:t>
  </x:si>
  <x:si>
    <x:t>s1_node_relic_32_2</x:t>
  </x:si>
  <x:si>
    <x:t>s1_node_relic_32_6</x:t>
  </x:si>
  <x:si>
    <x:t>460;470;480</x:t>
  </x:si>
  <x:si>
    <x:t>s1_node_relic_33_2</x:t>
  </x:si>
  <x:si>
    <x:t>s1_node_relic_33_6</x:t>
  </x:si>
  <x:si>
    <x:t>470;480;500</x:t>
  </x:si>
  <x:si>
    <x:t>s1_node_relic_34_2</x:t>
  </x:si>
  <x:si>
    <x:t>s1_node_relic_34_6</x:t>
  </x:si>
  <x:si>
    <x:t>490;500;500</x:t>
  </x:si>
  <x:si>
    <x:t>s1_node_relic_35_2</x:t>
  </x:si>
  <x:si>
    <x:t>s1_node_relic_35_6</x:t>
  </x:si>
  <x:si>
    <x:t>500;510;520</x:t>
  </x:si>
  <x:si>
    <x:t>s1_node_relic_36_4</x:t>
  </x:si>
  <x:si>
    <x:t>s1_node_relic_37_2</x:t>
  </x:si>
  <x:si>
    <x:t>s1_node_relic_37_6</x:t>
  </x:si>
  <x:si>
    <x:t>520;530;550</x:t>
  </x:si>
  <x:si>
    <x:t>s1_node_relic_38_2</x:t>
  </x:si>
  <x:si>
    <x:t>s1_node_relic_38_6</x:t>
  </x:si>
  <x:si>
    <x:t>s1_node_relic_39_2</x:t>
  </x:si>
  <x:si>
    <x:t>s1_node_relic_39_6</x:t>
  </x:si>
  <x:si>
    <x:t>s1_node_relic_40_2</x:t>
  </x:si>
  <x:si>
    <x:t>s1_node_relic_40_6</x:t>
  </x:si>
  <x:si>
    <x:t>s1_node_relic_41_4</x:t>
  </x:si>
  <x:si>
    <x:t>s1_node_relic_42_2</x:t>
  </x:si>
  <x:si>
    <x:t>s1_node_relic_42_6</x:t>
  </x:si>
  <x:si>
    <x:t>s1_node_relic_43_2</x:t>
  </x:si>
  <x:si>
    <x:t>s1_node_relic_43_6</x:t>
  </x:si>
  <x:si>
    <x:t>s1_node_relic_44_2</x:t>
  </x:si>
  <x:si>
    <x:t>s1_node_relic_44_6</x:t>
  </x:si>
  <x:si>
    <x:t>610;620;640</x:t>
  </x:si>
  <x:si>
    <x:t>s1_node_relic_45_2</x:t>
  </x:si>
  <x:si>
    <x:t>s1_node_relic_45_6</x:t>
  </x:si>
  <x:si>
    <x:t>630;640;640</x:t>
  </x:si>
  <x:si>
    <x:t>s1_node_relic_46_4</x:t>
  </x:si>
  <x:si>
    <x:t>640;650;660</x:t>
  </x:si>
  <x:si>
    <x:t>s1_node_relic_47_2</x:t>
  </x:si>
  <x:si>
    <x:t>s1_node_relic_47_6</x:t>
  </x:si>
  <x:si>
    <x:t>650;660;670</x:t>
  </x:si>
  <x:si>
    <x:t>s1_node_relic_48_2</x:t>
  </x:si>
  <x:si>
    <x:t>s1_node_relic_48_6</x:t>
  </x:si>
  <x:si>
    <x:t>660;670;690</x:t>
  </x:si>
  <x:si>
    <x:t>s1_node_relic_49_2</x:t>
  </x:si>
  <x:si>
    <x:t>s1_node_relic_49_6</x:t>
  </x:si>
  <x:si>
    <x:t>s1_node_relic_50_2</x:t>
  </x:si>
  <x:si>
    <x:t>s1_node_relic_50_6</x:t>
  </x:si>
  <x:si>
    <x:t>s1_node_relic_51_4</x:t>
  </x:si>
  <x:si>
    <x:t>700;710;730</x:t>
  </x:si>
  <x:si>
    <x:t>s1_node_relic_52_2</x:t>
  </x:si>
  <x:si>
    <x:t>s1_node_relic_52_6</x:t>
  </x:si>
  <x:si>
    <x:t>s1_node_relic_53_2</x:t>
  </x:si>
  <x:si>
    <x:t>s1_node_relic_53_6</x:t>
  </x:si>
  <x:si>
    <x:t>730;740;740</x:t>
  </x:si>
  <x:si>
    <x:t>s1_node_relic_54_2</x:t>
  </x:si>
  <x:si>
    <x:t>s1_node_relic_54_6</x:t>
  </x:si>
  <x:si>
    <x:t>740;750;760</x:t>
  </x:si>
  <x:si>
    <x:t>s1_node_relic_55_2</x:t>
  </x:si>
  <x:si>
    <x:t>s1_node_relic_55_6</x:t>
  </x:si>
  <x:si>
    <x:t>s1_node_relic_56_4</x:t>
  </x:si>
  <x:si>
    <x:t>s1_node_relic_57_2</x:t>
  </x:si>
  <x:si>
    <x:t>s1_node_relic_57_6</x:t>
  </x:si>
  <x:si>
    <x:t>s1_node_relic_58_2</x:t>
  </x:si>
  <x:si>
    <x:t>s1_node_relic_58_6</x:t>
  </x:si>
  <x:si>
    <x:t>s1_node_relic_59_2</x:t>
  </x:si>
  <x:si>
    <x:t>s1_node_relic_59_6</x:t>
  </x:si>
  <x:si>
    <x:t>s1_node_relic_60_2</x:t>
  </x:si>
  <x:si>
    <x:t>s1_node_relic_60_6</x:t>
  </x:si>
  <x:si>
    <x:t>s1_node_relic_61_4</x:t>
  </x:si>
  <x:si>
    <x:t>830;840;850</x:t>
  </x:si>
  <x:si>
    <x:t>s1_node_relic_62_2</x:t>
  </x:si>
  <x:si>
    <x:t>s1_node_relic_62_6</x:t>
  </x:si>
  <x:si>
    <x:t>s1_node_relic_63_2</x:t>
  </x:si>
  <x:si>
    <x:t>s1_node_relic_63_6</x:t>
  </x:si>
  <x:si>
    <x:t>850;860;880</x:t>
  </x:si>
  <x:si>
    <x:t>s1_node_relic_64_2</x:t>
  </x:si>
  <x:si>
    <x:t>s1_node_relic_64_6</x:t>
  </x:si>
  <x:si>
    <x:t>870;880;880</x:t>
  </x:si>
  <x:si>
    <x:t>s1_node_relic_65_2</x:t>
  </x:si>
  <x:si>
    <x:t>s1_node_relic_65_6</x:t>
  </x:si>
  <x:si>
    <x:t>880;890;900</x:t>
  </x:si>
  <x:si>
    <x:t>s1_node_relic_66_4</x:t>
  </x:si>
  <x:si>
    <x:t>890;900;920</x:t>
  </x:si>
  <x:si>
    <x:t>s1_node_relic_67_2</x:t>
  </x:si>
  <x:si>
    <x:t>s1_node_relic_67_6</x:t>
  </x:si>
  <x:si>
    <x:t>900;910;930</x:t>
  </x:si>
  <x:si>
    <x:t>s1_node_relic_68_2</x:t>
  </x:si>
  <x:si>
    <x:t>s1_node_relic_68_6</x:t>
  </x:si>
  <x:si>
    <x:t>920;930;930</x:t>
  </x:si>
  <x:si>
    <x:t>s1_node_relic_69_2</x:t>
  </x:si>
  <x:si>
    <x:t>s1_node_relic_69_6</x:t>
  </x:si>
  <x:si>
    <x:t>930;940;950</x:t>
  </x:si>
  <x:si>
    <x:t>s1_node_relic_70_2</x:t>
  </x:si>
  <x:si>
    <x:t>s1_node_relic_70_6</x:t>
  </x:si>
  <x:si>
    <x:t>s1_node_relic_71_4</x:t>
  </x:si>
  <x:si>
    <x:t>s1_node_relic_72_2</x:t>
  </x:si>
  <x:si>
    <x:t>s1_node_relic_72_6</x:t>
  </x:si>
  <x:si>
    <x:t>s1_node_relic_73_2</x:t>
  </x:si>
  <x:si>
    <x:t>s1_node_relic_73_6</x:t>
  </x:si>
  <x:si>
    <x:t>s1_node_relic_74_2</x:t>
  </x:si>
  <x:si>
    <x:t>s1_node_relic_74_6</x:t>
  </x:si>
  <x:si>
    <x:t>s1_node_relic_75_2</x:t>
  </x:si>
  <x:si>
    <x:t>s1_node_relic_75_6</x:t>
  </x:si>
  <x:si>
    <x:t>1010;1020;1020</x:t>
  </x:si>
  <x:si>
    <x:t>s1_node_relic_76_4</x:t>
  </x:si>
  <x:si>
    <x:t>s1_node_relic_77_2</x:t>
  </x:si>
  <x:si>
    <x:t>s1_node_relic_77_6</x:t>
  </x:si>
  <x:si>
    <x:t>1030;1040;1050</x:t>
  </x:si>
  <x:si>
    <x:t>s1_node_relic_78_2</x:t>
  </x:si>
  <x:si>
    <x:t>s1_node_relic_78_6</x:t>
  </x:si>
  <x:si>
    <x:t>1040;1050;1070</x:t>
  </x:si>
  <x:si>
    <x:t>s1_node_relic_79_2</x:t>
  </x:si>
  <x:si>
    <x:t>s1_node_relic_79_6</x:t>
  </x:si>
  <x:si>
    <x:t>1060;1070;1070</x:t>
  </x:si>
  <x:si>
    <x:t>s1_node_relic_80_2</x:t>
  </x:si>
  <x:si>
    <x:t>s1_node_relic_80_6</x:t>
  </x:si>
  <x:si>
    <x:t>s1_node_relic_81_4</x:t>
  </x:si>
  <x:si>
    <x:t>1080;1090;1100</x:t>
  </x:si>
  <x:si>
    <x:t>s1_node_relic_82_2</x:t>
  </x:si>
  <x:si>
    <x:t>s1_node_relic_82_6</x:t>
  </x:si>
  <x:si>
    <x:t>s1_node_relic_83_2</x:t>
  </x:si>
  <x:si>
    <x:t>s1_node_relic_83_6</x:t>
  </x:si>
  <x:si>
    <x:t>s1_node_relic_84_2</x:t>
  </x:si>
  <x:si>
    <x:t>s1_node_relic_84_6</x:t>
  </x:si>
  <x:si>
    <x:t>1120;1130;1140</x:t>
  </x:si>
  <x:si>
    <x:t>s1_node_relic_85_2</x:t>
  </x:si>
  <x:si>
    <x:t>s1_node_relic_85_6</x:t>
  </x:si>
  <x:si>
    <x:t>1130;1140;1160</x:t>
  </x:si>
  <x:si>
    <x:t>s1_node_relic_86_4</x:t>
  </x:si>
  <x:si>
    <x:t>1140;1150;1170</x:t>
  </x:si>
  <x:si>
    <x:t>s1_node_relic_87_2</x:t>
  </x:si>
  <x:si>
    <x:t>s1_node_relic_87_6</x:t>
  </x:si>
  <x:si>
    <x:t>1160;1170;1170</x:t>
  </x:si>
  <x:si>
    <x:t>s1_node_relic_88_2</x:t>
  </x:si>
  <x:si>
    <x:t>s1_node_relic_88_6</x:t>
  </x:si>
  <x:si>
    <x:t>s1_node_relic_89_2</x:t>
  </x:si>
  <x:si>
    <x:t>s1_node_relic_89_6</x:t>
  </x:si>
  <x:si>
    <x:t>s1_node_relic_90_2</x:t>
  </x:si>
  <x:si>
    <x:t>s1_node_relic_90_6</x:t>
  </x:si>
  <x:si>
    <x:t>1200;1210;1210</x:t>
  </x:si>
  <x:si>
    <x:t>s1_node_relic_91_4</x:t>
  </x:si>
  <x:si>
    <x:t>s1_node_relic_92_2</x:t>
  </x:si>
  <x:si>
    <x:t>s1_node_relic_92_6</x:t>
  </x:si>
  <x:si>
    <x:t>1220;1230;1240</x:t>
  </x:si>
  <x:si>
    <x:t>s1_node_relic_93_2</x:t>
  </x:si>
  <x:si>
    <x:t>s1_node_relic_93_6</x:t>
  </x:si>
  <x:si>
    <x:t>1230;1240;1260</x:t>
  </x:si>
  <x:si>
    <x:t>s1_node_relic_94_2</x:t>
  </x:si>
  <x:si>
    <x:t>s1_node_relic_94_6</x:t>
  </x:si>
  <x:si>
    <x:t>1250;1260;1260</x:t>
  </x:si>
  <x:si>
    <x:t>s1_node_relic_95_2</x:t>
  </x:si>
  <x:si>
    <x:t>s1_node_relic_95_6</x:t>
  </x:si>
  <x:si>
    <x:t>1260;1270;1280</x:t>
  </x:si>
  <x:si>
    <x:t>s1_node_relic_96_4</x:t>
  </x:si>
  <x:si>
    <x:t>1270;1280;1290</x:t>
  </x:si>
  <x:si>
    <x:t>s1_node_relic_97_2</x:t>
  </x:si>
  <x:si>
    <x:t>s1_node_relic_97_6</x:t>
  </x:si>
  <x:si>
    <x:t>1280;1290;1310</x:t>
  </x:si>
  <x:si>
    <x:t>s1_node_relic_98_2</x:t>
  </x:si>
  <x:si>
    <x:t>s1_node_relic_98_6</x:t>
  </x:si>
  <x:si>
    <x:t>1300;1310;1310</x:t>
  </x:si>
  <x:si>
    <x:t>s1_node_relic_99_6</x:t>
  </x:si>
  <x:si>
    <x:t>s1_node_relic_99_2</x:t>
  </x:si>
  <x:si>
    <x:t>s1_node_battle_1_4</x:t>
  </x:si>
  <x:si>
    <x:t>80;90;90</x:t>
  </x:si>
  <x:si>
    <x:t>s1_node_battle_2_2</x:t>
  </x:si>
  <x:si>
    <x:t>s1_node_battle_2_6</x:t>
  </x:si>
  <x:si>
    <x:t>90;100;110</x:t>
  </x:si>
  <x:si>
    <x:t>s1_node_battle_3_2</x:t>
  </x:si>
  <x:si>
    <x:t>s1_node_battle_3_6</x:t>
  </x:si>
  <x:si>
    <x:t>100;110;130</x:t>
  </x:si>
  <x:si>
    <x:t>s1_node_battle_4_2</x:t>
  </x:si>
  <x:si>
    <x:t>s1_node_battle_4_6</x:t>
  </x:si>
  <x:si>
    <x:t>120;130;130</x:t>
  </x:si>
  <x:si>
    <x:t>s1_node_battle_5_2</x:t>
  </x:si>
  <x:si>
    <x:t>s1_node_battle_5_6</x:t>
  </x:si>
  <x:si>
    <x:t>130;140;150</x:t>
  </x:si>
  <x:si>
    <x:t>s1_node_battle_6_4</x:t>
  </x:si>
  <x:si>
    <x:t>140;150;160</x:t>
  </x:si>
  <x:si>
    <x:t>s1_node_battle_7_2</x:t>
  </x:si>
  <x:si>
    <x:t>s1_node_battle_7_6</x:t>
  </x:si>
  <x:si>
    <x:t>150;160;180</x:t>
  </x:si>
  <x:si>
    <x:t>s1_node_battle_8_2</x:t>
  </x:si>
  <x:si>
    <x:t>s1_node_battle_8_6</x:t>
  </x:si>
  <x:si>
    <x:t>s1_node_battle_9_2</x:t>
  </x:si>
  <x:si>
    <x:t>s1_node_battle_9_6</x:t>
  </x:si>
  <x:si>
    <x:t>s1_node_battle_10_2</x:t>
  </x:si>
  <x:si>
    <x:t>s1_node_battle_10_6</x:t>
  </x:si>
  <x:si>
    <x:t>s1_node_battle_11_4</x:t>
  </x:si>
  <x:si>
    <x:t>s1_node_battle_12_2</x:t>
  </x:si>
  <x:si>
    <x:t>s1_node_battle_12_6</x:t>
  </x:si>
  <x:si>
    <x:t>s1_node_battle_13_2</x:t>
  </x:si>
  <x:si>
    <x:t>s1_node_battle_13_6</x:t>
  </x:si>
  <x:si>
    <x:t>s1_node_battle_14_2</x:t>
  </x:si>
  <x:si>
    <x:t>s1_node_battle_14_6</x:t>
  </x:si>
  <x:si>
    <x:t>s1_node_battle_15_2</x:t>
  </x:si>
  <x:si>
    <x:t>s1_node_battle_15_6</x:t>
  </x:si>
  <x:si>
    <x:t>s1_node_battle_16_4</x:t>
  </x:si>
  <x:si>
    <x:t>270;280;300</x:t>
  </x:si>
  <x:si>
    <x:t>s1_node_battle_17_2</x:t>
  </x:si>
  <x:si>
    <x:t>s1_node_battle_17_6</x:t>
  </x:si>
  <x:si>
    <x:t>290;300;300</x:t>
  </x:si>
  <x:si>
    <x:t>s1_node_battle_18_2</x:t>
  </x:si>
  <x:si>
    <x:t>s1_node_battle_18_6</x:t>
  </x:si>
  <x:si>
    <x:t>s1_node_battle_19_2</x:t>
  </x:si>
  <x:si>
    <x:t>s1_node_battle_19_6</x:t>
  </x:si>
  <x:si>
    <x:t>s1_node_battle_20_2</x:t>
  </x:si>
  <x:si>
    <x:t>s1_node_battle_20_6</x:t>
  </x:si>
  <x:si>
    <x:t>s1_node_battle_21_4</x:t>
  </x:si>
  <x:si>
    <x:t>s1_node_battle_22_2</x:t>
  </x:si>
  <x:si>
    <x:t>s1_node_battle_22_6</x:t>
  </x:si>
  <x:si>
    <x:t>s1_node_battle_23_2</x:t>
  </x:si>
  <x:si>
    <x:t>s1_node_battle_23_6</x:t>
  </x:si>
  <x:si>
    <x:t>s1_node_battle_24_2</x:t>
  </x:si>
  <x:si>
    <x:t>s1_node_battle_24_6</x:t>
  </x:si>
  <x:si>
    <x:t>s1_node_battle_25_2</x:t>
  </x:si>
  <x:si>
    <x:t>s1_node_battle_25_6</x:t>
  </x:si>
  <x:si>
    <x:t>390;400;410</x:t>
  </x:si>
  <x:si>
    <x:t>s1_node_battle_26_4</x:t>
  </x:si>
  <x:si>
    <x:t>400;410;430</x:t>
  </x:si>
  <x:si>
    <x:t>s1_node_battle_27_2</x:t>
  </x:si>
  <x:si>
    <x:t>s1_node_battle_27_6</x:t>
  </x:si>
  <x:si>
    <x:t>420;430;430</x:t>
  </x:si>
  <x:si>
    <x:t>s1_node_battle_28_2</x:t>
  </x:si>
  <x:si>
    <x:t>s1_node_battle_28_6</x:t>
  </x:si>
  <x:si>
    <x:t>430;440;450</x:t>
  </x:si>
  <x:si>
    <x:t>s1_node_battle_29_2</x:t>
  </x:si>
  <x:si>
    <x:t>s1_node_battle_29_6</x:t>
  </x:si>
  <x:si>
    <x:t>s1_node_battle_30_2</x:t>
  </x:si>
  <x:si>
    <x:t>s1_node_battle_30_6</x:t>
  </x:si>
  <x:si>
    <x:t>s1_node_battle_31_4</x:t>
  </x:si>
  <x:si>
    <x:t>s1_node_battle_32_2</x:t>
  </x:si>
  <x:si>
    <x:t>s1_node_battle_32_6</x:t>
  </x:si>
  <x:si>
    <x:t>s1_node_battle_33_2</x:t>
  </x:si>
  <x:si>
    <x:t>s1_node_battle_33_6</x:t>
  </x:si>
  <x:si>
    <x:t>s1_node_battle_34_2</x:t>
  </x:si>
  <x:si>
    <x:t>s1_node_battle_34_6</x:t>
  </x:si>
  <x:si>
    <x:t>510;520;520</x:t>
  </x:si>
  <x:si>
    <x:t>s1_node_battle_35_2</x:t>
  </x:si>
  <x:si>
    <x:t>s1_node_battle_35_6</x:t>
  </x:si>
  <x:si>
    <x:t>520;530;540</x:t>
  </x:si>
  <x:si>
    <x:t>s1_node_battle_36_4</x:t>
  </x:si>
  <x:si>
    <x:t>530;540;560</x:t>
  </x:si>
  <x:si>
    <x:t>s1_node_battle_37_2</x:t>
  </x:si>
  <x:si>
    <x:t>s1_node_battle_37_6</x:t>
  </x:si>
  <x:si>
    <x:t>550;560;560</x:t>
  </x:si>
  <x:si>
    <x:t>s1_node_battle_38_2</x:t>
  </x:si>
  <x:si>
    <x:t>s1_node_battle_38_6</x:t>
  </x:si>
  <x:si>
    <x:t>s1_node_battle_39_2</x:t>
  </x:si>
  <x:si>
    <x:t>s1_node_battle_39_6</x:t>
  </x:si>
  <x:si>
    <x:t>s1_node_battle_40_2</x:t>
  </x:si>
  <x:si>
    <x:t>s1_node_battle_40_6</x:t>
  </x:si>
  <x:si>
    <x:t>s1_node_battle_41_4</x:t>
  </x:si>
  <x:si>
    <x:t>s1_node_battle_42_2</x:t>
  </x:si>
  <x:si>
    <x:t>s1_node_battle_42_6</x:t>
  </x:si>
  <x:si>
    <x:t>s1_node_battle_43_2</x:t>
  </x:si>
  <x:si>
    <x:t>s1_node_battle_43_6</x:t>
  </x:si>
  <x:si>
    <x:t>s1_node_battle_44_2</x:t>
  </x:si>
  <x:si>
    <x:t>s1_node_battle_44_6</x:t>
  </x:si>
  <x:si>
    <x:t>640;650;650</x:t>
  </x:si>
  <x:si>
    <x:t>s1_node_battle_45_2</x:t>
  </x:si>
  <x:si>
    <x:t>s1_node_battle_45_6</x:t>
  </x:si>
  <x:si>
    <x:t>s1_node_battle_46_4</x:t>
  </x:si>
  <x:si>
    <x:t>s1_node_battle_47_2</x:t>
  </x:si>
  <x:si>
    <x:t>s1_node_battle_47_6</x:t>
  </x:si>
  <x:si>
    <x:t>s1_node_battle_48_2</x:t>
  </x:si>
  <x:si>
    <x:t>s1_node_battle_48_6</x:t>
  </x:si>
  <x:si>
    <x:t>s1_node_battle_49_2</x:t>
  </x:si>
  <x:si>
    <x:t>s1_node_battle_49_6</x:t>
  </x:si>
  <x:si>
    <x:t>s1_node_battle_50_2</x:t>
  </x:si>
  <x:si>
    <x:t>s1_node_battle_50_6</x:t>
  </x:si>
  <x:si>
    <x:t>s1_node_battle_51_4</x:t>
  </x:si>
  <x:si>
    <x:t>s1_node_battle_52_2</x:t>
  </x:si>
  <x:si>
    <x:t>s1_node_battle_52_6</x:t>
  </x:si>
  <x:si>
    <x:t>s1_node_battle_53_2</x:t>
  </x:si>
  <x:si>
    <x:t>s1_node_battle_53_6</x:t>
  </x:si>
  <x:si>
    <x:t>s1_node_battle_54_2</x:t>
  </x:si>
  <x:si>
    <x:t>s1_node_battle_54_6</x:t>
  </x:si>
  <x:si>
    <x:t>s1_node_battle_55_2</x:t>
  </x:si>
  <x:si>
    <x:t>s1_node_battle_55_6</x:t>
  </x:si>
  <x:si>
    <x:t>780;790;810</x:t>
  </x:si>
  <x:si>
    <x:t>s1_node_battle_56_4</x:t>
  </x:si>
  <x:si>
    <x:t>s1_node_battle_57_2</x:t>
  </x:si>
  <x:si>
    <x:t>s1_node_battle_57_6</x:t>
  </x:si>
  <x:si>
    <x:t>810;820;820</x:t>
  </x:si>
  <x:si>
    <x:t>s1_node_battle_58_2</x:t>
  </x:si>
  <x:si>
    <x:t>s1_node_battle_58_6</x:t>
  </x:si>
  <x:si>
    <x:t>820;830;840</x:t>
  </x:si>
  <x:si>
    <x:t>s1_node_battle_59_2</x:t>
  </x:si>
  <x:si>
    <x:t>s1_node_battle_59_6</x:t>
  </x:si>
  <x:si>
    <x:t>830;840;860</x:t>
  </x:si>
  <x:si>
    <x:t>s1_node_battle_60_2</x:t>
  </x:si>
  <x:si>
    <x:t>s1_node_battle_60_6</x:t>
  </x:si>
  <x:si>
    <x:t>850;860;860</x:t>
  </x:si>
  <x:si>
    <x:t>s1_node_battle_61_4</x:t>
  </x:si>
  <x:si>
    <x:t>s1_node_battle_62_2</x:t>
  </x:si>
  <x:si>
    <x:t>s1_node_battle_62_6</x:t>
  </x:si>
  <x:si>
    <x:t>s1_node_battle_63_2</x:t>
  </x:si>
  <x:si>
    <x:t>s1_node_battle_63_6</x:t>
  </x:si>
  <x:si>
    <x:t>s1_node_battle_64_2</x:t>
  </x:si>
  <x:si>
    <x:t>s1_node_battle_64_6</x:t>
  </x:si>
  <x:si>
    <x:t>900;910;920</x:t>
  </x:si>
  <x:si>
    <x:t>s1_node_battle_65_2</x:t>
  </x:si>
  <x:si>
    <x:t>s1_node_battle_65_6</x:t>
  </x:si>
  <x:si>
    <x:t>910;920;940</x:t>
  </x:si>
  <x:si>
    <x:t>s1_node_battle_66_4</x:t>
  </x:si>
  <x:si>
    <x:t>930;940;940</x:t>
  </x:si>
  <x:si>
    <x:t>s1_node_battle_67_2</x:t>
  </x:si>
  <x:si>
    <x:t>s1_node_battle_67_6</x:t>
  </x:si>
  <x:si>
    <x:t>940;950;960</x:t>
  </x:si>
  <x:si>
    <x:t>s1_node_battle_68_2</x:t>
  </x:si>
  <x:si>
    <x:t>s1_node_battle_68_6</x:t>
  </x:si>
  <x:si>
    <x:t>950;960;970</x:t>
  </x:si>
  <x:si>
    <x:t>s1_node_battle_69_2</x:t>
  </x:si>
  <x:si>
    <x:t>s1_node_battle_69_6</x:t>
  </x:si>
  <x:si>
    <x:t>960;970;990</x:t>
  </x:si>
  <x:si>
    <x:t>s1_node_battle_70_2</x:t>
  </x:si>
  <x:si>
    <x:t>s1_node_battle_70_6</x:t>
  </x:si>
  <x:si>
    <x:t>s1_node_battle_71_4</x:t>
  </x:si>
  <x:si>
    <x:t>s1_node_battle_72_2</x:t>
  </x:si>
  <x:si>
    <x:t>s1_node_battle_72_6</x:t>
  </x:si>
  <x:si>
    <x:t>s1_node_battle_73_2</x:t>
  </x:si>
  <x:si>
    <x:t>s1_node_battle_73_6</x:t>
  </x:si>
  <x:si>
    <x:t>s1_node_battle_74_2</x:t>
  </x:si>
  <x:si>
    <x:t>s1_node_battle_74_6</x:t>
  </x:si>
  <x:si>
    <x:t>s1_node_battle_75_2</x:t>
  </x:si>
  <x:si>
    <x:t>s1_node_battle_75_6</x:t>
  </x:si>
  <x:si>
    <x:t>s1_node_battle_76_4</x:t>
  </x:si>
  <x:si>
    <x:t>s1_node_battle_77_2</x:t>
  </x:si>
  <x:si>
    <x:t>s1_node_battle_77_6</x:t>
  </x:si>
  <x:si>
    <x:t>s1_node_battle_78_2</x:t>
  </x:si>
  <x:si>
    <x:t>s1_node_battle_78_6</x:t>
  </x:si>
  <x:si>
    <x:t>s1_node_battle_79_2</x:t>
  </x:si>
  <x:si>
    <x:t>s1_node_battle_79_6</x:t>
  </x:si>
  <x:si>
    <x:t>1100;1110;1110</x:t>
  </x:si>
  <x:si>
    <x:t>s1_node_battle_80_2</x:t>
  </x:si>
  <x:si>
    <x:t>s1_node_battle_80_6</x:t>
  </x:si>
  <x:si>
    <x:t>s1_node_battle_81_4</x:t>
  </x:si>
  <x:si>
    <x:t>s1_node_battle_82_2</x:t>
  </x:si>
  <x:si>
    <x:t>s1_node_battle_82_6</x:t>
  </x:si>
  <x:si>
    <x:t>s1_node_battle_83_2</x:t>
  </x:si>
  <x:si>
    <x:t>s1_node_battle_83_6</x:t>
  </x:si>
  <x:si>
    <x:t>s1_node_battle_84_2</x:t>
  </x:si>
  <x:si>
    <x:t>s1_node_battle_84_6</x:t>
  </x:si>
  <x:si>
    <x:t>s1_node_battle_85_2</x:t>
  </x:si>
  <x:si>
    <x:t>s1_node_battle_85_6</x:t>
  </x:si>
  <x:si>
    <x:t>1170;1180;1200</x:t>
  </x:si>
  <x:si>
    <x:t>s1_node_battle_86_4</x:t>
  </x:si>
  <x:si>
    <x:t>1190;1200;1200</x:t>
  </x:si>
  <x:si>
    <x:t>s1_node_battle_87_2</x:t>
  </x:si>
  <x:si>
    <x:t>s1_node_battle_87_6</x:t>
  </x:si>
  <x:si>
    <x:t>1200;1210;1220</x:t>
  </x:si>
  <x:si>
    <x:t>s1_node_battle_88_2</x:t>
  </x:si>
  <x:si>
    <x:t>s1_node_battle_88_6</x:t>
  </x:si>
  <x:si>
    <x:t>1210;1220;1240</x:t>
  </x:si>
  <x:si>
    <x:t>s1_node_battle_89_2</x:t>
  </x:si>
  <x:si>
    <x:t>s1_node_battle_89_6</x:t>
  </x:si>
  <x:si>
    <x:t>1230;1240;1240</x:t>
  </x:si>
  <x:si>
    <x:t>s1_node_battle_90_2</x:t>
  </x:si>
  <x:si>
    <x:t>s1_node_battle_90_6</x:t>
  </x:si>
  <x:si>
    <x:t>1240;1250;1260</x:t>
  </x:si>
  <x:si>
    <x:t>s1_node_battle_91_4</x:t>
  </x:si>
  <x:si>
    <x:t>1250;1260;1280</x:t>
  </x:si>
  <x:si>
    <x:t>s1_node_battle_92_2</x:t>
  </x:si>
  <x:si>
    <x:t>s1_node_battle_92_6</x:t>
  </x:si>
  <x:si>
    <x:t>1270;1280;1280</x:t>
  </x:si>
  <x:si>
    <x:t>s1_node_battle_93_2</x:t>
  </x:si>
  <x:si>
    <x:t>s1_node_battle_93_6</x:t>
  </x:si>
  <x:si>
    <x:t>1280;1290;1290</x:t>
  </x:si>
  <x:si>
    <x:t>s1_node_battle_94_2</x:t>
  </x:si>
  <x:si>
    <x:t>s1_node_battle_94_6</x:t>
  </x:si>
  <x:si>
    <x:t>1290;1300;1310</x:t>
  </x:si>
  <x:si>
    <x:t>s1_node_battle_95_2</x:t>
  </x:si>
  <x:si>
    <x:t>s1_node_battle_95_6</x:t>
  </x:si>
  <x:si>
    <x:t>1300;1310;1330</x:t>
  </x:si>
  <x:si>
    <x:t>s1_node_battle_96_4</x:t>
  </x:si>
  <x:si>
    <x:t>1320;1330;1330</x:t>
  </x:si>
  <x:si>
    <x:t>s1_node_battle_97_2</x:t>
  </x:si>
  <x:si>
    <x:t>s1_node_battle_97_6</x:t>
  </x:si>
  <x:si>
    <x:t>1330;1340;1350</x:t>
  </x:si>
  <x:si>
    <x:t>s1_node_battle_98_2</x:t>
  </x:si>
  <x:si>
    <x:t>s1_node_battle_98_6</x:t>
  </x:si>
  <x:si>
    <x:t>1340;1350;1370</x:t>
  </x:si>
  <x:si>
    <x:t>s1_node_battle_99_6</x:t>
  </x:si>
  <x:si>
    <x:t>s1_node_battle_99_2</x:t>
  </x:si>
  <x:si>
    <x:t>표시 순서</x:t>
  </x:si>
  <x:si>
    <x:t>서브스토리 DB id</x:t>
  </x:si>
  <x:si>
    <x:t>story_id</x:t>
  </x:si>
  <x:si>
    <x:t>v5154a_002_1</x:t>
  </x:si>
  <x:si>
    <x:t>v5154a_002_2</x:t>
  </x:si>
  <x:si>
    <x:t>v5154a_002_3</x:t>
  </x:si>
  <x:si>
    <x:t>v5154a_002_4</x:t>
  </x:si>
  <x:si>
    <x:t>v5154a_002_5</x:t>
  </x:si>
  <x:si>
    <x:t>v5154a_002_6</x:t>
  </x:si>
  <x:si>
    <x:t>v5154a_002_7</x:t>
  </x:si>
  <x:si>
    <x:t>v5154a_002_8</x:t>
  </x:si>
  <x:si>
    <x:t>v5154a_002_9</x:t>
  </x:si>
  <x:si>
    <x:t>v5154a_002_10</x:t>
  </x:si>
  <x:si>
    <x:t>v5154a_002_11</x:t>
  </x:si>
  <x:si>
    <x:t>v5154a_002_12</x:t>
  </x:si>
  <x:si>
    <x:t>v5154a_002_13</x:t>
  </x:si>
  <x:si>
    <x:t>v5154a_002_14</x:t>
  </x:si>
  <x:si>
    <x:t>v5154a_002_15</x:t>
  </x:si>
  <x:si>
    <x:t>카테고리</x:t>
  </x:si>
  <x:si>
    <x:t>타이틀 TID</x:t>
  </x:si>
  <x:si>
    <x:t>설명 TID</x:t>
  </x:si>
  <x:si>
    <x:t>event_title</x:t>
  </x:si>
  <x:si>
    <x:t>event_desc</x:t>
  </x:si>
  <x:si>
    <x:t>event_1</x:t>
  </x:si>
  <x:si>
    <x:t>낡은 유물함</x:t>
  </x:si>
  <x:si>
    <x:t>먼지 쌓인 유물함을 회수하거나 그냥 지나치는 사건.</x:t>
  </x:si>
  <x:si>
    <x:t>별빛 파편 상자</x:t>
  </x:si>
  <x:si>
    <x:t>차원 파편이 담긴 상자에서 유물 또는 재화를 노린다.</x:t>
  </x:si>
  <x:si>
    <x:t>기억의 진열대</x:t>
  </x:si>
  <x:si>
    <x:t>기록 아카이브 단서와 탐사 보상을 교환하는 사건.</x:t>
  </x:si>
  <x:si>
    <x:t>수호자의 전리품</x:t>
  </x:si>
  <x:si>
    <x:t>수호자의 흔적에서 전투 보상 또는 유물을 회수한다.</x:t>
  </x:si>
  <x:si>
    <x:t>속삭이는 기록관</x:t>
  </x:si>
  <x:si>
    <x:t>도감 단서를 얻는 대신 탐사 자원을 소모한다.</x:t>
  </x:si>
  <x:si>
    <x:t>봉인된 보관함</x:t>
  </x:si>
  <x:si>
    <x:t>봉인을 해제해 보상을 얻거나 실패 위험을 감수한다.</x:t>
  </x:si>
  <x:si>
    <x:t>탐험가의 선반</x:t>
  </x:si>
  <x:si>
    <x:t>이전 탐험가가 남긴 소모품과 정보를 선택한다.</x:t>
  </x:si>
  <x:si>
    <x:t>event_2</x:t>
  </x:si>
  <x:si>
    <x:t>결투의 잔상</x:t>
  </x:si>
  <x:si>
    <x:t>다른 탐사대의 환영과 영웅 대 영웅 전투를 벌인다.</x:t>
  </x:si>
  <x:si>
    <x:t>균열 검투사</x:t>
  </x:si>
  <x:si>
    <x:t>균열에 남은 투사의 기록을 상대하고 보상을 획득한다.</x:t>
  </x:si>
  <x:si>
    <x:t>차원 투기장</x:t>
  </x:si>
  <x:si>
    <x:t>제한 조건이 붙은 PvP식 전투를 선택할 수 있다.</x:t>
  </x:si>
  <x:si>
    <x:t>이름 없는 도전자</x:t>
  </x:si>
  <x:si>
    <x:t>무작위 조합의 적 영웅 파티와 교전한다.</x:t>
  </x:si>
  <x:si>
    <x:t>전술 모의전</x:t>
  </x:si>
  <x:si>
    <x:t>태그와 영입 구성을 시험하는 모의 전투 사건.</x:t>
  </x:si>
  <x:si>
    <x:t>패자의 깃발</x:t>
  </x:si>
  <x:si>
    <x:t>패배한 탐사대의 깃발에서 정복 보상을 회수한다.</x:t>
  </x:si>
  <x:si>
    <x:t>공명 결투</x:t>
  </x:si>
  <x:si>
    <x:t>차원핵 공명치에 따라 보상이 달라지는 결투 사건.</x:t>
  </x:si>
  <x:si>
    <x:t>새로운 타입 있을 경우 추가</x:t>
  </x:si>
  <x:si>
    <x:t>아이콘 파일 이름</x:t>
  </x:si>
  <x:si>
    <x:t>이름 TID</x:t>
  </x:si>
  <x:si>
    <x:t>icon</x:t>
  </x:si>
  <x:si>
    <x:t>name</x:t>
  </x:si>
  <x:si>
    <x:t>desc</x:t>
  </x:si>
  <x:si>
    <x:t>s1_relic_001</x:t>
  </x:si>
  <x:si>
    <x:t>s1_relic_001_name</x:t>
  </x:si>
  <x:si>
    <x:t>s1_relic_001_desc</x:t>
  </x:si>
  <x:si>
    <x:t>s1_relic_002</x:t>
  </x:si>
  <x:si>
    <x:t>s1_relic_002_name</x:t>
  </x:si>
  <x:si>
    <x:t>s1_relic_002_desc</x:t>
  </x:si>
  <x:si>
    <x:t>s1_relic_003</x:t>
  </x:si>
  <x:si>
    <x:t>s1_relic_003_name</x:t>
  </x:si>
  <x:si>
    <x:t>s1_relic_003_desc</x:t>
  </x:si>
  <x:si>
    <x:t>s1_relic_004</x:t>
  </x:si>
  <x:si>
    <x:t>s1_relic_004_name</x:t>
  </x:si>
  <x:si>
    <x:t>s1_relic_004_desc</x:t>
  </x:si>
  <x:si>
    <x:t>s1_relic_005</x:t>
  </x:si>
  <x:si>
    <x:t>s1_relic_005_name</x:t>
  </x:si>
  <x:si>
    <x:t>s1_relic_005_desc</x:t>
  </x:si>
  <x:si>
    <x:t>s1_relic_006</x:t>
  </x:si>
  <x:si>
    <x:t>s1_relic_006_name</x:t>
  </x:si>
  <x:si>
    <x:t>s1_relic_006_desc</x:t>
  </x:si>
  <x:si>
    <x:t>s1_relic_007</x:t>
  </x:si>
  <x:si>
    <x:t>s1_relic_007_name</x:t>
  </x:si>
  <x:si>
    <x:t>s1_relic_007_desc</x:t>
  </x:si>
  <x:si>
    <x:t>s1_relic_008</x:t>
  </x:si>
  <x:si>
    <x:t>s1_relic_008_name</x:t>
  </x:si>
  <x:si>
    <x:t>s1_relic_008_desc</x:t>
  </x:si>
  <x:si>
    <x:t>s1_relic_009</x:t>
  </x:si>
  <x:si>
    <x:t>s1_relic_009_name</x:t>
  </x:si>
  <x:si>
    <x:t>s1_relic_009_desc</x:t>
  </x:si>
  <x:si>
    <x:t>s1_relic_010</x:t>
  </x:si>
  <x:si>
    <x:t>s1_relic_010_name</x:t>
  </x:si>
  <x:si>
    <x:t>s1_relic_010_desc</x:t>
  </x:si>
  <x:si>
    <x:t>s1_relic_011</x:t>
  </x:si>
  <x:si>
    <x:t>s1_relic_011_name</x:t>
  </x:si>
  <x:si>
    <x:t>s1_relic_011_desc</x:t>
  </x:si>
  <x:si>
    <x:t>s1_relic_012</x:t>
  </x:si>
  <x:si>
    <x:t>s1_relic_012_name</x:t>
  </x:si>
  <x:si>
    <x:t>s1_relic_012_desc</x:t>
  </x:si>
  <x:si>
    <x:t>s1_relic_013</x:t>
  </x:si>
  <x:si>
    <x:t>s1_relic_013_name</x:t>
  </x:si>
  <x:si>
    <x:t>s1_relic_013_desc</x:t>
  </x:si>
  <x:si>
    <x:t>s1_relic_014</x:t>
  </x:si>
  <x:si>
    <x:t>s1_relic_014_name</x:t>
  </x:si>
  <x:si>
    <x:t>s1_relic_014_desc</x:t>
  </x:si>
  <x:si>
    <x:t>s1_relic_015</x:t>
  </x:si>
  <x:si>
    <x:t>s1_relic_015_name</x:t>
  </x:si>
  <x:si>
    <x:t>s1_relic_015_desc</x:t>
  </x:si>
  <x:si>
    <x:t>s1_relic_016</x:t>
  </x:si>
  <x:si>
    <x:t>s1_relic_016_name</x:t>
  </x:si>
  <x:si>
    <x:t>s1_relic_016_desc</x:t>
  </x:si>
  <x:si>
    <x:t>s1_relic_017</x:t>
  </x:si>
  <x:si>
    <x:t>s1_relic_017_name</x:t>
  </x:si>
  <x:si>
    <x:t>s1_relic_017_desc</x:t>
  </x:si>
  <x:si>
    <x:t>s1_relic_018</x:t>
  </x:si>
  <x:si>
    <x:t>s1_relic_018_name</x:t>
  </x:si>
  <x:si>
    <x:t>s1_relic_018_desc</x:t>
  </x:si>
  <x:si>
    <x:t>s1_relic_019</x:t>
  </x:si>
  <x:si>
    <x:t>s1_relic_019_name</x:t>
  </x:si>
  <x:si>
    <x:t>s1_relic_019_desc</x:t>
  </x:si>
  <x:si>
    <x:t>s1_relic_020</x:t>
  </x:si>
  <x:si>
    <x:t>s1_relic_020_name</x:t>
  </x:si>
  <x:si>
    <x:t>s1_relic_020_desc</x:t>
  </x:si>
  <x:si>
    <x:t>s1_relic_021</x:t>
  </x:si>
  <x:si>
    <x:t>s1_relic_021_name</x:t>
  </x:si>
  <x:si>
    <x:t>s1_relic_021_desc</x:t>
  </x:si>
  <x:si>
    <x:t>s1_relic_022</x:t>
  </x:si>
  <x:si>
    <x:t>s1_relic_022_name</x:t>
  </x:si>
  <x:si>
    <x:t>s1_relic_022_desc</x:t>
  </x:si>
  <x:si>
    <x:t>s1_relic_023</x:t>
  </x:si>
  <x:si>
    <x:t>s1_relic_023_name</x:t>
  </x:si>
  <x:si>
    <x:t>s1_relic_023_desc</x:t>
  </x:si>
  <x:si>
    <x:t>s1_relic_024</x:t>
  </x:si>
  <x:si>
    <x:t>s1_relic_024_name</x:t>
  </x:si>
  <x:si>
    <x:t>s1_relic_024_desc</x:t>
  </x:si>
  <x:si>
    <x:t>s1_relic_025</x:t>
  </x:si>
  <x:si>
    <x:t>s1_relic_025_name</x:t>
  </x:si>
  <x:si>
    <x:t>s1_relic_025_desc</x:t>
  </x:si>
  <x:si>
    <x:t>s1_relic_026</x:t>
  </x:si>
  <x:si>
    <x:t>s1_relic_026_name</x:t>
  </x:si>
  <x:si>
    <x:t>s1_relic_026_desc</x:t>
  </x:si>
  <x:si>
    <x:t>s1_relic_027</x:t>
  </x:si>
  <x:si>
    <x:t>s1_relic_027_name</x:t>
  </x:si>
  <x:si>
    <x:t>s1_relic_027_desc</x:t>
  </x:si>
  <x:si>
    <x:t>s1_relic_028</x:t>
  </x:si>
  <x:si>
    <x:t>s1_relic_028_name</x:t>
  </x:si>
  <x:si>
    <x:t>s1_relic_028_desc</x:t>
  </x:si>
  <x:si>
    <x:t>s1_relic_029</x:t>
  </x:si>
  <x:si>
    <x:t>s1_relic_029_name</x:t>
  </x:si>
  <x:si>
    <x:t>s1_relic_029_desc</x:t>
  </x:si>
  <x:si>
    <x:t>s1_relic_030</x:t>
  </x:si>
  <x:si>
    <x:t>s1_relic_030_name</x:t>
  </x:si>
  <x:si>
    <x:t>s1_relic_030_desc</x:t>
  </x:si>
  <x:si>
    <x:t>s1_relic_031</x:t>
  </x:si>
  <x:si>
    <x:t>s1_relic_031_name</x:t>
  </x:si>
  <x:si>
    <x:t>s1_relic_031_desc</x:t>
  </x:si>
  <x:si>
    <x:t>s1_relic_032</x:t>
  </x:si>
  <x:si>
    <x:t>s1_relic_032_name</x:t>
  </x:si>
  <x:si>
    <x:t>s1_relic_032_desc</x:t>
  </x:si>
  <x:si>
    <x:t>s1_relic_033</x:t>
  </x:si>
  <x:si>
    <x:t>s1_relic_033_name</x:t>
  </x:si>
  <x:si>
    <x:t>s1_relic_033_desc</x:t>
  </x:si>
  <x:si>
    <x:t>s1_relic_034</x:t>
  </x:si>
  <x:si>
    <x:t>s1_relic_034_name</x:t>
  </x:si>
  <x:si>
    <x:t>s1_relic_034_desc</x:t>
  </x:si>
  <x:si>
    <x:t>s1_relic_035</x:t>
  </x:si>
  <x:si>
    <x:t>s1_relic_035_name</x:t>
  </x:si>
  <x:si>
    <x:t>s1_relic_035_desc</x:t>
  </x:si>
  <x:si>
    <x:t>s1_relic_036</x:t>
  </x:si>
  <x:si>
    <x:t>s1_relic_036_name</x:t>
  </x:si>
  <x:si>
    <x:t>s1_relic_036_desc</x:t>
  </x:si>
  <x:si>
    <x:t>s1_relic_037</x:t>
  </x:si>
  <x:si>
    <x:t>s1_relic_037_name</x:t>
  </x:si>
  <x:si>
    <x:t>s1_relic_037_desc</x:t>
  </x:si>
  <x:si>
    <x:t>s1_relic_038</x:t>
  </x:si>
  <x:si>
    <x:t>s1_relic_038_name</x:t>
  </x:si>
  <x:si>
    <x:t>s1_relic_038_desc</x:t>
  </x:si>
  <x:si>
    <x:t>s1_relic_039</x:t>
  </x:si>
  <x:si>
    <x:t>s1_relic_039_name</x:t>
  </x:si>
  <x:si>
    <x:t>s1_relic_039_desc</x:t>
  </x:si>
  <x:si>
    <x:t>s1_relic_040</x:t>
  </x:si>
  <x:si>
    <x:t>s1_relic_040_name</x:t>
  </x:si>
  <x:si>
    <x:t>s1_relic_040_desc</x:t>
  </x:si>
  <x:si>
    <x:t>s1_relic_041</x:t>
  </x:si>
  <x:si>
    <x:t>s1_relic_041_name</x:t>
  </x:si>
  <x:si>
    <x:t>s1_relic_041_desc</x:t>
  </x:si>
  <x:si>
    <x:t>s1_relic_042</x:t>
  </x:si>
  <x:si>
    <x:t>s1_relic_042_name</x:t>
  </x:si>
  <x:si>
    <x:t>s1_relic_042_desc</x:t>
  </x:si>
  <x:si>
    <x:t>s1_relic_043</x:t>
  </x:si>
  <x:si>
    <x:t>s1_relic_043_name</x:t>
  </x:si>
  <x:si>
    <x:t>s1_relic_043_desc</x:t>
  </x:si>
  <x:si>
    <x:t>s1_relic_044</x:t>
  </x:si>
  <x:si>
    <x:t>s1_relic_044_name</x:t>
  </x:si>
  <x:si>
    <x:t>s1_relic_044_desc</x:t>
  </x:si>
  <x:si>
    <x:t>s1_relic_045</x:t>
  </x:si>
  <x:si>
    <x:t>s1_relic_045_name</x:t>
  </x:si>
  <x:si>
    <x:t>s1_relic_045_desc</x:t>
  </x:si>
  <x:si>
    <x:t>s1_relic_046</x:t>
  </x:si>
  <x:si>
    <x:t>s1_relic_046_name</x:t>
  </x:si>
  <x:si>
    <x:t>s1_relic_046_desc</x:t>
  </x:si>
  <x:si>
    <x:t>s1_relic_047</x:t>
  </x:si>
  <x:si>
    <x:t>s1_relic_047_name</x:t>
  </x:si>
  <x:si>
    <x:t>s1_relic_047_desc</x:t>
  </x:si>
  <x:si>
    <x:t>s1_relic_048</x:t>
  </x:si>
  <x:si>
    <x:t>s1_relic_048_name</x:t>
  </x:si>
  <x:si>
    <x:t>s1_relic_048_desc</x:t>
  </x:si>
  <x:si>
    <x:t>s1_relic_049</x:t>
  </x:si>
  <x:si>
    <x:t>s1_relic_049_name</x:t>
  </x:si>
  <x:si>
    <x:t>s1_relic_049_desc</x:t>
  </x:si>
  <x:si>
    <x:t>s1_relic_050</x:t>
  </x:si>
  <x:si>
    <x:t>s1_relic_050_name</x:t>
  </x:si>
  <x:si>
    <x:t>s1_relic_050_desc</x:t>
  </x:si>
  <x:si>
    <x:t>s1_relic_051</x:t>
  </x:si>
  <x:si>
    <x:t>s1_relic_051_name</x:t>
  </x:si>
  <x:si>
    <x:t>s1_relic_051_desc</x:t>
  </x:si>
  <x:si>
    <x:t>s1_relic_052</x:t>
  </x:si>
  <x:si>
    <x:t>s1_relic_052_name</x:t>
  </x:si>
  <x:si>
    <x:t>s1_relic_052_desc</x:t>
  </x:si>
  <x:si>
    <x:t>s1_relic_053</x:t>
  </x:si>
  <x:si>
    <x:t>s1_relic_053_name</x:t>
  </x:si>
  <x:si>
    <x:t>s1_relic_053_desc</x:t>
  </x:si>
  <x:si>
    <x:t>s1_relic_054</x:t>
  </x:si>
  <x:si>
    <x:t>s1_relic_054_name</x:t>
  </x:si>
  <x:si>
    <x:t>s1_relic_054_desc</x:t>
  </x:si>
  <x:si>
    <x:t>s1_relic_055</x:t>
  </x:si>
  <x:si>
    <x:t>s1_relic_055_name</x:t>
  </x:si>
  <x:si>
    <x:t>s1_relic_055_desc</x:t>
  </x:si>
  <x:si>
    <x:t>s1_relic_056</x:t>
  </x:si>
  <x:si>
    <x:t>s1_relic_056_name</x:t>
  </x:si>
  <x:si>
    <x:t>s1_relic_056_desc</x:t>
  </x:si>
  <x:si>
    <x:t>s1_relic_057</x:t>
  </x:si>
  <x:si>
    <x:t>s1_relic_057_name</x:t>
  </x:si>
  <x:si>
    <x:t>s1_relic_057_desc</x:t>
  </x:si>
  <x:si>
    <x:t>s1_relic_058</x:t>
  </x:si>
  <x:si>
    <x:t>s1_relic_058_name</x:t>
  </x:si>
  <x:si>
    <x:t>s1_relic_058_desc</x:t>
  </x:si>
  <x:si>
    <x:t>s1_relic_059</x:t>
  </x:si>
  <x:si>
    <x:t>s1_relic_059_name</x:t>
  </x:si>
  <x:si>
    <x:t>s1_relic_059_desc</x:t>
  </x:si>
  <x:si>
    <x:t>s1_relic_060</x:t>
  </x:si>
  <x:si>
    <x:t>s1_relic_060_name</x:t>
  </x:si>
  <x:si>
    <x:t>s1_relic_060_desc</x:t>
  </x:si>
  <x:si>
    <x:t>s1_relic_061</x:t>
  </x:si>
  <x:si>
    <x:t>s1_relic_061_name</x:t>
  </x:si>
  <x:si>
    <x:t>s1_relic_061_desc</x:t>
  </x:si>
  <x:si>
    <x:t>s1_relic_062</x:t>
  </x:si>
  <x:si>
    <x:t>s1_relic_062_name</x:t>
  </x:si>
  <x:si>
    <x:t>s1_relic_062_desc</x:t>
  </x:si>
  <x:si>
    <x:t>s1_relic_063</x:t>
  </x:si>
  <x:si>
    <x:t>s1_relic_063_name</x:t>
  </x:si>
  <x:si>
    <x:t>s1_relic_063_desc</x:t>
  </x:si>
  <x:si>
    <x:t>s1_relic_064</x:t>
  </x:si>
  <x:si>
    <x:t>s1_relic_064_name</x:t>
  </x:si>
  <x:si>
    <x:t>s1_relic_064_desc</x:t>
  </x:si>
  <x:si>
    <x:t>s1_relic_065</x:t>
  </x:si>
  <x:si>
    <x:t>s1_relic_065_name</x:t>
  </x:si>
  <x:si>
    <x:t>s1_relic_065_desc</x:t>
  </x:si>
  <x:si>
    <x:t>s1_relic_066</x:t>
  </x:si>
  <x:si>
    <x:t>s1_relic_066_name</x:t>
  </x:si>
  <x:si>
    <x:t>s1_relic_066_desc</x:t>
  </x:si>
  <x:si>
    <x:t>s1_relic_067</x:t>
  </x:si>
  <x:si>
    <x:t>s1_relic_067_name</x:t>
  </x:si>
  <x:si>
    <x:t>s1_relic_067_desc</x:t>
  </x:si>
  <x:si>
    <x:t>s1_relic_068</x:t>
  </x:si>
  <x:si>
    <x:t>s1_relic_068_name</x:t>
  </x:si>
  <x:si>
    <x:t>s1_relic_068_desc</x:t>
  </x:si>
  <x:si>
    <x:t>s1_relic_069</x:t>
  </x:si>
  <x:si>
    <x:t>s1_relic_069_name</x:t>
  </x:si>
  <x:si>
    <x:t>s1_relic_069_desc</x:t>
  </x:si>
  <x:si>
    <x:t>s1_relic_070</x:t>
  </x:si>
  <x:si>
    <x:t>s1_relic_070_name</x:t>
  </x:si>
  <x:si>
    <x:t>s1_relic_070_desc</x:t>
  </x:si>
  <x:si>
    <x:t>s1_relic_071</x:t>
  </x:si>
  <x:si>
    <x:t>s1_relic_071_name</x:t>
  </x:si>
  <x:si>
    <x:t>s1_relic_071_desc</x:t>
  </x:si>
  <x:si>
    <x:t>s1_relic_072</x:t>
  </x:si>
  <x:si>
    <x:t>s1_relic_072_name</x:t>
  </x:si>
  <x:si>
    <x:t>s1_relic_072_desc</x:t>
  </x:si>
  <x:si>
    <x:t>s1_relic_073</x:t>
  </x:si>
  <x:si>
    <x:t>s1_relic_073_name</x:t>
  </x:si>
  <x:si>
    <x:t>s1_relic_073_desc</x:t>
  </x:si>
  <x:si>
    <x:t>s1_relic_074</x:t>
  </x:si>
  <x:si>
    <x:t>s1_relic_074_name</x:t>
  </x:si>
  <x:si>
    <x:t>s1_relic_074_desc</x:t>
  </x:si>
  <x:si>
    <x:t>s1_relic_075</x:t>
  </x:si>
  <x:si>
    <x:t>s1_relic_075_name</x:t>
  </x:si>
  <x:si>
    <x:t>s1_relic_075_desc</x:t>
  </x:si>
  <x:si>
    <x:t>s1_relic_076</x:t>
  </x:si>
  <x:si>
    <x:t>s1_relic_076_name</x:t>
  </x:si>
  <x:si>
    <x:t>s1_relic_076_desc</x:t>
  </x:si>
  <x:si>
    <x:t>s1_relic_077</x:t>
  </x:si>
  <x:si>
    <x:t>s1_relic_077_name</x:t>
  </x:si>
  <x:si>
    <x:t>s1_relic_077_desc</x:t>
  </x:si>
  <x:si>
    <x:t>s1_relic_078</x:t>
  </x:si>
  <x:si>
    <x:t>s1_relic_078_name</x:t>
  </x:si>
  <x:si>
    <x:t>s1_relic_078_desc</x:t>
  </x:si>
  <x:si>
    <x:t>s1_relic_079</x:t>
  </x:si>
  <x:si>
    <x:t>s1_relic_079_name</x:t>
  </x:si>
  <x:si>
    <x:t>s1_relic_079_desc</x:t>
  </x:si>
  <x:si>
    <x:t>s1_relic_080</x:t>
  </x:si>
  <x:si>
    <x:t>s1_relic_080_name</x:t>
  </x:si>
  <x:si>
    <x:t>s1_relic_080_desc</x:t>
  </x:si>
  <x:si>
    <x:t>s1_relic_081</x:t>
  </x:si>
  <x:si>
    <x:t>s1_relic_081_name</x:t>
  </x:si>
  <x:si>
    <x:t>s1_relic_081_desc</x:t>
  </x:si>
  <x:si>
    <x:t>s1_relic_082</x:t>
  </x:si>
  <x:si>
    <x:t>s1_relic_082_name</x:t>
  </x:si>
  <x:si>
    <x:t>s1_relic_082_desc</x:t>
  </x:si>
  <x:si>
    <x:t>s1_relic_083</x:t>
  </x:si>
  <x:si>
    <x:t>s1_relic_083_name</x:t>
  </x:si>
  <x:si>
    <x:t>s1_relic_083_desc</x:t>
  </x:si>
  <x:si>
    <x:t>s1_relic_084</x:t>
  </x:si>
  <x:si>
    <x:t>s1_relic_084_name</x:t>
  </x:si>
  <x:si>
    <x:t>s1_relic_084_desc</x:t>
  </x:si>
  <x:si>
    <x:t>s1_relic_085</x:t>
  </x:si>
  <x:si>
    <x:t>s1_relic_085_name</x:t>
  </x:si>
  <x:si>
    <x:t>s1_relic_085_desc</x:t>
  </x:si>
  <x:si>
    <x:t>s1_relic_086</x:t>
  </x:si>
  <x:si>
    <x:t>s1_relic_086_name</x:t>
  </x:si>
  <x:si>
    <x:t>s1_relic_086_desc</x:t>
  </x:si>
  <x:si>
    <x:t>s1_relic_087</x:t>
  </x:si>
  <x:si>
    <x:t>s1_relic_087_name</x:t>
  </x:si>
  <x:si>
    <x:t>s1_relic_087_desc</x:t>
  </x:si>
  <x:si>
    <x:t>s1_relic_088</x:t>
  </x:si>
  <x:si>
    <x:t>s1_relic_088_name</x:t>
  </x:si>
  <x:si>
    <x:t>s1_relic_088_desc</x:t>
  </x:si>
  <x:si>
    <x:t>s1_relic_089</x:t>
  </x:si>
  <x:si>
    <x:t>s1_relic_089_name</x:t>
  </x:si>
  <x:si>
    <x:t>s1_relic_089_desc</x:t>
  </x:si>
  <x:si>
    <x:t>s1_relic_090</x:t>
  </x:si>
  <x:si>
    <x:t>s1_relic_090_name</x:t>
  </x:si>
  <x:si>
    <x:t>s1_relic_090_desc</x:t>
  </x:si>
  <x:si>
    <x:t>s1_relic_091</x:t>
  </x:si>
  <x:si>
    <x:t>s1_relic_091_name</x:t>
  </x:si>
  <x:si>
    <x:t>s1_relic_091_desc</x:t>
  </x:si>
  <x:si>
    <x:t>s1_relic_092</x:t>
  </x:si>
  <x:si>
    <x:t>s1_relic_092_name</x:t>
  </x:si>
  <x:si>
    <x:t>s1_relic_092_desc</x:t>
  </x:si>
  <x:si>
    <x:t>s1_relic_093</x:t>
  </x:si>
  <x:si>
    <x:t>s1_relic_093_name</x:t>
  </x:si>
  <x:si>
    <x:t>s1_relic_093_desc</x:t>
  </x:si>
  <x:si>
    <x:t>s1_relic_094</x:t>
  </x:si>
  <x:si>
    <x:t>s1_relic_094_name</x:t>
  </x:si>
  <x:si>
    <x:t>s1_relic_094_desc</x:t>
  </x:si>
  <x:si>
    <x:t>s1_relic_095</x:t>
  </x:si>
  <x:si>
    <x:t>s1_relic_095_name</x:t>
  </x:si>
  <x:si>
    <x:t>s1_relic_095_desc</x:t>
  </x:si>
  <x:si>
    <x:t>s1_relic_096</x:t>
  </x:si>
  <x:si>
    <x:t>s1_relic_096_name</x:t>
  </x:si>
  <x:si>
    <x:t>s1_relic_096_desc</x:t>
  </x:si>
  <x:si>
    <x:t>s1_relic_097</x:t>
  </x:si>
  <x:si>
    <x:t>s1_relic_097_name</x:t>
  </x:si>
  <x:si>
    <x:t>s1_relic_097_desc</x:t>
  </x:si>
  <x:si>
    <x:t>s1_relic_098</x:t>
  </x:si>
  <x:si>
    <x:t>s1_relic_098_name</x:t>
  </x:si>
  <x:si>
    <x:t>s1_relic_098_desc</x:t>
  </x:si>
  <x:si>
    <x:t>s1_relic_099</x:t>
  </x:si>
  <x:si>
    <x:t>s1_relic_099_name</x:t>
  </x:si>
  <x:si>
    <x:t>s1_relic_099_desc</x:t>
  </x:si>
  <x:si>
    <x:t>s1_relic_100</x:t>
  </x:si>
  <x:si>
    <x:t>s1_relic_100_name</x:t>
  </x:si>
  <x:si>
    <x:t>s1_relic_100_desc</x:t>
  </x:si>
  <x:si>
    <x:t>테두리 파일명</x:t>
  </x:si>
  <x:si>
    <x:t>몬스터 id</x:t>
  </x:si>
  <x:si>
    <x:t>몬스터 이름</x:t>
  </x:si>
  <x:si>
    <x:t>몬스터 설명</x:t>
  </x:si>
  <x:si>
    <x:t>border_type</x:t>
  </x:si>
  <x:si>
    <x:t>monster_id</x:t>
  </x:si>
  <x:si>
    <x:t>normal</x:t>
  </x:si>
  <x:si>
    <x:t>c2003_d_c_mpao005</x:t>
  </x:si>
  <x:si>
    <x:t>균열 보초병</x:t>
  </x:si>
  <x:si>
    <x:t>차원 균열 주변을 순찰하는 하급 개체.</x:t>
  </x:si>
  <x:si>
    <x:t>c2003_d_c_mpao006</x:t>
  </x:si>
  <x:si>
    <x:t>마력 오염체</x:t>
  </x:si>
  <x:si>
    <x:t>잔류 마력에 침식되어 공격성이 높아진 개체.</x:t>
  </x:si>
  <x:si>
    <x:t>c2003_d_c_mpao007</x:t>
  </x:si>
  <x:si>
    <x:t>버려진 정찰기</x:t>
  </x:si>
  <x:si>
    <x:t>낡은 정찰 장비가 폭주한 형태.</x:t>
  </x:si>
  <x:si>
    <x:t>c2003_d_c_mpao008</x:t>
  </x:si>
  <x:si>
    <x:t>공명 파편수</x:t>
  </x:si>
  <x:si>
    <x:t>차원핵 파편을 품은 소형 몬스터.</x:t>
  </x:si>
  <x:si>
    <x:t>elite</x:t>
  </x:si>
  <x:si>
    <x:t>c2003_d_c_mpao009</x:t>
  </x:si>
  <x:si>
    <x:t>균열 집행자</x:t>
  </x:si>
  <x:si>
    <x:t>침입자를 배제하도록 재구성된 정예 개체.</x:t>
  </x:si>
  <x:si>
    <x:t>c2003_d_c_mpao010</x:t>
  </x:si>
  <x:si>
    <x:t>차원 방랑자</x:t>
  </x:si>
  <x:si>
    <x:t>여러 차원을 떠돌며 전투 기록을 흡수한 존재.</x:t>
  </x:si>
  <x:si>
    <x:t>c2003_d_c_mpao011</x:t>
  </x:si>
  <x:si>
    <x:t>심연 감시자</x:t>
  </x:si>
  <x:si>
    <x:t>심층 구역의 진입자를 감시하는 강력한 개체.</x:t>
  </x:si>
  <x:si>
    <x:t>c2003_d_c_mpao012</x:t>
  </x:si>
  <x:si>
    <x:t>공명 수호자</x:t>
  </x:si>
  <x:si>
    <x:t>차원핵 공명에 반응해 강화되는 정예 수호자.</x:t>
  </x:si>
  <x:si>
    <x:t>boss</x:t>
  </x:si>
  <x:si>
    <x:t>c2003_d_c_mpao013</x:t>
  </x:si>
  <x:si>
    <x:t>허상의 군주</x:t>
  </x:si>
  <x:si>
    <x:t>나이트메어 테마의 최종 구역을 지키는 보스.</x:t>
  </x:si>
  <x:si>
    <x:t>달성 퍼센트</x:t>
  </x:si>
  <x:si>
    <x:t>reward_rate</x:t>
  </x:si>
  <x:si>
    <x:t>ma_border175</x:t>
  </x:si>
  <x:si>
    <x:r>
      <x:rPr>
        <x:vertAlign val="baseline"/>
        <x:sz val="11"/>
        <x:color theme="1"/>
        <x:rFont val="맑은 고딕"/>
        <x:family val="3"/>
        <x:charset val="129"/>
      </x:rPr>
      <x:t>id 생성용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</x:si>
  <x:si>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미션 타이틀</x:t>
    </x:r>
    <x:phoneticPr fontId="0" type="noConversion"/>
  </x:si>
  <x:si>
    <x:t>조건 타입</x:t>
  </x:si>
  <x:si>
    <x:t>값</x:t>
  </x:si>
  <x:si>
    <x:r>
      <x:rPr>
        <x:vertAlign val="baseline"/>
        <x:sz val="11"/>
        <x:color theme="1"/>
        <x:rFont val="맑은 고딕"/>
        <x:family val="3"/>
        <x:charset val="129"/>
      </x:rPr>
      <x:t>미션 텍스트</x:t>
    </x:r>
    <x:phoneticPr fontId="0" type="noConversion"/>
  </x:si>
  <x:si>
    <x:t>아이템 타입</x:t>
  </x:si>
  <x:si>
    <x:t>완료 보상</x:t>
  </x:si>
  <x:si>
    <x:t>보상 값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</x:si>
  <x:si>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mission_title</x:t>
    </x:r>
    <x:phoneticPr fontId="0" type="noConversion"/>
  </x:si>
  <x:si>
    <x:t>condition</x:t>
  </x:si>
  <x:si>
    <x:t>value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</x:si>
  <x:si>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mission_text</x:t>
    </x:r>
    <x:phoneticPr fontId="0" type="noConversion"/>
  </x:si>
  <x:si>
    <x:t>item_type_1</x:t>
  </x:si>
  <x:si>
    <x:t>item_type_2</x:t>
  </x:si>
  <x:si>
    <x:t>reward_value_2</x:t>
  </x:si>
  <x:si>
    <x:t>normal_mission_title</x:t>
  </x:si>
  <x:si>
    <x:r>
      <x:rPr>
        <x:vertAlign val="baseline"/>
        <x:sz val="11"/>
        <x:color theme="1"/>
        <x:rFont val="맑은 고딕"/>
        <x:family val="3"/>
        <x:charset val="129"/>
      </x:rPr>
      <x:t>clear_battle_level</x:t>
    </x:r>
    <x:phoneticPr fontId="0" type="noConversion"/>
  </x:si>
  <x:si>
    <x:t>level=1,count=1</x:t>
  </x:si>
  <x:si>
    <x:r>
      <x:rPr>
        <x:vertAlign val="baseline"/>
        <x:sz val="11"/>
        <x:color theme="1"/>
        <x:rFont val="맑은 고딕"/>
        <x:family val="3"/>
        <x:charset val="129"/>
      </x:rPr>
      <x:t>clear_with_hero</x:t>
    </x:r>
    <x:phoneticPr fontId="0" type="noConversion"/>
  </x:si>
  <x:si>
    <x:t>hero=c5001,count=3</x:t>
  </x:si>
  <x:si>
    <x:t>clear_event</x:t>
  </x:si>
  <x:si>
    <x:t>event_id=s1_evt_001,count=3</x:t>
  </x:si>
  <x:si>
    <x:t>recruit_hero</x:t>
  </x:si>
  <x:si>
    <x:t>hero=c5001,count=5</x:t>
  </x:si>
  <x:si>
    <x:r>
      <x:rPr>
        <x:vertAlign val="baseline"/>
        <x:sz val="11"/>
        <x:color theme="1"/>
        <x:rFont val="맑은 고딕"/>
        <x:family val="3"/>
        <x:charset val="129"/>
      </x:rPr>
      <x:t>collect_relic</x:t>
    </x:r>
    <x:phoneticPr fontId="0" type="noConversion"/>
  </x:si>
  <x:si>
    <x:t>relic_id=s1_relic_095,count=1</x:t>
  </x:si>
  <x:si>
    <x:t>해당 미션 종료 기간</x:t>
  </x:si>
  <x:si>
    <x:r>
      <x:rPr>
        <x:vertAlign val="baseline"/>
        <x:sz val="11"/>
        <x:color theme="1"/>
        <x:rFont val="맑은 고딕"/>
        <x:family val="3"/>
        <x:charset val="129"/>
      </x:rPr>
      <x:t>해당 미션 시작</x:t>
    </x:r>
    <x:phoneticPr fontId="0" type="noConversion"/>
  </x:si>
  <x:si>
    <x:t>해당 미션 시작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</x:si>
  <x:si>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*grade_rate_2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</x:si>
  <x:si>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*id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</x:si>
  <x:si>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*export_id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</x:si>
  <x:si>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*theme_id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</x:si>
  <x:si>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*mission_title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</x:si>
  <x:si>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*start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</x:si>
  <x:si>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*end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</x:si>
  <x:si>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*start_zl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</x:si>
  <x:si>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*end_zl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</x:si>
  <x:si>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*condition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</x:si>
  <x:si>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*value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</x:si>
  <x:si>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*mission_text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</x:si>
  <x:si>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*item_type_1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</x:si>
  <x:si>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*reward_id_1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</x:si>
  <x:si>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*reward_value_1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</x:si>
  <x:si>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*item_type_2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</x:si>
  <x:si>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*reward_id_2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</x:si>
  <x:si>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</x:rPr>
      <x:t>*reward_value_2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</x:si>
  <x:si>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special_mission_title</x:t>
    </x:r>
    <x:phoneticPr fontId="0" type="noConversion"/>
  </x:si>
  <x:si>
    <x:t>level=1,count=3</x:t>
  </x:si>
  <x:si>
    <x:t>hero=c2184,count=5</x:t>
  </x:si>
  <x:si>
    <x:t>event_id=s1_evt_002,count=3</x:t>
  </x:si>
  <x:si>
    <x:t>hero=c2184,count=10</x:t>
  </x:si>
  <x:si>
    <x:t>relic_id=s1_relic_100,count=20</x:t>
  </x:si>
  <x:si>
    <x:t>level=3,count=10</x:t>
  </x:si>
  <x:si>
    <x:t>투자량</x:t>
  </x:si>
  <x:si>
    <x:r>
      <x:rPr>
        <x:vertAlign val="baseline"/>
        <x:sz val="11"/>
        <x:color theme="1"/>
        <x:rFont val="맑은 고딕"/>
        <x:family val="3"/>
        <x:charset val="129"/>
      </x:rPr>
      <x:t>투자 효과 텍스트</x:t>
    </x:r>
    <x:phoneticPr fontId="0" type="noConversion"/>
  </x:si>
  <x:si>
    <x:t>활성화 효과</x:t>
  </x:si>
  <x:si>
    <x:t>invest_cnt</x:t>
  </x:si>
  <x:si>
    <x:r>
      <x:rPr>
        <x:b/>
        <x:vertAlign val="baseline"/>
        <x:sz val="11"/>
        <x:color theme="1"/>
        <x:rFont val="맑은 고딕"/>
        <x:family val="3"/>
        <x:charset val="129"/>
      </x:rPr>
      <x:t>invest_text</x:t>
    </x:r>
    <x:phoneticPr fontId="0" type="noConversion"/>
  </x:si>
  <x:si>
    <x:t>s1_investment_1</x:t>
  </x:si>
  <x:si>
    <x:t>s1_investment_2</x:t>
  </x:si>
  <x:si>
    <x:t>s1_investment_3</x:t>
  </x:si>
  <x:si>
    <x:t>s1_investment_4</x:t>
  </x:si>
  <x:si>
    <x:t>s1_investment_5</x:t>
  </x:si>
  <x:si>
    <x:t>nexus_out_system — 시트 레퍼런스</x:t>
  </x:si>
  <x:si>
    <x:t>▸  nexus_theme_level</x:t>
  </x:si>
  <x:si>
    <x:t>테마 패스 레벨별 필요 EXP 및 보상. dic_collect_story로 도감 스토리 해금.</x:t>
  </x:si>
  <x:si>
    <x:t>필드명</x:t>
  </x:si>
  <x:si>
    <x:t>설명</x:t>
  </x:si>
  <x:si>
    <x:t>패스 레벨 고유 ID (예: s1_pass_1)</x:t>
  </x:si>
  <x:si>
    <x:t>-</x:t>
  </x:si>
  <x:si>
    <x:t>→ nexus_main.theme_id (FK)</x:t>
  </x:si>
  <x:si>
    <x:t>패스 레벨 (1~99)</x:t>
  </x:si>
  <x:si>
    <x:t>해당 레벨 도달에 필요한 EXP 수치</x:t>
  </x:si>
  <x:si>
    <x:t>보상 아이템 ID (예: to_gold)</x:t>
  </x:si>
  <x:si>
    <x:t>보상 수량</x:t>
  </x:si>
  <x:si>
    <x:t>해금될 도감 스토리 ID</x:t>
  </x:si>
  <x:si>
    <x:t>y 입력 시 메인 리워드로 표시</x:t>
  </x:si>
  <x:si>
    <x:t>장비 보상 등급 설정</x:t>
  </x:si>
  <x:si>
    <x:t>장비 세트 설정</x:t>
  </x:si>
  <x:si>
    <x:t>장비 강화 LV (현재 15만 사용 가능)</x:t>
  </x:si>
  <x:si>
    <x:t>▸  nexus_hall_level</x:t>
  </x:si>
  <x:si>
    <x:t>홀(함교) 레벨별 필요 재화 및 보상 정의. 최대 10레벨. reward_type: node/item/story 지원.</x:t>
  </x:si>
  <x:si>
    <x:t>reward_1_type_1</x:t>
  </x:si>
  <x:si>
    <x:t>reward_1_type_2</x:t>
  </x:si>
  <x:si>
    <x:t>reward_1_cnt</x:t>
  </x:si>
  <x:si>
    <x:t>레벨 고유 ID (예: s1_level_1)</x:t>
  </x:si>
  <x:si>
    <x:t>permission</x:t>
  </x:si>
  <x:si>
    <x:t>N</x:t>
  </x:si>
  <x:si>
    <x:t>item_id</x:t>
  </x:si>
  <x:si>
    <x:t>cnt</x:t>
  </x:si>
  <x:si>
    <x:t>story</x:t>
  </x:si>
  <x:si>
    <x:t>홀 레벨 (1~10)</x:t>
  </x:si>
  <x:si>
    <x:t>레벨 별 메인 배경</x:t>
  </x:si>
  <x:si>
    <x:t>해당 레벨의 홀 이미지 파일명</x:t>
  </x:si>
  <x:si>
    <x:t>레벨 업 필요 아이템 ID (예: to_gold)</x:t>
  </x:si>
  <x:si>
    <x:t>레벨 업 필요 아이템 수량</x:t>
  </x:si>
  <x:si>
    <x:t>보상 타입 1 (node / item / story)</x:t>
  </x:si>
  <x:si>
    <x:t>보상 ID 1 (예: permission, to_gold, story_id)</x:t>
  </x:si>
  <x:si>
    <x:t>보상 수량 1</x:t>
  </x:si>
  <x:si>
    <x:t>장비 강화 LV</x:t>
  </x:si>
  <x:si>
    <x:t>보상 타입 2</x:t>
  </x:si>
  <x:si>
    <x:t>보상 ID 2</x:t>
  </x:si>
  <x:si>
    <x:t>보상 수량 2</x:t>
  </x:si>
  <x:si>
    <x:t>▸  nexus_node</x:t>
  </x:si>
  <x:si>
    <x:t>연구 노드 트리 구조. column/row 좌표계로 위치 정의. active_item으로 활성화 비용 지정. condition_node로 선행 노드 최대 5개 지정. category는 nexus_node_category.category(FK).</x:t>
  </x:si>
  <x:si>
    <x:t>노드 고유 ID (예: s1_node_normal_1_3 = theme_카테고리_컬럼_행)</x:t>
  </x:si>
  <x:si>
    <x:t>→ nexus_node_category.category (FK, 예: s1_normal)</x:t>
  </x:si>
  <x:si>
    <x:t>카테고리 표시 이름 TID (nexus_node_category.node_name 참조용)</x:t>
  </x:si>
  <x:si>
    <x:t>node_permission</x:t>
  </x:si>
  <x:si>
    <x:t>해금에 필요한 홀 레벨 permission 등급</x:t>
  </x:si>
  <x:si>
    <x:t>노드 활성화에 필요한 아이템 ID (예: to_gold)</x:t>
  </x:si>
  <x:si>
    <x:t>노드 활성화에 필요한 아이템 수량</x:t>
  </x:si>
  <x:si>
    <x:t>노드 활성화 가능 횟수 (미입력 시 1회)</x:t>
  </x:si>
  <x:si>
    <x:t>노드 X 좌표 (트리 깊이)</x:t>
  </x:si>
  <x:si>
    <x:t>노드 Y 좌표 (같은 깊이 내 위치)</x:t>
  </x:si>
  <x:si>
    <x:t>condition_node_1</x:t>
  </x:si>
  <x:si>
    <x:t>condition_node_2</x:t>
  </x:si>
  <x:si>
    <x:t>condition_node_3</x:t>
  </x:si>
  <x:si>
    <x:t>nexus_effect 테이블의 효과 ID</x:t>
  </x:si>
  <x:si>
    <x:t>▸  nexus_node_category</x:t>
  </x:si>
  <x:si>
    <x:t>노드 카테고리 정의. category(PK)는 "{theme_id}_{category_type}" 형태의 복합키. nexus_node.category가 FK로 참조.</x:t>
  </x:si>
  <x:si>
    <x:t>노드 카테고리 고유 ID (예: s1_normal) — theme_id + 카테고리 타입 조합</x:t>
  </x:si>
  <x:si>
    <x:t>카테고리 표시 이름 TID</x:t>
  </x:si>
  <x:si>
    <x:t>▸  nexus_dic_story</x:t>
  </x:si>
  <x:si>
    <x:t>도감 — 스토리 수집 항목. 탐사 진행 중 서브스토리를 해금해 도감에 기록.</x:t>
  </x:si>
  <x:si>
    <x:t>항목 고유 ID (예: s1_dic_story_1)</x:t>
  </x:si>
  <x:si>
    <x:t>도감 내 표시 순서</x:t>
  </x:si>
  <x:si>
    <x:t>서브스토리 DB ID</x:t>
  </x:si>
  <x:si>
    <x:t>▸  nexus_dic_event</x:t>
  </x:si>
  <x:si>
    <x:t>도감 — 이벤트(사건) 수집 항목. event_1 / event_2 카테고리로 구분.</x:t>
  </x:si>
  <x:si>
    <x:t>항목 고유 ID (예: s1_dic_event_1_1)</x:t>
  </x:si>
  <x:si>
    <x:t>이벤트 분류 (event_1 / event_2)</x:t>
  </x:si>
  <x:si>
    <x:t>이벤트 제목 TID</x:t>
  </x:si>
  <x:si>
    <x:t>이벤트 설명 TID</x:t>
  </x:si>
  <x:si>
    <x:t>▸  nexus_dic_relic</x:t>
  </x:si>
  <x:si>
    <x:t>도감 — 유물(기물) 수집 항목. 탐사 중 획득한 유물을 기록.</x:t>
  </x:si>
  <x:si>
    <x:t>항목 고유 ID (예: s1_relic_1)</x:t>
  </x:si>
  <x:si>
    <x:t>유물 타입 (relic 등 추가 가능)</x:t>
  </x:si>
  <x:si>
    <x:t>아이콘 파일명</x:t>
  </x:si>
  <x:si>
    <x:t>▸  nexus_dic_monster</x:t>
  </x:si>
  <x:si>
    <x:t>도감 — 몬스터 수집 항목. normal / elite / boss 3종 카테고리.</x:t>
  </x:si>
  <x:si>
    <x:t>항목 고유 ID (예: s1_dic_monster_1)</x:t>
  </x:si>
  <x:si>
    <x:t>몬스터 등급 (normal / elite / boss)</x:t>
  </x:si>
  <x:si>
    <x:t>몬스터 DB ID</x:t>
  </x:si>
  <x:si>
    <x:t>몬스터 이름 TID — 미입력 시 해당 monster_id 정보 표시</x:t>
  </x:si>
  <x:si>
    <x:t>몬스터 설명 TID — 미입력 시 해당 monster_id 정보 표시</x:t>
  </x:si>
  <x:si>
    <x:t>▸  nexus_dic_reward</x:t>
  </x:si>
  <x:si>
    <x:t>도감 달성률 구간별 보상 정의. reward_rate로 달성률 임계값 지정(0.2~1.0). 보상 슬롯 2개 지원.</x:t>
  </x:si>
  <x:si>
    <x:t>보상 고유 ID (예: s1_reward_20 = 20% 달성 보상)</x:t>
  </x:si>
  <x:si>
    <x:t>달성률 임계값 (0.2 / 0.4 / 0.6 / 0.8 / 1.0)</x:t>
  </x:si>
  <x:si>
    <x:t>보상 타입 1</x:t>
  </x:si>
  <x:si>
    <x:t>보상 아이템 ID 1</x:t>
  </x:si>
  <x:si>
    <x:t>보상 아이템 ID 2</x:t>
  </x:si>
  <x:si>
    <x:r>
      <x:rPr>
        <x:i/>
        <x:vertAlign val="baseline"/>
        <x:sz val="8"/>
        <x:color theme="1"/>
        <x:rFont val="맑은 고딕"/>
        <x:family val="3"/>
        <x:charset val="129"/>
      </x:rPr>
      <x:t>일반 미션 정의 - 개인화된 미션으로 랜덤으로 배정</x:t>
    </x:r>
    <x:phoneticPr fontId="0" type="noConversion"/>
  </x:si>
  <x:si>
    <x:r>
      <x:rPr>
        <x:b/>
        <x:vertAlign val="baseline"/>
        <x:sz val="12"/>
        <x:color rgb="FFFFFFFF"/>
        <x:rFont val="Segoe UI Symbol"/>
        <x:family val="1"/>
        <x:charset val="129"/>
      </x:rPr>
      <x:t>▸</x:t>
    </x:r>
    <x:r>
      <x:rPr>
        <x:b/>
        <x:vertAlign val="baseline"/>
        <x:sz val="12"/>
        <x:color rgb="FFFFFFFF"/>
        <x:rFont val="맑은 고딕"/>
        <x:family val="3"/>
        <x:charset val="129"/>
      </x:rPr>
      <x:t xml:space="preserve">  nexus_</x:t>
    </x:r>
    <x:r>
      <x:rPr>
        <x:b/>
        <x:vertAlign val="baseline"/>
        <x:sz val="12"/>
        <x:color rgb="FFFFFFFF"/>
        <x:rFont val="Calibri"/>
        <x:family val="3"/>
        <x:charset val="129"/>
      </x:rPr>
      <x:t>normal_</x:t>
    </x:r>
    <x:r>
      <x:rPr>
        <x:b/>
        <x:vertAlign val="baseline"/>
        <x:sz val="12"/>
        <x:color rgb="FFFFFFFF"/>
        <x:rFont val="맑은 고딕"/>
        <x:family val="3"/>
        <x:charset val="129"/>
      </x:rPr>
      <x:t>mission</x:t>
    </x:r>
    <x:phoneticPr fontId="0" type="noConversion"/>
  </x:si>
  <x:si>
    <x:r>
      <x:rPr>
        <x:i/>
        <x:vertAlign val="baseline"/>
        <x:sz val="8"/>
        <x:color theme="1"/>
        <x:rFont val="맑은 고딕"/>
        <x:family val="3"/>
        <x:charset val="129"/>
      </x:rPr>
      <x:t>nexus_mission 컨디션 종류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</x:si>
  <x:si>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value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</x:si>
  <x:si>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설명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</x:si>
  <x:si>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text_id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</x:si>
  <x:si>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텍스트</x:t>
    </x:r>
    <x:phoneticPr fontId="0" type="noConversion"/>
  </x:si>
  <x:si>
    <x:r>
      <x:rPr>
        <x:b/>
        <x:vertAlign val="baseline"/>
        <x:sz val="11"/>
        <x:color theme="0"/>
        <x:rFont val="맑은 고딕"/>
        <x:family val="3"/>
        <x:charset val="129"/>
      </x:rPr>
      <x:t>비고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</x:si>
  <x:si>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고유 ID (예: s1_mission_normal_1)</x:t>
    </x:r>
    <x:phoneticPr fontId="0" type="noConversion"/>
  </x:si>
  <x:si>
    <x:t>level=N,count=N</x:t>
  </x:si>
  <x:si>
    <x:t>hero=hero_id,count=N</x:t>
  </x:si>
  <x:si>
    <x:r>
      <x:rPr>
        <x:vertAlign val="baseline"/>
        <x:sz val="11"/>
        <x:color theme="1"/>
        <x:rFont val="맑은 고딕"/>
        <x:family val="3"/>
        <x:charset val="129"/>
      </x:rPr>
      <x:t>level 이상 cnt회 클리어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</x:si>
  <x:si>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난이도 #level# 이상 #cnt#회 클리어하기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</x:si>
  <x:si>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#hero#를 영입하여 #cnt#회 클리어하기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</x:si>
  <x:si>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hero_id를 cnt회 같이 클리어</x:t>
    </x:r>
    <x:phoneticPr fontId="0" type="noConversion"/>
  </x:si>
  <x:si>
    <x:t>event_id=event_id,count=N</x:t>
  </x:si>
  <x:si>
    <x:r>
      <x:rPr>
        <x:vertAlign val="baseline"/>
        <x:sz val="11"/>
        <x:color theme="1"/>
        <x:rFont val="맑은 고딕"/>
        <x:family val="3"/>
        <x:charset val="129"/>
      </x:rPr>
      <x:t>event_id를 cnt회 클리어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</x:si>
  <x:si>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#event#를 #cnt#회 클리어하기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</x:si>
  <x:si>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event의 이름 텍스트 가져옴</x:t>
    </x:r>
    <x:phoneticPr fontId="0" type="noConversion"/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</x:si>
  <x:si>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mission_title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</x:si>
  <x:si>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타이틀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</x:si>
  <x:si>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</x:rPr>
      <x:t>hero_id를 cnt회 영입</x:t>
    </x:r>
    <x:phoneticPr fontId="0" type="noConversion"/>
  </x:si>
  <x:si>
    <x:t>#hero#를 #cnt#회 영입하기</x:t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</x:si>
  <x:si>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condition</x:t>
    </x:r>
    <x:phoneticPr fontId="0" type="noConversion"/>
  </x:si>
  <x:si>
    <x:t>달성 조건 타입</x:t>
  </x:si>
  <x:si>
    <x:t>relic_id=relic_id,count=N</x:t>
  </x:si>
  <x:si>
    <x:r>
      <x:rPr>
        <x:vertAlign val="baseline"/>
        <x:sz val="11"/>
        <x:color theme="1"/>
        <x:rFont val="맑은 고딕"/>
        <x:family val="3"/>
        <x:charset val="129"/>
      </x:rPr>
      <x:t>relic_id를 cnt회 획득</x:t>
    </x:r>
    <x:phoneticPr fontId="0" type="noConversion"/>
  </x:si>
  <x:si>
    <x:t>#relic#를 #cnt#회 획득하기</x:t>
  </x:si>
  <x:si>
    <x:t>달성 조건 값</x:t>
  </x:si>
  <x:si>
    <x:r>
      <x:rPr>
        <x:b/>
        <x:vertAlign val="baseline"/>
        <x:sz val="10"/>
        <x:color rgb="FF222222"/>
        <x:rFont val="맑은 고딕"/>
        <x:family val="3"/>
        <x:charset val="129"/>
      </x:rPr>
      <x:t>mission_text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</x:si>
  <x:si>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텍스트 tid</x:t>
    </x:r>
    <x:phoneticPr fontId="0" type="noConversion"/>
  </x:si>
  <x:si>
    <x:t>아이템 타입 1</x:t>
  </x:si>
  <x:si>
    <x:t>아이템 타입 2</x:t>
  </x:si>
  <x:si>
    <x:r>
      <x:rPr>
        <x:i/>
        <x:vertAlign val="baseline"/>
        <x:sz val="8"/>
        <x:color theme="1"/>
        <x:rFont val="맑은 고딕"/>
        <x:family val="3"/>
        <x:charset val="129"/>
      </x:rPr>
      <x:t>스케줄링 되는 미션으로 해당 미션 설정 시 norma_mission을 override 함</x:t>
    </x:r>
    <x:phoneticPr fontId="0" type="noConversion"/>
  </x:si>
  <x:si>
    <x:r>
      <x:rPr>
        <x:b/>
        <x:vertAlign val="baseline"/>
        <x:sz val="12"/>
        <x:color rgb="FFFFFFFF"/>
        <x:rFont val="Segoe UI Symbol"/>
        <x:family val="1"/>
        <x:charset val="129"/>
      </x:rPr>
      <x:t>▸</x:t>
    </x:r>
    <x:r>
      <x:rPr>
        <x:b/>
        <x:vertAlign val="baseline"/>
        <x:sz val="12"/>
        <x:color rgb="FFFFFFFF"/>
        <x:rFont val="맑은 고딕"/>
        <x:family val="3"/>
        <x:charset val="129"/>
      </x:rPr>
      <x:t xml:space="preserve">  nexus_</x:t>
    </x:r>
    <x:r>
      <x:rPr>
        <x:b/>
        <x:vertAlign val="baseline"/>
        <x:sz val="12"/>
        <x:color rgb="FFFFFFFF"/>
        <x:rFont val="Calibri"/>
        <x:family val="3"/>
        <x:charset val="129"/>
      </x:rPr>
      <x:t>special_</x:t>
    </x:r>
    <x:r>
      <x:rPr>
        <x:b/>
        <x:vertAlign val="baseline"/>
        <x:sz val="12"/>
        <x:color rgb="FFFFFFFF"/>
        <x:rFont val="맑은 고딕"/>
        <x:family val="3"/>
        <x:charset val="129"/>
      </x:rPr>
      <x:t>mission</x:t>
    </x:r>
    <x:phoneticPr fontId="0" type="noConversion"/>
  </x:si>
  <x:si>
    <x:r>
      <x:rPr>
        <x:vertAlign val="baseline"/>
        <x:sz val="10"/>
        <x:color rgb="FF444444"/>
        <x:rFont val="맑은 고딕"/>
        <x:family val="3"/>
        <x:charset val="129"/>
      </x:rPr>
      <x:t>미션 고유 ID (예: s1_mission_season_1)</x:t>
    </x:r>
    <x:phoneticPr fontId="0" type="noConversion"/>
  </x:si>
  <x:si>
    <x:t>end</x:t>
  </x:si>
  <x:si>
    <x:t>start</x:t>
  </x:si>
  <x:si>
    <x:t>start_zl</x:t>
  </x:si>
  <x:si>
    <x:t>end_zl</x:t>
  </x:si>
  <x:si>
    <x:t>클라이언트/서버 공통 static 설정값. theme_id='common'은 전체 테마 공통 적용, 특정 테마값은 해당 테마에만 적용.</x:t>
  </x:si>
  <x:si>
    <x:t>▸  nexus_config</x:t>
  </x:si>
  <x:si>
    <x:t>설정 고유 번호 (PK)</x:t>
  </x:si>
  <x:si>
    <x:t>테마 ID (common=전체 테마 공통 / 특정 테마=해당 테마 전용)</x:t>
  </x:si>
  <x:si>
    <x:t>type</x:t>
  </x:si>
  <x:si>
    <x:t>설정 타입 (예: dic)</x:t>
  </x:si>
  <x:si>
    <x:t>key</x:t>
  </x:si>
  <x:si>
    <x:t>설정 키 코드</x:t>
  </x:si>
  <x:si>
    <x:t>client_value</x:t>
  </x:si>
  <x:si>
    <x:t>클라이언트 적용값</x:t>
  </x:si>
  <x:si>
    <x:t>*server_value</x:t>
  </x:si>
  <x:si>
    <x:t>서버 적용값</x:t>
  </x:si>
  <x:si>
    <x:t>▸  nexus_investment</x:t>
  </x:si>
  <x:si>
    <x:t>차원 탐사 미래 투자 관련 테이블.</x:t>
  </x:si>
  <x:si>
    <x:t>invest_text</x:t>
  </x:si>
  <x:si>
    <x:r>
      <x:rPr>
        <x:vertAlign val="baseline"/>
        <x:sz val="10"/>
        <x:color rgb="FF444444"/>
        <x:rFont val="맑은 고딕"/>
        <x:family val="3"/>
        <x:charset val="129"/>
      </x:rPr>
      <x:t>투자 효과 텍스트</x:t>
    </x:r>
    <x:phoneticPr fontId="0" type="noConversion"/>
  </x:si>
  <x:si>
    <x:t>활성화 효과 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</x:si>
</x:sst>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2" x14ac:knownFonts="1">
    <x:font>
      <x:sz val="11"/>
      <x:color theme="1"/>
      <x:name val="맑은 고딕"/>
    </x:font>
    <x:font>
      <x:sz val="11"/>
      <x:color theme="1"/>
      <x:name val="맑은 고딕"/>
      <x:family val="3"/>
      <x:charset val="129"/>
    </x:font>
    <x:font>
      <x:sz val="11"/>
      <x:color theme="1"/>
      <x:name val="맑은 고딕"/>
      <x:family val="3"/>
      <x:charset val="129"/>
    </x:font>
    <x:font>
      <x:b/>
      <x:sz val="11"/>
      <x:color theme="1"/>
      <x:name val="맑은 고딕"/>
      <x:family val="3"/>
      <x:charset val="129"/>
    </x:font>
    <x:font>
      <x:sz val="11"/>
      <x:color theme="1"/>
      <x:name val="Calibri"/>
      <x:family val="2"/>
    </x:font>
    <x:font>
      <x:sz val="11"/>
      <x:color theme="1"/>
      <x:name val="맑은 고딕"/>
      <x:family val="3"/>
      <x:charset val="129"/>
    </x:font>
    <x:font>
      <x:b/>
      <x:sz val="14"/>
      <x:color rgb="FF1A1A2E"/>
      <x:name val="맑은 고딕"/>
      <x:family val="3"/>
      <x:charset val="129"/>
    </x:font>
    <x:font>
      <x:b/>
      <x:sz val="12"/>
      <x:color rgb="FFFFFFFF"/>
      <x:name val="맑은 고딕"/>
      <x:family val="3"/>
      <x:charset val="129"/>
    </x:font>
    <x:font>
      <x:b/>
      <x:sz val="10"/>
      <x:color rgb="FFFFFFFF"/>
      <x:name val="맑은 고딕"/>
      <x:family val="3"/>
      <x:charset val="129"/>
    </x:font>
    <x:font>
      <x:b/>
      <x:sz val="10"/>
      <x:color rgb="FF222222"/>
      <x:name val="맑은 고딕"/>
      <x:family val="3"/>
      <x:charset val="129"/>
    </x:font>
    <x:font>
      <x:sz val="10"/>
      <x:color rgb="FF444444"/>
      <x:name val="맑은 고딕"/>
      <x:family val="3"/>
      <x:charset val="129"/>
    </x:font>
    <x:font>
      <x:i/>
      <x:sz val="8"/>
      <x:color theme="1"/>
      <x:name val="맑은 고딕"/>
      <x:family val="3"/>
      <x:charset val="129"/>
    </x:font>
    <x:font>
      <x:b/>
      <x:sz val="11"/>
      <x:color theme="0"/>
      <x:name val="맑은 고딕"/>
      <x:family val="3"/>
      <x:charset val="129"/>
    </x:font>
    <x:font>
      <x:sz val="8"/>
      <x:name val="돋움"/>
      <x:family val="3"/>
      <x:charset val="129"/>
    </x:font>
    <x:font>
      <x:b/>
      <x:sz val="12"/>
      <x:color rgb="FFFFFFFF"/>
      <x:name val="맑은 고딕"/>
      <x:family val="1"/>
      <x:charset val="129"/>
    </x:font>
    <x:font>
      <x:b/>
      <x:sz val="12"/>
      <x:color rgb="FFFFFFFF"/>
      <x:name val="Segoe UI Symbol"/>
      <x:family val="1"/>
      <x:charset val="129"/>
    </x:font>
    <x:font>
      <x:b/>
      <x:sz val="12"/>
      <x:color rgb="FFFFFFFF"/>
      <x:name val="Calibri"/>
      <x:family val="3"/>
      <x:charset val="129"/>
    </x:font>
    <x:font>
      <x:vertAlign val="baseline"/>
      <x:sz val="8"/>
      <x:color theme="1"/>
      <x:name val="맑은 고딕"/>
      <x:family val="3"/>
      <x:charset val="129"/>
    </x:font>
    <x:font>
      <x:vertAlign val="baseline"/>
      <x:sz val="12"/>
      <x:color rgb="FFFFFFFF"/>
      <x:name val="맑은 고딕"/>
      <x:family val="1"/>
      <x:charset val="129"/>
    </x:font>
    <x:font>
      <x:vertAlign val="baseline"/>
      <x:sz val="11"/>
      <x:color theme="0"/>
      <x:name val="맑은 고딕"/>
      <x:family val="3"/>
      <x:charset val="129"/>
    </x:font>
    <x:font>
      <x:vertAlign val="baseline"/>
      <x:sz val="10"/>
      <x:color rgb="FF222222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C3E6B"/>
      </x:patternFill>
    </x:fill>
    <x:fill>
      <x:patternFill patternType="solid">
        <x:fgColor rgb="FF4A5568"/>
      </x:patternFill>
    </x:fill>
    <x:fill>
      <x:patternFill patternType="solid">
        <x:fgColor theme="3"/>
      </x:patternFill>
    </x:fill>
    <x:fill>
      <x:patternFill patternType="solid">
        <x:fgColor rgb="FF002060"/>
        <x:bgColor indexed="64"/>
      </x:patternFill>
    </x:fill>
  </x:fills>
  <x:borders count="1">
    <x:border>
      <x:left/>
      <x:right/>
      <x:top/>
      <x:bottom/>
      <x:diagonal/>
    </x:border>
  </x:borders>
  <x:cellStyleXfs count="19">
    <x:xf numFmtId="0" fontId="0" fillId="0" borderId="0"/>
    <x:xf numFmtId="0" fontId="4" fillId="0" borderId="0"/>
    <x:xf numFmtId="9" fontId="5" fillId="0" borderId="0">
      <x:alignment vertical="center"/>
    </x:xf>
    <x:xf numFmtId="0" fontId="2" fillId="0" borderId="0">
      <x:alignment vertical="center"/>
    </x:xf>
    <x:xf numFmtId="0" fontId="2" fillId="0" borderId="0">
      <x:alignment vertical="center"/>
    </x:xf>
    <x:xf numFmtId="9" fontId="2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7" fillId="3" borderId="0" applyNumberFormat="1" applyFill="0" applyBorder="0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2" fillId="5" borderId="0" applyNumberFormat="1" applyFill="0" applyBorder="0" applyAlignment="1" applyProtection="1">
      <x:protection locked="1" hidden="0"/>
    </x:xf>
    <x:xf numFmtId="0" fontId="14" fillId="3" borderId="0" applyNumberFormat="1" applyFill="0" applyBorder="0" applyAlignment="1" applyProtection="1">
      <x:protection locked="1" hidden="0"/>
    </x:xf>
    <x:xf numFmtId="0" fontId="12" fillId="6" borderId="0" applyNumberFormat="1" applyFill="0" applyBorder="0" applyAlignment="1" applyProtection="1">
      <x:protection locked="1" hidden="0"/>
    </x:xf>
  </x:cellStyleXfs>
  <x:cellXfs count="24">
    <x:xf numFmtId="0" fontId="0" fillId="0" borderId="0" xfId="0"/>
    <x:xf numFmtId="0" fontId="3" fillId="0" borderId="0" xfId="0" applyFont="1"/>
    <x:xf numFmtId="9" fontId="0" fillId="0" borderId="0" xfId="2" applyFont="1" applyAlignment="1"/>
    <x:xf numFmtId="0" fontId="8" fillId="4" borderId="0" xfId="0" applyFont="1" applyFill="1" applyAlignment="1">
      <x:alignment horizontal="center" vertical="center"/>
    </x:xf>
    <x:xf numFmtId="0" fontId="9" fillId="0" borderId="0" xfId="0" applyFont="1" applyAlignment="1">
      <x:alignment horizontal="left" vertical="center"/>
    </x:xf>
    <x:xf numFmtId="0" fontId="10" fillId="0" borderId="0" xfId="0" applyFont="1" applyAlignment="1">
      <x:alignment vertical="center" wrapText="1"/>
    </x:xf>
    <x:xf numFmtId="0" fontId="7" fillId="3" borderId="0" xfId="0" applyFont="1" applyFill="1" applyAlignment="1">
      <x:alignment vertical="center"/>
    </x:xf>
    <x:xf numFmtId="0" fontId="8" fillId="4" borderId="0" xfId="0" applyFont="1" applyFill="1" applyAlignment="1">
      <x:alignment vertical="center"/>
    </x:xf>
    <x:xf numFmtId="0" fontId="1" fillId="0" borderId="0" xfId="4" applyFont="1">
      <x:alignment vertical="center"/>
    </x:xf>
    <x:xf numFmtId="0" fontId="11" fillId="0" borderId="0" xfId="0" applyFont="1"/>
    <x:xf numFmtId="0" fontId="1" fillId="0" borderId="0" xfId="4" applyFont="1" applyAlignment="1"/>
    <x:xf numFmtId="14" fontId="0" fillId="0" borderId="0" xfId="0" applyNumberFormat="1"/>
    <x:xf numFmtId="0" fontId="14" fillId="3" borderId="0" xfId="0" applyFont="1" applyFill="1" applyAlignment="1">
      <x:alignment vertical="center"/>
    </x:xf>
    <x:xf numFmtId="0" fontId="12" fillId="6" borderId="0" xfId="0" applyFont="1" applyFill="1"/>
    <x:xf numFmtId="0" fontId="6" fillId="2" borderId="0" xfId="0" applyFont="1" applyFill="1" applyAlignment="1">
      <x:alignment vertical="center"/>
    </x:xf>
    <x:xf numFmtId="0" fontId="12" fillId="5" borderId="0" xfId="0" applyFont="1" applyFill="1"/>
    <x:xf numFmtId="0" fontId="1" fillId="0" borderId="0" xfId="0" applyFont="1"/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백분율" xfId="2" xr:uid="{00000000-0005-0000-0000-000000000000}"/>
    <x:cellStyle name="백분율 2" xfId="5" xr:uid="{00000000-0005-0000-0000-000001000000}"/>
    <x:cellStyle name="표준" xfId="0" builtinId="0"/>
    <x:cellStyle name="표준 2" xfId="3" xr:uid="{00000000-0005-0000-0000-000003000000}"/>
    <x:cellStyle name="표준 3" xfId="4" xr:uid="{00000000-0005-0000-0000-000004000000}"/>
    <x:cellStyle name="표준 5" xfId="1" xr:uid="{00000000-0005-0000-0000-000005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2B375B-4A21-4E65-AA0B-3394DB2FC31E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e0d3b910-28d0-47e3-bf52-9aaa00692ae2&quot;"/>
  </we:properties>
  <we:bindings/>
  <we:snapshot xmlns:r="http://schemas.openxmlformats.org/officeDocument/2006/relationships"/>
</we:webextension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000-000000000000}" mc:Ignorable="x14ac xr xr2 xr3">
  <sheetPr>
    <outlinePr summaryBelow="1" summaryRight="1"/>
  </sheetPr>
  <dimension ref="A1:M103"/>
  <sheetViews>
    <sheetView workbookViewId="0"/>
    <sheetView workbookViewId="1"/>
  </sheetViews>
  <sheetFormatPr defaultRowHeight="17" x14ac:dyDescent="0.45"/>
  <cols>
    <col min="1" max="1" width="14.832031" style="0" customWidth="1"/>
    <col min="2" max="2" width="10.332031" style="0" customWidth="1"/>
    <col min="3" max="3" width="20.582031" style="0" customWidth="1"/>
    <col min="4" max="4" width="9.082031" style="0" customWidth="1"/>
    <col min="5" max="5" width="20.832031" style="0" customWidth="1"/>
    <col min="6" max="6" width="11.832031" style="0" customWidth="1"/>
    <col min="7" max="7" width="14.832031" style="0" customWidth="1"/>
    <col min="8" max="9" width="22.082031" style="0" customWidth="1"/>
    <col min="10" max="10" width="13.5" style="0" customWidth="1"/>
    <col min="11" max="11" width="11.582031" style="0" customWidth="1"/>
    <col min="12" max="12" width="13.75" style="0" customWidth="1"/>
    <col min="13" max="13" width="36" style="0" customWidth="1"/>
  </cols>
  <sheetData>
    <row r="1" spans="1:13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</row>
    <row r="2" spans="1:13" x14ac:dyDescent="0.45">
      <c r="A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 spans="1:13" s="1" customFormat="1" x14ac:dyDescent="0.4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</row>
    <row r="4" spans="1:13" x14ac:dyDescent="0.45">
      <c r="A4" s="0" t="str">
        <f t="shared" ref="A4:A35" si="0">C4&amp;"_pass_"&amp;D4</f>
        <v>s1_pass_1</v>
      </c>
      <c r="B4" s="0" t="s">
        <v>0</v>
      </c>
      <c r="C4" s="0" t="s">
        <v>26</v>
      </c>
      <c r="D4" s="0">
        <v>1</v>
      </c>
      <c r="E4" s="0">
        <v>50</v>
      </c>
      <c r="F4" s="0" t="s">
        <v>27</v>
      </c>
      <c r="G4" s="0">
        <v>50000</v>
      </c>
      <c r="H4" s="0" t="s">
        <v>28</v>
      </c>
    </row>
    <row r="5" spans="1:13" x14ac:dyDescent="0.45">
      <c r="A5" s="0" t="str">
        <f t="shared" si="0"/>
        <v>s1_pass_2</v>
      </c>
      <c r="B5" s="0" t="s">
        <v>0</v>
      </c>
      <c r="C5" s="0" t="s">
        <v>26</v>
      </c>
      <c r="D5" s="0">
        <v>2</v>
      </c>
      <c r="E5" s="0">
        <f t="shared" ref="E5:E36" si="1">E4+ROUNDUP($E$4*D4,-1)</f>
        <v>100</v>
      </c>
      <c r="F5" s="0" t="s">
        <v>29</v>
      </c>
      <c r="G5" s="0">
        <v>150</v>
      </c>
    </row>
    <row r="6" spans="1:13" x14ac:dyDescent="0.45">
      <c r="A6" s="0" t="str">
        <f t="shared" si="0"/>
        <v>s1_pass_3</v>
      </c>
      <c r="B6" s="0" t="s">
        <v>0</v>
      </c>
      <c r="C6" s="0" t="s">
        <v>26</v>
      </c>
      <c r="D6" s="0">
        <v>3</v>
      </c>
      <c r="E6" s="0">
        <f t="shared" si="1"/>
        <v>200</v>
      </c>
      <c r="F6" s="0" t="s">
        <v>30</v>
      </c>
      <c r="G6" s="0">
        <v>5</v>
      </c>
      <c r="H6" s="0" t="s">
        <v>31</v>
      </c>
    </row>
    <row r="7" spans="1:13" x14ac:dyDescent="0.45">
      <c r="A7" s="0" t="str">
        <f t="shared" si="0"/>
        <v>s1_pass_4</v>
      </c>
      <c r="B7" s="0" t="s">
        <v>0</v>
      </c>
      <c r="C7" s="0" t="s">
        <v>26</v>
      </c>
      <c r="D7" s="0">
        <v>4</v>
      </c>
      <c r="E7" s="0">
        <f t="shared" si="1"/>
        <v>350</v>
      </c>
      <c r="F7" s="0" t="s">
        <v>27</v>
      </c>
      <c r="G7" s="0">
        <v>75000</v>
      </c>
    </row>
    <row r="8" spans="1:13" x14ac:dyDescent="0.45">
      <c r="A8" s="0" t="str">
        <f t="shared" si="0"/>
        <v>s1_pass_5</v>
      </c>
      <c r="B8" s="0" t="s">
        <v>0</v>
      </c>
      <c r="C8" s="0" t="s">
        <v>26</v>
      </c>
      <c r="D8" s="0">
        <v>5</v>
      </c>
      <c r="E8" s="0">
        <f t="shared" si="1"/>
        <v>550</v>
      </c>
      <c r="F8" s="0" t="s">
        <v>32</v>
      </c>
      <c r="G8" s="0">
        <v>30</v>
      </c>
      <c r="H8" s="0" t="s">
        <v>33</v>
      </c>
    </row>
    <row r="9" spans="1:13" x14ac:dyDescent="0.45">
      <c r="A9" s="0" t="str">
        <f t="shared" si="0"/>
        <v>s1_pass_6</v>
      </c>
      <c r="B9" s="0" t="s">
        <v>0</v>
      </c>
      <c r="C9" s="0" t="s">
        <v>26</v>
      </c>
      <c r="D9" s="0">
        <v>6</v>
      </c>
      <c r="E9" s="0">
        <f t="shared" si="1"/>
        <v>800</v>
      </c>
      <c r="F9" s="0" t="s">
        <v>34</v>
      </c>
      <c r="G9" s="0">
        <v>15</v>
      </c>
    </row>
    <row r="10" spans="1:13" x14ac:dyDescent="0.45">
      <c r="A10" s="0" t="str">
        <f t="shared" si="0"/>
        <v>s1_pass_7</v>
      </c>
      <c r="B10" s="0" t="s">
        <v>0</v>
      </c>
      <c r="C10" s="0" t="s">
        <v>26</v>
      </c>
      <c r="D10" s="0">
        <v>7</v>
      </c>
      <c r="E10" s="0">
        <f t="shared" si="1"/>
        <v>1100</v>
      </c>
      <c r="F10" s="0" t="s">
        <v>35</v>
      </c>
      <c r="G10" s="0">
        <v>3</v>
      </c>
      <c r="H10" s="0" t="s">
        <v>36</v>
      </c>
    </row>
    <row r="11" spans="1:13" x14ac:dyDescent="0.45">
      <c r="A11" s="0" t="str">
        <f t="shared" si="0"/>
        <v>s1_pass_8</v>
      </c>
      <c r="B11" s="0" t="s">
        <v>0</v>
      </c>
      <c r="C11" s="0" t="s">
        <v>26</v>
      </c>
      <c r="D11" s="0">
        <v>8</v>
      </c>
      <c r="E11" s="0">
        <f t="shared" si="1"/>
        <v>1450</v>
      </c>
      <c r="F11" s="0" t="s">
        <v>27</v>
      </c>
      <c r="G11" s="0">
        <v>100000</v>
      </c>
    </row>
    <row r="12" spans="1:13" x14ac:dyDescent="0.45">
      <c r="A12" s="0" t="str">
        <f t="shared" si="0"/>
        <v>s1_pass_9</v>
      </c>
      <c r="B12" s="0" t="s">
        <v>0</v>
      </c>
      <c r="C12" s="0" t="s">
        <v>26</v>
      </c>
      <c r="D12" s="0">
        <v>9</v>
      </c>
      <c r="E12" s="0">
        <f t="shared" si="1"/>
        <v>1850</v>
      </c>
      <c r="F12" s="0" t="s">
        <v>29</v>
      </c>
      <c r="G12" s="0">
        <v>300</v>
      </c>
      <c r="H12" s="0" t="s">
        <v>37</v>
      </c>
    </row>
    <row r="13" spans="1:13" x14ac:dyDescent="0.45">
      <c r="A13" s="0" t="str">
        <f t="shared" si="0"/>
        <v>s1_pass_10</v>
      </c>
      <c r="B13" s="0" t="s">
        <v>0</v>
      </c>
      <c r="C13" s="0" t="s">
        <v>26</v>
      </c>
      <c r="D13" s="0">
        <v>10</v>
      </c>
      <c r="E13" s="0">
        <f t="shared" si="1"/>
        <v>2300</v>
      </c>
      <c r="F13" s="0" t="s">
        <v>32</v>
      </c>
      <c r="G13" s="0">
        <v>100</v>
      </c>
      <c r="I13" s="0" t="s">
        <v>38</v>
      </c>
    </row>
    <row r="14" spans="1:13" x14ac:dyDescent="0.45">
      <c r="A14" s="0" t="str">
        <f t="shared" si="0"/>
        <v>s1_pass_11</v>
      </c>
      <c r="B14" s="0" t="s">
        <v>0</v>
      </c>
      <c r="C14" s="0" t="s">
        <v>26</v>
      </c>
      <c r="D14" s="0">
        <v>11</v>
      </c>
      <c r="E14" s="0">
        <f t="shared" si="1"/>
        <v>2800</v>
      </c>
      <c r="F14" s="0" t="s">
        <v>27</v>
      </c>
      <c r="G14" s="0">
        <v>50000</v>
      </c>
      <c r="H14" s="0" t="s">
        <v>39</v>
      </c>
    </row>
    <row r="15" spans="1:13" x14ac:dyDescent="0.45">
      <c r="A15" s="0" t="str">
        <f t="shared" si="0"/>
        <v>s1_pass_12</v>
      </c>
      <c r="B15" s="0" t="s">
        <v>0</v>
      </c>
      <c r="C15" s="0" t="s">
        <v>26</v>
      </c>
      <c r="D15" s="0">
        <v>12</v>
      </c>
      <c r="E15" s="0">
        <f t="shared" si="1"/>
        <v>3350</v>
      </c>
      <c r="F15" s="0" t="s">
        <v>29</v>
      </c>
      <c r="G15" s="0">
        <v>150</v>
      </c>
    </row>
    <row r="16" spans="1:13" x14ac:dyDescent="0.45">
      <c r="A16" s="0" t="str">
        <f t="shared" si="0"/>
        <v>s1_pass_13</v>
      </c>
      <c r="B16" s="0" t="s">
        <v>0</v>
      </c>
      <c r="C16" s="0" t="s">
        <v>26</v>
      </c>
      <c r="D16" s="0">
        <v>13</v>
      </c>
      <c r="E16" s="0">
        <f t="shared" si="1"/>
        <v>3950</v>
      </c>
      <c r="F16" s="0" t="s">
        <v>30</v>
      </c>
      <c r="G16" s="0">
        <v>5</v>
      </c>
      <c r="H16" s="0" t="s">
        <v>40</v>
      </c>
    </row>
    <row r="17" spans="1:13" x14ac:dyDescent="0.45">
      <c r="A17" s="0" t="str">
        <f t="shared" si="0"/>
        <v>s1_pass_14</v>
      </c>
      <c r="B17" s="0" t="s">
        <v>0</v>
      </c>
      <c r="C17" s="0" t="s">
        <v>26</v>
      </c>
      <c r="D17" s="0">
        <v>14</v>
      </c>
      <c r="E17" s="0">
        <f t="shared" si="1"/>
        <v>4600</v>
      </c>
      <c r="F17" s="0" t="s">
        <v>27</v>
      </c>
      <c r="G17" s="0">
        <v>75000</v>
      </c>
    </row>
    <row r="18" spans="1:13" x14ac:dyDescent="0.45">
      <c r="A18" s="0" t="str">
        <f t="shared" si="0"/>
        <v>s1_pass_15</v>
      </c>
      <c r="B18" s="0" t="s">
        <v>0</v>
      </c>
      <c r="C18" s="0" t="s">
        <v>26</v>
      </c>
      <c r="D18" s="0">
        <v>15</v>
      </c>
      <c r="E18" s="0">
        <f t="shared" si="1"/>
        <v>5300</v>
      </c>
      <c r="F18" s="0" t="s">
        <v>32</v>
      </c>
      <c r="G18" s="0">
        <v>30</v>
      </c>
      <c r="H18" s="0" t="s">
        <v>41</v>
      </c>
    </row>
    <row r="19" spans="1:13" x14ac:dyDescent="0.45">
      <c r="A19" s="0" t="str">
        <f t="shared" si="0"/>
        <v>s1_pass_16</v>
      </c>
      <c r="B19" s="0" t="s">
        <v>0</v>
      </c>
      <c r="C19" s="0" t="s">
        <v>26</v>
      </c>
      <c r="D19" s="0">
        <v>16</v>
      </c>
      <c r="E19" s="0">
        <f t="shared" si="1"/>
        <v>6050</v>
      </c>
      <c r="F19" s="0" t="s">
        <v>34</v>
      </c>
      <c r="G19" s="0">
        <v>15</v>
      </c>
    </row>
    <row r="20" spans="1:13" x14ac:dyDescent="0.45">
      <c r="A20" s="0" t="str">
        <f t="shared" si="0"/>
        <v>s1_pass_17</v>
      </c>
      <c r="B20" s="0" t="s">
        <v>0</v>
      </c>
      <c r="C20" s="0" t="s">
        <v>26</v>
      </c>
      <c r="D20" s="0">
        <v>17</v>
      </c>
      <c r="E20" s="0">
        <f t="shared" si="1"/>
        <v>6850</v>
      </c>
      <c r="F20" s="0" t="s">
        <v>35</v>
      </c>
      <c r="G20" s="0">
        <v>3</v>
      </c>
      <c r="H20" s="0" t="s">
        <v>42</v>
      </c>
    </row>
    <row r="21" spans="1:13" x14ac:dyDescent="0.45">
      <c r="A21" s="0" t="str">
        <f t="shared" si="0"/>
        <v>s1_pass_18</v>
      </c>
      <c r="B21" s="0" t="s">
        <v>0</v>
      </c>
      <c r="C21" s="0" t="s">
        <v>26</v>
      </c>
      <c r="D21" s="0">
        <v>18</v>
      </c>
      <c r="E21" s="0">
        <f t="shared" si="1"/>
        <v>7700</v>
      </c>
      <c r="F21" s="0" t="s">
        <v>27</v>
      </c>
      <c r="G21" s="0">
        <v>100000</v>
      </c>
    </row>
    <row r="22" spans="1:13" x14ac:dyDescent="0.45">
      <c r="A22" s="0" t="str">
        <f t="shared" si="0"/>
        <v>s1_pass_19</v>
      </c>
      <c r="B22" s="0" t="s">
        <v>0</v>
      </c>
      <c r="C22" s="0" t="s">
        <v>26</v>
      </c>
      <c r="D22" s="0">
        <v>19</v>
      </c>
      <c r="E22" s="0">
        <f t="shared" si="1"/>
        <v>8600</v>
      </c>
      <c r="F22" s="0" t="s">
        <v>29</v>
      </c>
      <c r="G22" s="0">
        <v>300</v>
      </c>
      <c r="H22" s="0" t="s">
        <v>43</v>
      </c>
    </row>
    <row r="23" spans="1:13" x14ac:dyDescent="0.45">
      <c r="A23" s="0" t="str">
        <f t="shared" si="0"/>
        <v>s1_pass_20</v>
      </c>
      <c r="B23" s="0" t="s">
        <v>0</v>
      </c>
      <c r="C23" s="0" t="s">
        <v>26</v>
      </c>
      <c r="D23" s="0">
        <v>20</v>
      </c>
      <c r="E23" s="0">
        <f t="shared" si="1"/>
        <v>9550</v>
      </c>
      <c r="F23" s="0" t="s">
        <v>30</v>
      </c>
      <c r="G23" s="0">
        <v>20</v>
      </c>
      <c r="I23" s="0" t="s">
        <v>38</v>
      </c>
    </row>
    <row r="24" spans="1:13" x14ac:dyDescent="0.45">
      <c r="A24" s="0" t="str">
        <f t="shared" si="0"/>
        <v>s1_pass_21</v>
      </c>
      <c r="B24" s="0" t="s">
        <v>0</v>
      </c>
      <c r="C24" s="0" t="s">
        <v>26</v>
      </c>
      <c r="D24" s="0">
        <v>21</v>
      </c>
      <c r="E24" s="0">
        <f t="shared" si="1"/>
        <v>10550</v>
      </c>
      <c r="F24" s="0" t="s">
        <v>27</v>
      </c>
      <c r="G24" s="0">
        <v>50000</v>
      </c>
      <c r="H24" s="0" t="s">
        <v>44</v>
      </c>
    </row>
    <row r="25" spans="1:13" x14ac:dyDescent="0.45">
      <c r="A25" s="0" t="str">
        <f t="shared" si="0"/>
        <v>s1_pass_22</v>
      </c>
      <c r="B25" s="0" t="s">
        <v>0</v>
      </c>
      <c r="C25" s="0" t="s">
        <v>26</v>
      </c>
      <c r="D25" s="0">
        <v>22</v>
      </c>
      <c r="E25" s="0">
        <f t="shared" si="1"/>
        <v>11600</v>
      </c>
      <c r="F25" s="0" t="s">
        <v>29</v>
      </c>
      <c r="G25" s="0">
        <v>150</v>
      </c>
    </row>
    <row r="26" spans="1:13" x14ac:dyDescent="0.45">
      <c r="A26" s="0" t="str">
        <f t="shared" si="0"/>
        <v>s1_pass_23</v>
      </c>
      <c r="B26" s="0" t="s">
        <v>0</v>
      </c>
      <c r="C26" s="0" t="s">
        <v>26</v>
      </c>
      <c r="D26" s="0">
        <v>23</v>
      </c>
      <c r="E26" s="0">
        <f t="shared" si="1"/>
        <v>12700</v>
      </c>
      <c r="F26" s="0" t="s">
        <v>30</v>
      </c>
      <c r="G26" s="0">
        <v>5</v>
      </c>
      <c r="H26" s="0" t="s">
        <v>45</v>
      </c>
    </row>
    <row r="27" spans="1:13" x14ac:dyDescent="0.45">
      <c r="A27" s="0" t="str">
        <f t="shared" si="0"/>
        <v>s1_pass_24</v>
      </c>
      <c r="B27" s="0" t="s">
        <v>0</v>
      </c>
      <c r="C27" s="0" t="s">
        <v>26</v>
      </c>
      <c r="D27" s="0">
        <v>24</v>
      </c>
      <c r="E27" s="0">
        <f t="shared" si="1"/>
        <v>13850</v>
      </c>
      <c r="F27" s="0" t="s">
        <v>27</v>
      </c>
      <c r="G27" s="0">
        <v>75000</v>
      </c>
    </row>
    <row r="28" spans="1:13" x14ac:dyDescent="0.45">
      <c r="A28" s="0" t="str">
        <f t="shared" si="0"/>
        <v>s1_pass_25</v>
      </c>
      <c r="B28" s="0" t="s">
        <v>0</v>
      </c>
      <c r="C28" s="0" t="s">
        <v>26</v>
      </c>
      <c r="D28" s="0">
        <v>25</v>
      </c>
      <c r="E28" s="0">
        <f t="shared" si="1"/>
        <v>15050</v>
      </c>
      <c r="F28" s="0" t="s">
        <v>32</v>
      </c>
      <c r="G28" s="0">
        <v>30</v>
      </c>
      <c r="H28" s="0" t="s">
        <v>46</v>
      </c>
    </row>
    <row r="29" spans="1:13" x14ac:dyDescent="0.45">
      <c r="A29" s="0" t="str">
        <f t="shared" si="0"/>
        <v>s1_pass_26</v>
      </c>
      <c r="B29" s="0" t="s">
        <v>0</v>
      </c>
      <c r="C29" s="0" t="s">
        <v>26</v>
      </c>
      <c r="D29" s="0">
        <v>26</v>
      </c>
      <c r="E29" s="0">
        <f t="shared" si="1"/>
        <v>16300</v>
      </c>
      <c r="F29" s="0" t="s">
        <v>34</v>
      </c>
      <c r="G29" s="0">
        <v>15</v>
      </c>
    </row>
    <row r="30" spans="1:13" x14ac:dyDescent="0.45">
      <c r="A30" s="0" t="str">
        <f t="shared" si="0"/>
        <v>s1_pass_27</v>
      </c>
      <c r="B30" s="0" t="s">
        <v>0</v>
      </c>
      <c r="C30" s="0" t="s">
        <v>26</v>
      </c>
      <c r="D30" s="0">
        <v>27</v>
      </c>
      <c r="E30" s="0">
        <f t="shared" si="1"/>
        <v>17600</v>
      </c>
      <c r="F30" s="0" t="s">
        <v>35</v>
      </c>
      <c r="G30" s="0">
        <v>3</v>
      </c>
      <c r="H30" s="0" t="s">
        <v>47</v>
      </c>
    </row>
    <row r="31" spans="1:13" x14ac:dyDescent="0.45">
      <c r="A31" s="0" t="str">
        <f t="shared" si="0"/>
        <v>s1_pass_28</v>
      </c>
      <c r="B31" s="0" t="s">
        <v>0</v>
      </c>
      <c r="C31" s="0" t="s">
        <v>26</v>
      </c>
      <c r="D31" s="0">
        <v>28</v>
      </c>
      <c r="E31" s="0">
        <f t="shared" si="1"/>
        <v>18950</v>
      </c>
      <c r="F31" s="0" t="s">
        <v>27</v>
      </c>
      <c r="G31" s="0">
        <v>100000</v>
      </c>
    </row>
    <row r="32" spans="1:13" x14ac:dyDescent="0.45">
      <c r="A32" s="0" t="str">
        <f t="shared" si="0"/>
        <v>s1_pass_29</v>
      </c>
      <c r="B32" s="0" t="s">
        <v>0</v>
      </c>
      <c r="C32" s="0" t="s">
        <v>26</v>
      </c>
      <c r="D32" s="0">
        <v>29</v>
      </c>
      <c r="E32" s="0">
        <f t="shared" si="1"/>
        <v>20350</v>
      </c>
      <c r="F32" s="0" t="s">
        <v>29</v>
      </c>
      <c r="G32" s="0">
        <v>300</v>
      </c>
      <c r="H32" s="0" t="s">
        <v>48</v>
      </c>
    </row>
    <row r="33" spans="1:13" x14ac:dyDescent="0.45">
      <c r="A33" s="0" t="str">
        <f t="shared" si="0"/>
        <v>s1_pass_30</v>
      </c>
      <c r="B33" s="0" t="s">
        <v>0</v>
      </c>
      <c r="C33" s="0" t="s">
        <v>26</v>
      </c>
      <c r="D33" s="0">
        <v>30</v>
      </c>
      <c r="E33" s="0">
        <f t="shared" si="1"/>
        <v>21800</v>
      </c>
      <c r="F33" s="0" t="s">
        <v>34</v>
      </c>
      <c r="G33" s="0">
        <v>60</v>
      </c>
      <c r="I33" s="0" t="s">
        <v>38</v>
      </c>
    </row>
    <row r="34" spans="1:13" x14ac:dyDescent="0.45">
      <c r="A34" s="0" t="str">
        <f t="shared" si="0"/>
        <v>s1_pass_31</v>
      </c>
      <c r="B34" s="0" t="s">
        <v>0</v>
      </c>
      <c r="C34" s="0" t="s">
        <v>26</v>
      </c>
      <c r="D34" s="0">
        <v>31</v>
      </c>
      <c r="E34" s="0">
        <f t="shared" si="1"/>
        <v>23300</v>
      </c>
      <c r="F34" s="0" t="s">
        <v>27</v>
      </c>
      <c r="G34" s="0">
        <v>50000</v>
      </c>
    </row>
    <row r="35" spans="1:13" x14ac:dyDescent="0.45">
      <c r="A35" s="0" t="str">
        <f t="shared" si="0"/>
        <v>s1_pass_32</v>
      </c>
      <c r="B35" s="0" t="s">
        <v>0</v>
      </c>
      <c r="C35" s="0" t="s">
        <v>26</v>
      </c>
      <c r="D35" s="0">
        <v>32</v>
      </c>
      <c r="E35" s="0">
        <f t="shared" si="1"/>
        <v>24850</v>
      </c>
      <c r="F35" s="0" t="s">
        <v>29</v>
      </c>
      <c r="G35" s="0">
        <v>150</v>
      </c>
    </row>
    <row r="36" spans="1:13" x14ac:dyDescent="0.45">
      <c r="A36" s="0" t="str">
        <f t="shared" ref="A36:A67" si="2">C36&amp;"_pass_"&amp;D36</f>
        <v>s1_pass_33</v>
      </c>
      <c r="B36" s="0" t="s">
        <v>0</v>
      </c>
      <c r="C36" s="0" t="s">
        <v>26</v>
      </c>
      <c r="D36" s="0">
        <v>33</v>
      </c>
      <c r="E36" s="0">
        <f t="shared" si="1"/>
        <v>26450</v>
      </c>
      <c r="F36" s="0" t="s">
        <v>30</v>
      </c>
      <c r="G36" s="0">
        <v>5</v>
      </c>
    </row>
    <row r="37" spans="1:13" x14ac:dyDescent="0.45">
      <c r="A37" s="0" t="str">
        <f t="shared" si="2"/>
        <v>s1_pass_34</v>
      </c>
      <c r="B37" s="0" t="s">
        <v>0</v>
      </c>
      <c r="C37" s="0" t="s">
        <v>26</v>
      </c>
      <c r="D37" s="0">
        <v>34</v>
      </c>
      <c r="E37" s="0">
        <f t="shared" ref="E37:E68" si="3">E36+ROUNDUP($E$4*D36,-1)</f>
        <v>28100</v>
      </c>
      <c r="F37" s="0" t="s">
        <v>27</v>
      </c>
      <c r="G37" s="0">
        <v>75000</v>
      </c>
    </row>
    <row r="38" spans="1:13" x14ac:dyDescent="0.45">
      <c r="A38" s="0" t="str">
        <f t="shared" si="2"/>
        <v>s1_pass_35</v>
      </c>
      <c r="B38" s="0" t="s">
        <v>0</v>
      </c>
      <c r="C38" s="0" t="s">
        <v>26</v>
      </c>
      <c r="D38" s="0">
        <v>35</v>
      </c>
      <c r="E38" s="0">
        <f t="shared" si="3"/>
        <v>29800</v>
      </c>
      <c r="F38" s="0" t="s">
        <v>32</v>
      </c>
      <c r="G38" s="0">
        <v>30</v>
      </c>
    </row>
    <row r="39" spans="1:13" x14ac:dyDescent="0.45">
      <c r="A39" s="0" t="str">
        <f t="shared" si="2"/>
        <v>s1_pass_36</v>
      </c>
      <c r="B39" s="0" t="s">
        <v>0</v>
      </c>
      <c r="C39" s="0" t="s">
        <v>26</v>
      </c>
      <c r="D39" s="0">
        <v>36</v>
      </c>
      <c r="E39" s="0">
        <f t="shared" si="3"/>
        <v>31550</v>
      </c>
      <c r="F39" s="0" t="s">
        <v>34</v>
      </c>
      <c r="G39" s="0">
        <v>15</v>
      </c>
    </row>
    <row r="40" spans="1:13" x14ac:dyDescent="0.45">
      <c r="A40" s="0" t="str">
        <f t="shared" si="2"/>
        <v>s1_pass_37</v>
      </c>
      <c r="B40" s="0" t="s">
        <v>0</v>
      </c>
      <c r="C40" s="0" t="s">
        <v>26</v>
      </c>
      <c r="D40" s="0">
        <v>37</v>
      </c>
      <c r="E40" s="0">
        <f t="shared" si="3"/>
        <v>33350</v>
      </c>
      <c r="F40" s="0" t="s">
        <v>35</v>
      </c>
      <c r="G40" s="0">
        <v>3</v>
      </c>
    </row>
    <row r="41" spans="1:13" x14ac:dyDescent="0.45">
      <c r="A41" s="0" t="str">
        <f t="shared" si="2"/>
        <v>s1_pass_38</v>
      </c>
      <c r="B41" s="0" t="s">
        <v>0</v>
      </c>
      <c r="C41" s="0" t="s">
        <v>26</v>
      </c>
      <c r="D41" s="0">
        <v>38</v>
      </c>
      <c r="E41" s="0">
        <f t="shared" si="3"/>
        <v>35200</v>
      </c>
      <c r="F41" s="0" t="s">
        <v>27</v>
      </c>
      <c r="G41" s="0">
        <v>100000</v>
      </c>
    </row>
    <row r="42" spans="1:13" x14ac:dyDescent="0.45">
      <c r="A42" s="0" t="str">
        <f t="shared" si="2"/>
        <v>s1_pass_39</v>
      </c>
      <c r="B42" s="0" t="s">
        <v>0</v>
      </c>
      <c r="C42" s="0" t="s">
        <v>26</v>
      </c>
      <c r="D42" s="0">
        <v>39</v>
      </c>
      <c r="E42" s="0">
        <f t="shared" si="3"/>
        <v>37100</v>
      </c>
      <c r="F42" s="0" t="s">
        <v>29</v>
      </c>
      <c r="G42" s="0">
        <v>300</v>
      </c>
    </row>
    <row r="43" spans="1:13" x14ac:dyDescent="0.45">
      <c r="A43" s="0" t="str">
        <f t="shared" si="2"/>
        <v>s1_pass_40</v>
      </c>
      <c r="B43" s="0" t="s">
        <v>0</v>
      </c>
      <c r="C43" s="0" t="s">
        <v>26</v>
      </c>
      <c r="D43" s="0">
        <v>40</v>
      </c>
      <c r="E43" s="0">
        <f t="shared" si="3"/>
        <v>39050</v>
      </c>
      <c r="F43" s="0" t="s">
        <v>35</v>
      </c>
      <c r="G43" s="0">
        <v>10</v>
      </c>
      <c r="I43" s="0" t="s">
        <v>38</v>
      </c>
    </row>
    <row r="44" spans="1:13" x14ac:dyDescent="0.45">
      <c r="A44" s="0" t="str">
        <f t="shared" si="2"/>
        <v>s1_pass_41</v>
      </c>
      <c r="B44" s="0" t="s">
        <v>0</v>
      </c>
      <c r="C44" s="0" t="s">
        <v>26</v>
      </c>
      <c r="D44" s="0">
        <v>41</v>
      </c>
      <c r="E44" s="0">
        <f t="shared" si="3"/>
        <v>41050</v>
      </c>
      <c r="F44" s="0" t="s">
        <v>27</v>
      </c>
      <c r="G44" s="0">
        <v>50000</v>
      </c>
    </row>
    <row r="45" spans="1:13" x14ac:dyDescent="0.45">
      <c r="A45" s="0" t="str">
        <f t="shared" si="2"/>
        <v>s1_pass_42</v>
      </c>
      <c r="B45" s="0" t="s">
        <v>0</v>
      </c>
      <c r="C45" s="0" t="s">
        <v>26</v>
      </c>
      <c r="D45" s="0">
        <v>42</v>
      </c>
      <c r="E45" s="0">
        <f t="shared" si="3"/>
        <v>43100</v>
      </c>
      <c r="F45" s="0" t="s">
        <v>29</v>
      </c>
      <c r="G45" s="0">
        <v>150</v>
      </c>
    </row>
    <row r="46" spans="1:13" x14ac:dyDescent="0.45">
      <c r="A46" s="0" t="str">
        <f t="shared" si="2"/>
        <v>s1_pass_43</v>
      </c>
      <c r="B46" s="0" t="s">
        <v>0</v>
      </c>
      <c r="C46" s="0" t="s">
        <v>26</v>
      </c>
      <c r="D46" s="0">
        <v>43</v>
      </c>
      <c r="E46" s="0">
        <f t="shared" si="3"/>
        <v>45200</v>
      </c>
      <c r="F46" s="0" t="s">
        <v>30</v>
      </c>
      <c r="G46" s="0">
        <v>5</v>
      </c>
    </row>
    <row r="47" spans="1:13" x14ac:dyDescent="0.45">
      <c r="A47" s="0" t="str">
        <f t="shared" si="2"/>
        <v>s1_pass_44</v>
      </c>
      <c r="B47" s="0" t="s">
        <v>0</v>
      </c>
      <c r="C47" s="0" t="s">
        <v>26</v>
      </c>
      <c r="D47" s="0">
        <v>44</v>
      </c>
      <c r="E47" s="0">
        <f t="shared" si="3"/>
        <v>47350</v>
      </c>
      <c r="F47" s="0" t="s">
        <v>27</v>
      </c>
      <c r="G47" s="0">
        <v>75000</v>
      </c>
    </row>
    <row r="48" spans="1:13" x14ac:dyDescent="0.45">
      <c r="A48" s="0" t="str">
        <f t="shared" si="2"/>
        <v>s1_pass_45</v>
      </c>
      <c r="B48" s="0" t="s">
        <v>0</v>
      </c>
      <c r="C48" s="0" t="s">
        <v>26</v>
      </c>
      <c r="D48" s="0">
        <v>45</v>
      </c>
      <c r="E48" s="0">
        <f t="shared" si="3"/>
        <v>49550</v>
      </c>
      <c r="F48" s="0" t="s">
        <v>32</v>
      </c>
      <c r="G48" s="0">
        <v>30</v>
      </c>
    </row>
    <row r="49" spans="1:13" x14ac:dyDescent="0.45">
      <c r="A49" s="0" t="str">
        <f t="shared" si="2"/>
        <v>s1_pass_46</v>
      </c>
      <c r="B49" s="0" t="s">
        <v>0</v>
      </c>
      <c r="C49" s="0" t="s">
        <v>26</v>
      </c>
      <c r="D49" s="0">
        <v>46</v>
      </c>
      <c r="E49" s="0">
        <f t="shared" si="3"/>
        <v>51800</v>
      </c>
      <c r="F49" s="0" t="s">
        <v>34</v>
      </c>
      <c r="G49" s="0">
        <v>15</v>
      </c>
    </row>
    <row r="50" spans="1:13" x14ac:dyDescent="0.45">
      <c r="A50" s="0" t="str">
        <f t="shared" si="2"/>
        <v>s1_pass_47</v>
      </c>
      <c r="B50" s="0" t="s">
        <v>0</v>
      </c>
      <c r="C50" s="0" t="s">
        <v>26</v>
      </c>
      <c r="D50" s="0">
        <v>47</v>
      </c>
      <c r="E50" s="0">
        <f t="shared" si="3"/>
        <v>54100</v>
      </c>
      <c r="F50" s="0" t="s">
        <v>35</v>
      </c>
      <c r="G50" s="0">
        <v>3</v>
      </c>
    </row>
    <row r="51" spans="1:13" x14ac:dyDescent="0.45">
      <c r="A51" s="0" t="str">
        <f t="shared" si="2"/>
        <v>s1_pass_48</v>
      </c>
      <c r="B51" s="0" t="s">
        <v>0</v>
      </c>
      <c r="C51" s="0" t="s">
        <v>26</v>
      </c>
      <c r="D51" s="0">
        <v>48</v>
      </c>
      <c r="E51" s="0">
        <f t="shared" si="3"/>
        <v>56450</v>
      </c>
      <c r="F51" s="0" t="s">
        <v>27</v>
      </c>
      <c r="G51" s="0">
        <v>100000</v>
      </c>
    </row>
    <row r="52" spans="1:13" x14ac:dyDescent="0.45">
      <c r="A52" s="0" t="str">
        <f t="shared" si="2"/>
        <v>s1_pass_49</v>
      </c>
      <c r="B52" s="0" t="s">
        <v>0</v>
      </c>
      <c r="C52" s="0" t="s">
        <v>26</v>
      </c>
      <c r="D52" s="0">
        <v>49</v>
      </c>
      <c r="E52" s="0">
        <f t="shared" si="3"/>
        <v>58850</v>
      </c>
      <c r="F52" s="0" t="s">
        <v>29</v>
      </c>
      <c r="G52" s="0">
        <v>300</v>
      </c>
    </row>
    <row r="53" spans="1:13" x14ac:dyDescent="0.45">
      <c r="A53" s="0" t="str">
        <f t="shared" si="2"/>
        <v>s1_pass_50</v>
      </c>
      <c r="B53" s="0" t="s">
        <v>0</v>
      </c>
      <c r="C53" s="0" t="s">
        <v>26</v>
      </c>
      <c r="D53" s="0">
        <v>50</v>
      </c>
      <c r="E53" s="0">
        <f t="shared" si="3"/>
        <v>61300</v>
      </c>
      <c r="F53" s="0" t="s">
        <v>49</v>
      </c>
      <c r="G53" s="0">
        <v>2</v>
      </c>
      <c r="I53" s="0" t="s">
        <v>38</v>
      </c>
    </row>
    <row r="54" spans="1:13" x14ac:dyDescent="0.45">
      <c r="A54" s="0" t="str">
        <f t="shared" si="2"/>
        <v>s1_pass_51</v>
      </c>
      <c r="B54" s="0" t="s">
        <v>0</v>
      </c>
      <c r="C54" s="0" t="s">
        <v>26</v>
      </c>
      <c r="D54" s="0">
        <v>51</v>
      </c>
      <c r="E54" s="0">
        <f t="shared" si="3"/>
        <v>63800</v>
      </c>
      <c r="F54" s="0" t="s">
        <v>27</v>
      </c>
      <c r="G54" s="0">
        <v>50000</v>
      </c>
    </row>
    <row r="55" spans="1:13" x14ac:dyDescent="0.45">
      <c r="A55" s="0" t="str">
        <f t="shared" si="2"/>
        <v>s1_pass_52</v>
      </c>
      <c r="B55" s="0" t="s">
        <v>0</v>
      </c>
      <c r="C55" s="0" t="s">
        <v>26</v>
      </c>
      <c r="D55" s="0">
        <v>52</v>
      </c>
      <c r="E55" s="0">
        <f t="shared" si="3"/>
        <v>66350</v>
      </c>
      <c r="F55" s="0" t="s">
        <v>29</v>
      </c>
      <c r="G55" s="0">
        <v>150</v>
      </c>
    </row>
    <row r="56" spans="1:13" x14ac:dyDescent="0.45">
      <c r="A56" s="0" t="str">
        <f t="shared" si="2"/>
        <v>s1_pass_53</v>
      </c>
      <c r="B56" s="0" t="s">
        <v>0</v>
      </c>
      <c r="C56" s="0" t="s">
        <v>26</v>
      </c>
      <c r="D56" s="0">
        <v>53</v>
      </c>
      <c r="E56" s="0">
        <f t="shared" si="3"/>
        <v>68950</v>
      </c>
      <c r="F56" s="0" t="s">
        <v>30</v>
      </c>
      <c r="G56" s="0">
        <v>5</v>
      </c>
    </row>
    <row r="57" spans="1:13" x14ac:dyDescent="0.45">
      <c r="A57" s="0" t="str">
        <f t="shared" si="2"/>
        <v>s1_pass_54</v>
      </c>
      <c r="B57" s="0" t="s">
        <v>0</v>
      </c>
      <c r="C57" s="0" t="s">
        <v>26</v>
      </c>
      <c r="D57" s="0">
        <v>54</v>
      </c>
      <c r="E57" s="0">
        <f t="shared" si="3"/>
        <v>71600</v>
      </c>
      <c r="F57" s="0" t="s">
        <v>27</v>
      </c>
      <c r="G57" s="0">
        <v>75000</v>
      </c>
    </row>
    <row r="58" spans="1:13" x14ac:dyDescent="0.45">
      <c r="A58" s="0" t="str">
        <f t="shared" si="2"/>
        <v>s1_pass_55</v>
      </c>
      <c r="B58" s="0" t="s">
        <v>0</v>
      </c>
      <c r="C58" s="0" t="s">
        <v>26</v>
      </c>
      <c r="D58" s="0">
        <v>55</v>
      </c>
      <c r="E58" s="0">
        <f t="shared" si="3"/>
        <v>74300</v>
      </c>
      <c r="F58" s="0" t="s">
        <v>32</v>
      </c>
      <c r="G58" s="0">
        <v>30</v>
      </c>
    </row>
    <row r="59" spans="1:13" x14ac:dyDescent="0.45">
      <c r="A59" s="0" t="str">
        <f t="shared" si="2"/>
        <v>s1_pass_56</v>
      </c>
      <c r="B59" s="0" t="s">
        <v>0</v>
      </c>
      <c r="C59" s="0" t="s">
        <v>26</v>
      </c>
      <c r="D59" s="0">
        <v>56</v>
      </c>
      <c r="E59" s="0">
        <f t="shared" si="3"/>
        <v>77050</v>
      </c>
      <c r="F59" s="0" t="s">
        <v>34</v>
      </c>
      <c r="G59" s="0">
        <v>15</v>
      </c>
    </row>
    <row r="60" spans="1:13" x14ac:dyDescent="0.45">
      <c r="A60" s="0" t="str">
        <f t="shared" si="2"/>
        <v>s1_pass_57</v>
      </c>
      <c r="B60" s="0" t="s">
        <v>0</v>
      </c>
      <c r="C60" s="0" t="s">
        <v>26</v>
      </c>
      <c r="D60" s="0">
        <v>57</v>
      </c>
      <c r="E60" s="0">
        <f t="shared" si="3"/>
        <v>79850</v>
      </c>
      <c r="F60" s="0" t="s">
        <v>35</v>
      </c>
      <c r="G60" s="0">
        <v>3</v>
      </c>
    </row>
    <row r="61" spans="1:13" x14ac:dyDescent="0.45">
      <c r="A61" s="0" t="str">
        <f t="shared" si="2"/>
        <v>s1_pass_58</v>
      </c>
      <c r="B61" s="0" t="s">
        <v>0</v>
      </c>
      <c r="C61" s="0" t="s">
        <v>26</v>
      </c>
      <c r="D61" s="0">
        <v>58</v>
      </c>
      <c r="E61" s="0">
        <f t="shared" si="3"/>
        <v>82700</v>
      </c>
      <c r="F61" s="0" t="s">
        <v>27</v>
      </c>
      <c r="G61" s="0">
        <v>100000</v>
      </c>
    </row>
    <row r="62" spans="1:13" x14ac:dyDescent="0.45">
      <c r="A62" s="0" t="str">
        <f t="shared" si="2"/>
        <v>s1_pass_59</v>
      </c>
      <c r="B62" s="0" t="s">
        <v>0</v>
      </c>
      <c r="C62" s="0" t="s">
        <v>26</v>
      </c>
      <c r="D62" s="0">
        <v>59</v>
      </c>
      <c r="E62" s="0">
        <f t="shared" si="3"/>
        <v>85600</v>
      </c>
      <c r="F62" s="0" t="s">
        <v>29</v>
      </c>
      <c r="G62" s="0">
        <v>300</v>
      </c>
    </row>
    <row r="63" spans="1:13" x14ac:dyDescent="0.45">
      <c r="A63" s="0" t="str">
        <f t="shared" si="2"/>
        <v>s1_pass_60</v>
      </c>
      <c r="B63" s="0" t="s">
        <v>0</v>
      </c>
      <c r="C63" s="0" t="s">
        <v>26</v>
      </c>
      <c r="D63" s="0">
        <v>60</v>
      </c>
      <c r="E63" s="0">
        <f t="shared" si="3"/>
        <v>88550</v>
      </c>
      <c r="F63" s="0" t="s">
        <v>50</v>
      </c>
      <c r="G63" s="0">
        <v>50</v>
      </c>
      <c r="I63" s="0" t="s">
        <v>38</v>
      </c>
    </row>
    <row r="64" spans="1:13" x14ac:dyDescent="0.45">
      <c r="A64" s="0" t="str">
        <f t="shared" si="2"/>
        <v>s1_pass_61</v>
      </c>
      <c r="B64" s="0" t="s">
        <v>0</v>
      </c>
      <c r="C64" s="0" t="s">
        <v>26</v>
      </c>
      <c r="D64" s="0">
        <v>61</v>
      </c>
      <c r="E64" s="0">
        <f t="shared" si="3"/>
        <v>91550</v>
      </c>
      <c r="F64" s="0" t="s">
        <v>27</v>
      </c>
      <c r="G64" s="0">
        <v>50000</v>
      </c>
    </row>
    <row r="65" spans="1:13" x14ac:dyDescent="0.45">
      <c r="A65" s="0" t="str">
        <f t="shared" si="2"/>
        <v>s1_pass_62</v>
      </c>
      <c r="B65" s="0" t="s">
        <v>0</v>
      </c>
      <c r="C65" s="0" t="s">
        <v>26</v>
      </c>
      <c r="D65" s="0">
        <v>62</v>
      </c>
      <c r="E65" s="0">
        <f t="shared" si="3"/>
        <v>94600</v>
      </c>
      <c r="F65" s="0" t="s">
        <v>29</v>
      </c>
      <c r="G65" s="0">
        <v>150</v>
      </c>
    </row>
    <row r="66" spans="1:13" x14ac:dyDescent="0.45">
      <c r="A66" s="0" t="str">
        <f t="shared" si="2"/>
        <v>s1_pass_63</v>
      </c>
      <c r="B66" s="0" t="s">
        <v>0</v>
      </c>
      <c r="C66" s="0" t="s">
        <v>26</v>
      </c>
      <c r="D66" s="0">
        <v>63</v>
      </c>
      <c r="E66" s="0">
        <f t="shared" si="3"/>
        <v>97700</v>
      </c>
      <c r="F66" s="0" t="s">
        <v>30</v>
      </c>
      <c r="G66" s="0">
        <v>5</v>
      </c>
    </row>
    <row r="67" spans="1:13" x14ac:dyDescent="0.45">
      <c r="A67" s="0" t="str">
        <f t="shared" si="2"/>
        <v>s1_pass_64</v>
      </c>
      <c r="B67" s="0" t="s">
        <v>0</v>
      </c>
      <c r="C67" s="0" t="s">
        <v>26</v>
      </c>
      <c r="D67" s="0">
        <v>64</v>
      </c>
      <c r="E67" s="0">
        <f t="shared" si="3"/>
        <v>100850</v>
      </c>
      <c r="F67" s="0" t="s">
        <v>27</v>
      </c>
      <c r="G67" s="0">
        <v>75000</v>
      </c>
    </row>
    <row r="68" spans="1:13" x14ac:dyDescent="0.45">
      <c r="A68" s="0" t="str">
        <f t="shared" ref="A68:A103" si="4">C68&amp;"_pass_"&amp;D68</f>
        <v>s1_pass_65</v>
      </c>
      <c r="B68" s="0" t="s">
        <v>0</v>
      </c>
      <c r="C68" s="0" t="s">
        <v>26</v>
      </c>
      <c r="D68" s="0">
        <v>65</v>
      </c>
      <c r="E68" s="0">
        <f t="shared" si="3"/>
        <v>104050</v>
      </c>
      <c r="F68" s="0" t="s">
        <v>32</v>
      </c>
      <c r="G68" s="0">
        <v>30</v>
      </c>
    </row>
    <row r="69" spans="1:13" x14ac:dyDescent="0.45">
      <c r="A69" s="0" t="str">
        <f t="shared" si="4"/>
        <v>s1_pass_66</v>
      </c>
      <c r="B69" s="0" t="s">
        <v>0</v>
      </c>
      <c r="C69" s="0" t="s">
        <v>26</v>
      </c>
      <c r="D69" s="0">
        <v>66</v>
      </c>
      <c r="E69" s="0">
        <f t="shared" ref="E69:E103" si="5">E68+ROUNDUP($E$4*D68,-1)</f>
        <v>107300</v>
      </c>
      <c r="F69" s="0" t="s">
        <v>34</v>
      </c>
      <c r="G69" s="0">
        <v>15</v>
      </c>
    </row>
    <row r="70" spans="1:13" x14ac:dyDescent="0.45">
      <c r="A70" s="0" t="str">
        <f t="shared" si="4"/>
        <v>s1_pass_67</v>
      </c>
      <c r="B70" s="0" t="s">
        <v>0</v>
      </c>
      <c r="C70" s="0" t="s">
        <v>26</v>
      </c>
      <c r="D70" s="0">
        <v>67</v>
      </c>
      <c r="E70" s="0">
        <f t="shared" si="5"/>
        <v>110600</v>
      </c>
      <c r="F70" s="0" t="s">
        <v>35</v>
      </c>
      <c r="G70" s="0">
        <v>3</v>
      </c>
    </row>
    <row r="71" spans="1:13" x14ac:dyDescent="0.45">
      <c r="A71" s="0" t="str">
        <f t="shared" si="4"/>
        <v>s1_pass_68</v>
      </c>
      <c r="B71" s="0" t="s">
        <v>0</v>
      </c>
      <c r="C71" s="0" t="s">
        <v>26</v>
      </c>
      <c r="D71" s="0">
        <v>68</v>
      </c>
      <c r="E71" s="0">
        <f t="shared" si="5"/>
        <v>113950</v>
      </c>
      <c r="F71" s="0" t="s">
        <v>27</v>
      </c>
      <c r="G71" s="0">
        <v>100000</v>
      </c>
    </row>
    <row r="72" spans="1:13" x14ac:dyDescent="0.45">
      <c r="A72" s="0" t="str">
        <f t="shared" si="4"/>
        <v>s1_pass_69</v>
      </c>
      <c r="B72" s="0" t="s">
        <v>0</v>
      </c>
      <c r="C72" s="0" t="s">
        <v>26</v>
      </c>
      <c r="D72" s="0">
        <v>69</v>
      </c>
      <c r="E72" s="0">
        <f t="shared" si="5"/>
        <v>117350</v>
      </c>
      <c r="F72" s="0" t="s">
        <v>29</v>
      </c>
      <c r="G72" s="0">
        <v>300</v>
      </c>
    </row>
    <row r="73" spans="1:13" x14ac:dyDescent="0.45">
      <c r="A73" s="0" t="str">
        <f t="shared" si="4"/>
        <v>s1_pass_70</v>
      </c>
      <c r="B73" s="0" t="s">
        <v>0</v>
      </c>
      <c r="C73" s="0" t="s">
        <v>26</v>
      </c>
      <c r="D73" s="0">
        <v>70</v>
      </c>
      <c r="E73" s="0">
        <f t="shared" si="5"/>
        <v>120800</v>
      </c>
      <c r="F73" s="0" t="s">
        <v>51</v>
      </c>
      <c r="G73" s="0">
        <v>1</v>
      </c>
      <c r="I73" s="0" t="s">
        <v>38</v>
      </c>
    </row>
    <row r="74" spans="1:13" x14ac:dyDescent="0.45">
      <c r="A74" s="0" t="str">
        <f t="shared" si="4"/>
        <v>s1_pass_71</v>
      </c>
      <c r="B74" s="0" t="s">
        <v>0</v>
      </c>
      <c r="C74" s="0" t="s">
        <v>26</v>
      </c>
      <c r="D74" s="0">
        <v>71</v>
      </c>
      <c r="E74" s="0">
        <f t="shared" si="5"/>
        <v>124300</v>
      </c>
      <c r="F74" s="0" t="s">
        <v>27</v>
      </c>
      <c r="G74" s="0">
        <v>50000</v>
      </c>
    </row>
    <row r="75" spans="1:13" x14ac:dyDescent="0.45">
      <c r="A75" s="0" t="str">
        <f t="shared" si="4"/>
        <v>s1_pass_72</v>
      </c>
      <c r="B75" s="0" t="s">
        <v>0</v>
      </c>
      <c r="C75" s="0" t="s">
        <v>26</v>
      </c>
      <c r="D75" s="0">
        <v>72</v>
      </c>
      <c r="E75" s="0">
        <f t="shared" si="5"/>
        <v>127850</v>
      </c>
      <c r="F75" s="0" t="s">
        <v>29</v>
      </c>
      <c r="G75" s="0">
        <v>150</v>
      </c>
    </row>
    <row r="76" spans="1:13" x14ac:dyDescent="0.45">
      <c r="A76" s="0" t="str">
        <f t="shared" si="4"/>
        <v>s1_pass_73</v>
      </c>
      <c r="B76" s="0" t="s">
        <v>0</v>
      </c>
      <c r="C76" s="0" t="s">
        <v>26</v>
      </c>
      <c r="D76" s="0">
        <v>73</v>
      </c>
      <c r="E76" s="0">
        <f t="shared" si="5"/>
        <v>131450</v>
      </c>
      <c r="F76" s="0" t="s">
        <v>30</v>
      </c>
      <c r="G76" s="0">
        <v>5</v>
      </c>
    </row>
    <row r="77" spans="1:13" x14ac:dyDescent="0.45">
      <c r="A77" s="0" t="str">
        <f t="shared" si="4"/>
        <v>s1_pass_74</v>
      </c>
      <c r="B77" s="0" t="s">
        <v>0</v>
      </c>
      <c r="C77" s="0" t="s">
        <v>26</v>
      </c>
      <c r="D77" s="0">
        <v>74</v>
      </c>
      <c r="E77" s="0">
        <f t="shared" si="5"/>
        <v>135100</v>
      </c>
      <c r="F77" s="0" t="s">
        <v>27</v>
      </c>
      <c r="G77" s="0">
        <v>75000</v>
      </c>
    </row>
    <row r="78" spans="1:13" x14ac:dyDescent="0.45">
      <c r="A78" s="0" t="str">
        <f t="shared" si="4"/>
        <v>s1_pass_75</v>
      </c>
      <c r="B78" s="0" t="s">
        <v>0</v>
      </c>
      <c r="C78" s="0" t="s">
        <v>26</v>
      </c>
      <c r="D78" s="0">
        <v>75</v>
      </c>
      <c r="E78" s="0">
        <f t="shared" si="5"/>
        <v>138800</v>
      </c>
      <c r="F78" s="0" t="s">
        <v>32</v>
      </c>
      <c r="G78" s="0">
        <v>30</v>
      </c>
    </row>
    <row r="79" spans="1:13" x14ac:dyDescent="0.45">
      <c r="A79" s="0" t="str">
        <f t="shared" si="4"/>
        <v>s1_pass_76</v>
      </c>
      <c r="B79" s="0" t="s">
        <v>0</v>
      </c>
      <c r="C79" s="0" t="s">
        <v>26</v>
      </c>
      <c r="D79" s="0">
        <v>76</v>
      </c>
      <c r="E79" s="0">
        <f t="shared" si="5"/>
        <v>142550</v>
      </c>
      <c r="F79" s="0" t="s">
        <v>34</v>
      </c>
      <c r="G79" s="0">
        <v>15</v>
      </c>
    </row>
    <row r="80" spans="1:13" x14ac:dyDescent="0.45">
      <c r="A80" s="0" t="str">
        <f t="shared" si="4"/>
        <v>s1_pass_77</v>
      </c>
      <c r="B80" s="0" t="s">
        <v>0</v>
      </c>
      <c r="C80" s="0" t="s">
        <v>26</v>
      </c>
      <c r="D80" s="0">
        <v>77</v>
      </c>
      <c r="E80" s="0">
        <f t="shared" si="5"/>
        <v>146350</v>
      </c>
      <c r="F80" s="0" t="s">
        <v>35</v>
      </c>
      <c r="G80" s="0">
        <v>3</v>
      </c>
    </row>
    <row r="81" spans="1:13" x14ac:dyDescent="0.45">
      <c r="A81" s="0" t="str">
        <f t="shared" si="4"/>
        <v>s1_pass_78</v>
      </c>
      <c r="B81" s="0" t="s">
        <v>0</v>
      </c>
      <c r="C81" s="0" t="s">
        <v>26</v>
      </c>
      <c r="D81" s="0">
        <v>78</v>
      </c>
      <c r="E81" s="0">
        <f t="shared" si="5"/>
        <v>150200</v>
      </c>
      <c r="F81" s="0" t="s">
        <v>27</v>
      </c>
      <c r="G81" s="0">
        <v>100000</v>
      </c>
    </row>
    <row r="82" spans="1:13" x14ac:dyDescent="0.45">
      <c r="A82" s="0" t="str">
        <f t="shared" si="4"/>
        <v>s1_pass_79</v>
      </c>
      <c r="B82" s="0" t="s">
        <v>0</v>
      </c>
      <c r="C82" s="0" t="s">
        <v>26</v>
      </c>
      <c r="D82" s="0">
        <v>79</v>
      </c>
      <c r="E82" s="0">
        <f t="shared" si="5"/>
        <v>154100</v>
      </c>
      <c r="F82" s="0" t="s">
        <v>29</v>
      </c>
      <c r="G82" s="0">
        <v>300</v>
      </c>
    </row>
    <row r="83" spans="1:13" x14ac:dyDescent="0.45">
      <c r="A83" s="0" t="str">
        <f t="shared" si="4"/>
        <v>s1_pass_80</v>
      </c>
      <c r="B83" s="0" t="s">
        <v>0</v>
      </c>
      <c r="C83" s="0" t="s">
        <v>26</v>
      </c>
      <c r="D83" s="0">
        <v>80</v>
      </c>
      <c r="E83" s="0">
        <f t="shared" si="5"/>
        <v>158050</v>
      </c>
      <c r="F83" s="0" t="s">
        <v>52</v>
      </c>
      <c r="G83" s="0">
        <v>5</v>
      </c>
      <c r="I83" s="0" t="s">
        <v>38</v>
      </c>
    </row>
    <row r="84" spans="1:13" x14ac:dyDescent="0.45">
      <c r="A84" s="0" t="str">
        <f t="shared" si="4"/>
        <v>s1_pass_81</v>
      </c>
      <c r="B84" s="0" t="s">
        <v>0</v>
      </c>
      <c r="C84" s="0" t="s">
        <v>26</v>
      </c>
      <c r="D84" s="0">
        <v>81</v>
      </c>
      <c r="E84" s="0">
        <f t="shared" si="5"/>
        <v>162050</v>
      </c>
      <c r="F84" s="0" t="s">
        <v>27</v>
      </c>
      <c r="G84" s="0">
        <v>50000</v>
      </c>
    </row>
    <row r="85" spans="1:13" x14ac:dyDescent="0.45">
      <c r="A85" s="0" t="str">
        <f t="shared" si="4"/>
        <v>s1_pass_82</v>
      </c>
      <c r="B85" s="0" t="s">
        <v>0</v>
      </c>
      <c r="C85" s="0" t="s">
        <v>26</v>
      </c>
      <c r="D85" s="0">
        <v>82</v>
      </c>
      <c r="E85" s="0">
        <f t="shared" si="5"/>
        <v>166100</v>
      </c>
      <c r="F85" s="0" t="s">
        <v>29</v>
      </c>
      <c r="G85" s="0">
        <v>150</v>
      </c>
    </row>
    <row r="86" spans="1:13" x14ac:dyDescent="0.45">
      <c r="A86" s="0" t="str">
        <f t="shared" si="4"/>
        <v>s1_pass_83</v>
      </c>
      <c r="B86" s="0" t="s">
        <v>0</v>
      </c>
      <c r="C86" s="0" t="s">
        <v>26</v>
      </c>
      <c r="D86" s="0">
        <v>83</v>
      </c>
      <c r="E86" s="0">
        <f t="shared" si="5"/>
        <v>170200</v>
      </c>
      <c r="F86" s="0" t="s">
        <v>30</v>
      </c>
      <c r="G86" s="0">
        <v>5</v>
      </c>
    </row>
    <row r="87" spans="1:13" x14ac:dyDescent="0.45">
      <c r="A87" s="0" t="str">
        <f t="shared" si="4"/>
        <v>s1_pass_84</v>
      </c>
      <c r="B87" s="0" t="s">
        <v>0</v>
      </c>
      <c r="C87" s="0" t="s">
        <v>26</v>
      </c>
      <c r="D87" s="0">
        <v>84</v>
      </c>
      <c r="E87" s="0">
        <f t="shared" si="5"/>
        <v>174350</v>
      </c>
      <c r="F87" s="0" t="s">
        <v>27</v>
      </c>
      <c r="G87" s="0">
        <v>75000</v>
      </c>
    </row>
    <row r="88" spans="1:13" x14ac:dyDescent="0.45">
      <c r="A88" s="0" t="str">
        <f t="shared" si="4"/>
        <v>s1_pass_85</v>
      </c>
      <c r="B88" s="0" t="s">
        <v>0</v>
      </c>
      <c r="C88" s="0" t="s">
        <v>26</v>
      </c>
      <c r="D88" s="0">
        <v>85</v>
      </c>
      <c r="E88" s="0">
        <f t="shared" si="5"/>
        <v>178550</v>
      </c>
      <c r="F88" s="0" t="s">
        <v>32</v>
      </c>
      <c r="G88" s="0">
        <v>30</v>
      </c>
    </row>
    <row r="89" spans="1:13" x14ac:dyDescent="0.45">
      <c r="A89" s="0" t="str">
        <f t="shared" si="4"/>
        <v>s1_pass_86</v>
      </c>
      <c r="B89" s="0" t="s">
        <v>0</v>
      </c>
      <c r="C89" s="0" t="s">
        <v>26</v>
      </c>
      <c r="D89" s="0">
        <v>86</v>
      </c>
      <c r="E89" s="0">
        <f t="shared" si="5"/>
        <v>182800</v>
      </c>
      <c r="F89" s="0" t="s">
        <v>34</v>
      </c>
      <c r="G89" s="0">
        <v>15</v>
      </c>
    </row>
    <row r="90" spans="1:13" x14ac:dyDescent="0.45">
      <c r="A90" s="0" t="str">
        <f t="shared" si="4"/>
        <v>s1_pass_87</v>
      </c>
      <c r="B90" s="0" t="s">
        <v>0</v>
      </c>
      <c r="C90" s="0" t="s">
        <v>26</v>
      </c>
      <c r="D90" s="0">
        <v>87</v>
      </c>
      <c r="E90" s="0">
        <f t="shared" si="5"/>
        <v>187100</v>
      </c>
      <c r="F90" s="0" t="s">
        <v>35</v>
      </c>
      <c r="G90" s="0">
        <v>3</v>
      </c>
    </row>
    <row r="91" spans="1:13" x14ac:dyDescent="0.45">
      <c r="A91" s="0" t="str">
        <f t="shared" si="4"/>
        <v>s1_pass_88</v>
      </c>
      <c r="B91" s="0" t="s">
        <v>0</v>
      </c>
      <c r="C91" s="0" t="s">
        <v>26</v>
      </c>
      <c r="D91" s="0">
        <v>88</v>
      </c>
      <c r="E91" s="0">
        <f t="shared" si="5"/>
        <v>191450</v>
      </c>
      <c r="F91" s="0" t="s">
        <v>27</v>
      </c>
      <c r="G91" s="0">
        <v>100000</v>
      </c>
    </row>
    <row r="92" spans="1:13" x14ac:dyDescent="0.45">
      <c r="A92" s="0" t="str">
        <f t="shared" si="4"/>
        <v>s1_pass_89</v>
      </c>
      <c r="B92" s="0" t="s">
        <v>0</v>
      </c>
      <c r="C92" s="0" t="s">
        <v>26</v>
      </c>
      <c r="D92" s="0">
        <v>89</v>
      </c>
      <c r="E92" s="0">
        <f t="shared" si="5"/>
        <v>195850</v>
      </c>
      <c r="F92" s="0" t="s">
        <v>29</v>
      </c>
      <c r="G92" s="0">
        <v>300</v>
      </c>
    </row>
    <row r="93" spans="1:13" x14ac:dyDescent="0.45">
      <c r="A93" s="0" t="str">
        <f t="shared" si="4"/>
        <v>s1_pass_90</v>
      </c>
      <c r="B93" s="0" t="s">
        <v>0</v>
      </c>
      <c r="C93" s="0" t="s">
        <v>26</v>
      </c>
      <c r="D93" s="0">
        <v>90</v>
      </c>
      <c r="E93" s="0">
        <f t="shared" si="5"/>
        <v>200300</v>
      </c>
      <c r="F93" s="0" t="s">
        <v>32</v>
      </c>
      <c r="G93" s="0">
        <v>300</v>
      </c>
      <c r="I93" s="0" t="s">
        <v>38</v>
      </c>
    </row>
    <row r="94" spans="1:13" x14ac:dyDescent="0.45">
      <c r="A94" s="0" t="str">
        <f t="shared" si="4"/>
        <v>s1_pass_91</v>
      </c>
      <c r="B94" s="0" t="s">
        <v>0</v>
      </c>
      <c r="C94" s="0" t="s">
        <v>26</v>
      </c>
      <c r="D94" s="0">
        <v>91</v>
      </c>
      <c r="E94" s="0">
        <f t="shared" si="5"/>
        <v>204800</v>
      </c>
      <c r="F94" s="0" t="s">
        <v>27</v>
      </c>
      <c r="G94" s="0">
        <v>50000</v>
      </c>
    </row>
    <row r="95" spans="1:13" x14ac:dyDescent="0.45">
      <c r="A95" s="0" t="str">
        <f t="shared" si="4"/>
        <v>s1_pass_92</v>
      </c>
      <c r="B95" s="0" t="s">
        <v>0</v>
      </c>
      <c r="C95" s="0" t="s">
        <v>26</v>
      </c>
      <c r="D95" s="0">
        <v>92</v>
      </c>
      <c r="E95" s="0">
        <f t="shared" si="5"/>
        <v>209350</v>
      </c>
      <c r="F95" s="0" t="s">
        <v>29</v>
      </c>
      <c r="G95" s="0">
        <v>150</v>
      </c>
    </row>
    <row r="96" spans="1:13" x14ac:dyDescent="0.45">
      <c r="A96" s="0" t="str">
        <f t="shared" si="4"/>
        <v>s1_pass_93</v>
      </c>
      <c r="B96" s="0" t="s">
        <v>0</v>
      </c>
      <c r="C96" s="0" t="s">
        <v>26</v>
      </c>
      <c r="D96" s="0">
        <v>93</v>
      </c>
      <c r="E96" s="0">
        <f t="shared" si="5"/>
        <v>213950</v>
      </c>
      <c r="F96" s="0" t="s">
        <v>30</v>
      </c>
      <c r="G96" s="0">
        <v>5</v>
      </c>
    </row>
    <row r="97" spans="1:13" x14ac:dyDescent="0.45">
      <c r="A97" s="0" t="str">
        <f t="shared" si="4"/>
        <v>s1_pass_94</v>
      </c>
      <c r="B97" s="0" t="s">
        <v>0</v>
      </c>
      <c r="C97" s="0" t="s">
        <v>26</v>
      </c>
      <c r="D97" s="0">
        <v>94</v>
      </c>
      <c r="E97" s="0">
        <f t="shared" si="5"/>
        <v>218600</v>
      </c>
      <c r="F97" s="0" t="s">
        <v>27</v>
      </c>
      <c r="G97" s="0">
        <v>75000</v>
      </c>
    </row>
    <row r="98" spans="1:13" x14ac:dyDescent="0.45">
      <c r="A98" s="0" t="str">
        <f t="shared" si="4"/>
        <v>s1_pass_95</v>
      </c>
      <c r="B98" s="0" t="s">
        <v>0</v>
      </c>
      <c r="C98" s="0" t="s">
        <v>26</v>
      </c>
      <c r="D98" s="0">
        <v>95</v>
      </c>
      <c r="E98" s="0">
        <f t="shared" si="5"/>
        <v>223300</v>
      </c>
      <c r="F98" s="0" t="s">
        <v>32</v>
      </c>
      <c r="G98" s="0">
        <v>30</v>
      </c>
    </row>
    <row r="99" spans="1:13" x14ac:dyDescent="0.45">
      <c r="A99" s="0" t="str">
        <f t="shared" si="4"/>
        <v>s1_pass_96</v>
      </c>
      <c r="B99" s="0" t="s">
        <v>0</v>
      </c>
      <c r="C99" s="0" t="s">
        <v>26</v>
      </c>
      <c r="D99" s="0">
        <v>96</v>
      </c>
      <c r="E99" s="0">
        <f t="shared" si="5"/>
        <v>228050</v>
      </c>
      <c r="F99" s="0" t="s">
        <v>34</v>
      </c>
      <c r="G99" s="0">
        <v>15</v>
      </c>
    </row>
    <row r="100" spans="1:13" x14ac:dyDescent="0.45">
      <c r="A100" s="0" t="str">
        <f t="shared" si="4"/>
        <v>s1_pass_97</v>
      </c>
      <c r="B100" s="0" t="s">
        <v>0</v>
      </c>
      <c r="C100" s="0" t="s">
        <v>26</v>
      </c>
      <c r="D100" s="0">
        <v>97</v>
      </c>
      <c r="E100" s="0">
        <f t="shared" si="5"/>
        <v>232850</v>
      </c>
      <c r="F100" s="0" t="s">
        <v>35</v>
      </c>
      <c r="G100" s="0">
        <v>3</v>
      </c>
    </row>
    <row r="101" spans="1:13" x14ac:dyDescent="0.45">
      <c r="A101" s="0" t="str">
        <f t="shared" si="4"/>
        <v>s1_pass_98</v>
      </c>
      <c r="B101" s="0" t="s">
        <v>0</v>
      </c>
      <c r="C101" s="0" t="s">
        <v>26</v>
      </c>
      <c r="D101" s="0">
        <v>98</v>
      </c>
      <c r="E101" s="0">
        <f t="shared" si="5"/>
        <v>237700</v>
      </c>
      <c r="F101" s="0" t="s">
        <v>27</v>
      </c>
      <c r="G101" s="0">
        <v>100000</v>
      </c>
    </row>
    <row r="102" spans="1:13" x14ac:dyDescent="0.45">
      <c r="A102" s="0" t="str">
        <f t="shared" si="4"/>
        <v>s1_pass_99</v>
      </c>
      <c r="B102" s="0" t="s">
        <v>0</v>
      </c>
      <c r="C102" s="0" t="s">
        <v>26</v>
      </c>
      <c r="D102" s="0">
        <v>99</v>
      </c>
      <c r="E102" s="0">
        <f t="shared" si="5"/>
        <v>242600</v>
      </c>
      <c r="F102" s="0" t="s">
        <v>29</v>
      </c>
      <c r="G102" s="0">
        <v>300</v>
      </c>
    </row>
    <row r="103" spans="1:13" x14ac:dyDescent="0.45">
      <c r="A103" s="0" t="str">
        <f t="shared" si="4"/>
        <v>s1_pass_100</v>
      </c>
      <c r="B103" s="0" t="s">
        <v>0</v>
      </c>
      <c r="C103" s="0" t="s">
        <v>26</v>
      </c>
      <c r="D103" s="0">
        <v>100</v>
      </c>
      <c r="E103" s="0">
        <f t="shared" si="5"/>
        <v>247550</v>
      </c>
      <c r="F103" s="0" t="s">
        <v>53</v>
      </c>
      <c r="G103" s="0">
        <v>1</v>
      </c>
      <c r="I103" s="0" t="s">
        <v>38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100-000000000000}" mc:Ignorable="x14ac xr xr2 xr3">
  <sheetPr>
    <outlinePr summaryBelow="1" summaryRight="1"/>
  </sheetPr>
  <dimension ref="A1:W13"/>
  <sheetViews>
    <sheetView workbookViewId="0"/>
    <sheetView workbookViewId="1"/>
  </sheetViews>
  <sheetFormatPr defaultRowHeight="17" x14ac:dyDescent="0.45"/>
  <cols>
    <col min="1" max="1" width="13.332031" style="0" customWidth="1"/>
    <col min="2" max="2" width="14.832031" style="0" customWidth="1"/>
    <col min="3" max="3" width="19.5" style="0" customWidth="1"/>
    <col min="4" max="4" width="14.832031" style="0" customWidth="1"/>
    <col min="5" max="5" width="20.332031" style="0" customWidth="1"/>
    <col min="6" max="6" width="15.582031" style="0" customWidth="1"/>
    <col min="7" max="7" width="20.332031" style="0" customWidth="1"/>
    <col min="8" max="9" width="23.082031" style="0" customWidth="1"/>
    <col min="10" max="10" width="15.582031" style="0" customWidth="1"/>
    <col min="11" max="11" width="16.082031" style="0" customWidth="1"/>
    <col min="12" max="12" width="22.082031" style="0" customWidth="1"/>
    <col min="13" max="13" width="13.5" style="0" customWidth="1"/>
    <col min="14" max="14" width="11.582031" style="0" customWidth="1"/>
    <col min="15" max="15" width="13.75" style="0" customWidth="1"/>
    <col min="16" max="16" width="36" style="0" customWidth="1"/>
    <col min="17" max="17" width="15.582031" style="0" customWidth="1"/>
    <col min="18" max="18" width="16.082031" style="0" customWidth="1"/>
    <col min="19" max="19" width="22.082031" style="0" customWidth="1"/>
    <col min="20" max="20" width="13.5" style="0" customWidth="1"/>
    <col min="21" max="21" width="11.582031" style="0" customWidth="1"/>
    <col min="22" max="22" width="13.75" style="0" customWidth="1"/>
    <col min="23" max="23" width="36" style="0" customWidth="1"/>
  </cols>
  <sheetData>
    <row r="1" spans="1:23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  <c r="W1" s="0" t="s">
        <v>0</v>
      </c>
    </row>
    <row r="2" spans="1:23" x14ac:dyDescent="0.45">
      <c r="A2" s="0" t="s">
        <v>1</v>
      </c>
      <c r="C2" s="0" t="s">
        <v>2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 t="s">
        <v>59</v>
      </c>
      <c r="J2" s="0" t="s">
        <v>60</v>
      </c>
      <c r="K2" s="0" t="s">
        <v>61</v>
      </c>
      <c r="L2" s="0" t="s">
        <v>62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60</v>
      </c>
      <c r="R2" s="0" t="s">
        <v>61</v>
      </c>
      <c r="S2" s="0" t="s">
        <v>62</v>
      </c>
      <c r="T2" s="0" t="s">
        <v>9</v>
      </c>
      <c r="U2" s="0" t="s">
        <v>10</v>
      </c>
      <c r="V2" s="0" t="s">
        <v>11</v>
      </c>
      <c r="W2" s="0" t="s">
        <v>12</v>
      </c>
    </row>
    <row r="3" spans="1:23" s="1" customFormat="1" x14ac:dyDescent="0.45">
      <c r="A3" s="1" t="s">
        <v>13</v>
      </c>
      <c r="B3" s="1" t="s">
        <v>14</v>
      </c>
      <c r="C3" s="1" t="s">
        <v>15</v>
      </c>
      <c r="D3" s="1" t="s">
        <v>16</v>
      </c>
      <c r="E3" s="1" t="s">
        <v>63</v>
      </c>
      <c r="F3" s="1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18</v>
      </c>
      <c r="L3" s="1" t="s">
        <v>69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70</v>
      </c>
      <c r="R3" s="1" t="s">
        <v>71</v>
      </c>
      <c r="S3" s="1" t="s">
        <v>72</v>
      </c>
      <c r="T3" s="1" t="s">
        <v>73</v>
      </c>
      <c r="U3" s="1" t="s">
        <v>74</v>
      </c>
      <c r="V3" s="1" t="s">
        <v>75</v>
      </c>
      <c r="W3" s="1" t="s">
        <v>76</v>
      </c>
    </row>
    <row r="4" spans="1:23" x14ac:dyDescent="0.45">
      <c r="A4" s="0" t="str">
        <f t="shared" ref="A4:A13" si="0">C4&amp;"_level_"&amp;D4</f>
        <v>s1_level_1</v>
      </c>
      <c r="B4" s="0" t="s">
        <v>0</v>
      </c>
      <c r="C4" s="0" t="s">
        <v>26</v>
      </c>
      <c r="D4" s="0">
        <v>1</v>
      </c>
      <c r="E4" s="0" t="s">
        <v>77</v>
      </c>
      <c r="F4" s="0" t="s">
        <v>78</v>
      </c>
      <c r="G4" s="0" t="s">
        <v>27</v>
      </c>
      <c r="H4" s="0">
        <v>0</v>
      </c>
      <c r="I4" s="0">
        <v>1</v>
      </c>
      <c r="J4" s="0" t="s">
        <v>79</v>
      </c>
      <c r="K4" s="0" t="s">
        <v>27</v>
      </c>
      <c r="L4" s="0">
        <v>100000</v>
      </c>
      <c r="Q4" s="0" t="s">
        <v>80</v>
      </c>
      <c r="R4" s="0" t="s">
        <v>27</v>
      </c>
      <c r="S4" s="0">
        <v>50000</v>
      </c>
    </row>
    <row r="5" spans="1:23" x14ac:dyDescent="0.45">
      <c r="A5" s="0" t="str">
        <f t="shared" si="0"/>
        <v>s1_level_2</v>
      </c>
      <c r="B5" s="0" t="s">
        <v>0</v>
      </c>
      <c r="C5" s="0" t="s">
        <v>26</v>
      </c>
      <c r="D5" s="0">
        <v>2</v>
      </c>
      <c r="E5" s="0" t="s">
        <v>77</v>
      </c>
      <c r="F5" s="0" t="s">
        <v>81</v>
      </c>
      <c r="G5" s="0" t="s">
        <v>27</v>
      </c>
      <c r="H5" s="0">
        <v>200</v>
      </c>
      <c r="I5" s="0">
        <v>1</v>
      </c>
      <c r="J5" s="0" t="s">
        <v>80</v>
      </c>
      <c r="K5" s="0" t="s">
        <v>27</v>
      </c>
      <c r="L5" s="0">
        <v>100000</v>
      </c>
      <c r="Q5" s="0" t="s">
        <v>80</v>
      </c>
      <c r="R5" s="0" t="s">
        <v>29</v>
      </c>
      <c r="S5" s="0">
        <v>200</v>
      </c>
    </row>
    <row r="6" spans="1:23" x14ac:dyDescent="0.45">
      <c r="A6" s="0" t="str">
        <f t="shared" si="0"/>
        <v>s1_level_3</v>
      </c>
      <c r="B6" s="0" t="s">
        <v>0</v>
      </c>
      <c r="C6" s="0" t="s">
        <v>26</v>
      </c>
      <c r="D6" s="0">
        <v>3</v>
      </c>
      <c r="E6" s="0" t="s">
        <v>82</v>
      </c>
      <c r="F6" s="0" t="s">
        <v>83</v>
      </c>
      <c r="G6" s="0" t="s">
        <v>27</v>
      </c>
      <c r="H6" s="0">
        <v>450</v>
      </c>
      <c r="I6" s="0">
        <v>2</v>
      </c>
      <c r="J6" s="0" t="s">
        <v>79</v>
      </c>
      <c r="K6" s="0" t="s">
        <v>27</v>
      </c>
      <c r="L6" s="0">
        <v>100000</v>
      </c>
      <c r="Q6" s="0" t="s">
        <v>80</v>
      </c>
      <c r="R6" s="0" t="s">
        <v>32</v>
      </c>
      <c r="S6" s="0">
        <v>50</v>
      </c>
    </row>
    <row r="7" spans="1:23" x14ac:dyDescent="0.45">
      <c r="A7" s="0" t="str">
        <f t="shared" si="0"/>
        <v>s1_level_4</v>
      </c>
      <c r="B7" s="0" t="s">
        <v>0</v>
      </c>
      <c r="C7" s="0" t="s">
        <v>26</v>
      </c>
      <c r="D7" s="0">
        <v>4</v>
      </c>
      <c r="E7" s="0" t="s">
        <v>82</v>
      </c>
      <c r="F7" s="0" t="s">
        <v>84</v>
      </c>
      <c r="G7" s="0" t="s">
        <v>27</v>
      </c>
      <c r="H7" s="0">
        <v>800</v>
      </c>
      <c r="I7" s="0">
        <v>2</v>
      </c>
      <c r="J7" s="0" t="s">
        <v>80</v>
      </c>
      <c r="K7" s="0" t="s">
        <v>30</v>
      </c>
      <c r="L7" s="0">
        <v>5</v>
      </c>
      <c r="Q7" s="0" t="s">
        <v>80</v>
      </c>
      <c r="R7" s="0" t="s">
        <v>27</v>
      </c>
      <c r="S7" s="0">
        <v>150000</v>
      </c>
    </row>
    <row r="8" spans="1:23" x14ac:dyDescent="0.45">
      <c r="A8" s="0" t="str">
        <f t="shared" si="0"/>
        <v>s1_level_5</v>
      </c>
      <c r="B8" s="0" t="s">
        <v>0</v>
      </c>
      <c r="C8" s="0" t="s">
        <v>26</v>
      </c>
      <c r="D8" s="0">
        <v>5</v>
      </c>
      <c r="E8" s="0" t="s">
        <v>85</v>
      </c>
      <c r="F8" s="0" t="s">
        <v>86</v>
      </c>
      <c r="G8" s="0" t="s">
        <v>27</v>
      </c>
      <c r="H8" s="0">
        <v>1250</v>
      </c>
      <c r="I8" s="0">
        <v>3</v>
      </c>
      <c r="J8" s="0" t="s">
        <v>79</v>
      </c>
      <c r="K8" s="0" t="s">
        <v>27</v>
      </c>
      <c r="L8" s="0">
        <v>100000</v>
      </c>
      <c r="Q8" s="0" t="s">
        <v>80</v>
      </c>
      <c r="R8" s="0" t="s">
        <v>34</v>
      </c>
      <c r="S8" s="0">
        <v>30</v>
      </c>
    </row>
    <row r="9" spans="1:23" x14ac:dyDescent="0.45">
      <c r="A9" s="0" t="str">
        <f t="shared" si="0"/>
        <v>s1_level_6</v>
      </c>
      <c r="B9" s="0" t="s">
        <v>0</v>
      </c>
      <c r="C9" s="0" t="s">
        <v>26</v>
      </c>
      <c r="D9" s="0">
        <v>6</v>
      </c>
      <c r="E9" s="0" t="s">
        <v>85</v>
      </c>
      <c r="F9" s="0" t="s">
        <v>87</v>
      </c>
      <c r="G9" s="0" t="s">
        <v>27</v>
      </c>
      <c r="H9" s="0">
        <v>1800</v>
      </c>
      <c r="I9" s="0">
        <v>3</v>
      </c>
      <c r="J9" s="0" t="s">
        <v>80</v>
      </c>
      <c r="K9" s="0" t="s">
        <v>35</v>
      </c>
      <c r="L9" s="0">
        <v>5</v>
      </c>
      <c r="Q9" s="0" t="s">
        <v>80</v>
      </c>
      <c r="R9" s="0" t="s">
        <v>29</v>
      </c>
      <c r="S9" s="0">
        <v>400</v>
      </c>
    </row>
    <row r="10" spans="1:23" x14ac:dyDescent="0.45">
      <c r="A10" s="0" t="str">
        <f t="shared" si="0"/>
        <v>s1_level_7</v>
      </c>
      <c r="B10" s="0" t="s">
        <v>0</v>
      </c>
      <c r="C10" s="0" t="s">
        <v>26</v>
      </c>
      <c r="D10" s="0">
        <v>7</v>
      </c>
      <c r="E10" s="0" t="s">
        <v>88</v>
      </c>
      <c r="F10" s="0" t="s">
        <v>89</v>
      </c>
      <c r="G10" s="0" t="s">
        <v>27</v>
      </c>
      <c r="H10" s="0">
        <v>2450</v>
      </c>
      <c r="I10" s="0">
        <v>4</v>
      </c>
      <c r="J10" s="0" t="s">
        <v>79</v>
      </c>
      <c r="K10" s="0" t="s">
        <v>27</v>
      </c>
      <c r="L10" s="0">
        <v>100000</v>
      </c>
      <c r="Q10" s="0" t="s">
        <v>80</v>
      </c>
      <c r="R10" s="0" t="s">
        <v>50</v>
      </c>
      <c r="S10" s="0">
        <v>30</v>
      </c>
    </row>
    <row r="11" spans="1:23" x14ac:dyDescent="0.45">
      <c r="A11" s="0" t="str">
        <f t="shared" si="0"/>
        <v>s1_level_8</v>
      </c>
      <c r="B11" s="0" t="s">
        <v>0</v>
      </c>
      <c r="C11" s="0" t="s">
        <v>26</v>
      </c>
      <c r="D11" s="0">
        <v>8</v>
      </c>
      <c r="E11" s="0" t="s">
        <v>88</v>
      </c>
      <c r="F11" s="0" t="s">
        <v>90</v>
      </c>
      <c r="G11" s="0" t="s">
        <v>27</v>
      </c>
      <c r="H11" s="0">
        <v>3200</v>
      </c>
      <c r="I11" s="0">
        <v>4</v>
      </c>
      <c r="J11" s="0" t="s">
        <v>80</v>
      </c>
      <c r="K11" s="0" t="s">
        <v>32</v>
      </c>
      <c r="L11" s="0">
        <v>150</v>
      </c>
      <c r="Q11" s="0" t="s">
        <v>80</v>
      </c>
      <c r="R11" s="0" t="s">
        <v>34</v>
      </c>
      <c r="S11" s="0">
        <v>60</v>
      </c>
    </row>
    <row r="12" spans="1:23" x14ac:dyDescent="0.45">
      <c r="A12" s="0" t="str">
        <f t="shared" si="0"/>
        <v>s1_level_9</v>
      </c>
      <c r="B12" s="0" t="s">
        <v>0</v>
      </c>
      <c r="C12" s="0" t="s">
        <v>26</v>
      </c>
      <c r="D12" s="0">
        <v>9</v>
      </c>
      <c r="E12" s="0" t="s">
        <v>91</v>
      </c>
      <c r="F12" s="0" t="s">
        <v>92</v>
      </c>
      <c r="G12" s="0" t="s">
        <v>27</v>
      </c>
      <c r="H12" s="0">
        <v>4050</v>
      </c>
      <c r="I12" s="0">
        <v>5</v>
      </c>
      <c r="J12" s="0" t="s">
        <v>79</v>
      </c>
      <c r="K12" s="0" t="s">
        <v>27</v>
      </c>
      <c r="L12" s="0">
        <v>100000</v>
      </c>
      <c r="Q12" s="0" t="s">
        <v>80</v>
      </c>
      <c r="R12" s="0" t="s">
        <v>49</v>
      </c>
      <c r="S12" s="0">
        <v>2</v>
      </c>
    </row>
    <row r="13" spans="1:23" x14ac:dyDescent="0.45">
      <c r="A13" s="0" t="str">
        <f t="shared" si="0"/>
        <v>s1_level_10</v>
      </c>
      <c r="B13" s="0" t="s">
        <v>0</v>
      </c>
      <c r="C13" s="0" t="s">
        <v>26</v>
      </c>
      <c r="D13" s="0">
        <v>10</v>
      </c>
      <c r="E13" s="0" t="s">
        <v>91</v>
      </c>
      <c r="F13" s="0" t="s">
        <v>93</v>
      </c>
      <c r="G13" s="0" t="s">
        <v>27</v>
      </c>
      <c r="H13" s="0">
        <v>5000</v>
      </c>
      <c r="I13" s="0">
        <v>5</v>
      </c>
      <c r="J13" s="0" t="s">
        <v>80</v>
      </c>
      <c r="K13" s="0" t="s">
        <v>52</v>
      </c>
      <c r="L13" s="0">
        <v>5</v>
      </c>
      <c r="Q13" s="0" t="s">
        <v>80</v>
      </c>
      <c r="R13" s="0" t="s">
        <v>53</v>
      </c>
      <c r="S13" s="0">
        <v>1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3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200-000000000000}" mc:Ignorable="x14ac xr xr2 xr3">
  <sheetPr>
    <outlinePr summaryBelow="1" summaryRight="1"/>
  </sheetPr>
  <dimension ref="A1:F7"/>
  <sheetViews>
    <sheetView workbookViewId="0"/>
    <sheetView workbookViewId="1"/>
  </sheetViews>
  <sheetFormatPr defaultRowHeight="17" x14ac:dyDescent="0.45"/>
  <cols>
    <col min="1" max="1" width="14.5" style="0" customWidth="1"/>
    <col min="2" max="2" width="14.832031" style="0" customWidth="1"/>
    <col min="3" max="3" width="11.332031" style="0" customWidth="1"/>
    <col min="4" max="5" width="17.75" style="0" customWidth="1"/>
    <col min="6" max="6" width="23.582031" style="0" customWidth="1"/>
  </cols>
  <sheetData>
    <row r="1" spans="1:6" x14ac:dyDescent="0.45">
      <c r="A1" s="0" t="s">
        <v>0</v>
      </c>
      <c r="B1" s="0" t="s">
        <v>0</v>
      </c>
      <c r="E1" s="0" t="s">
        <v>0</v>
      </c>
      <c r="F1" s="0" t="s">
        <v>0</v>
      </c>
    </row>
    <row r="2" spans="1:6" s="10" customFormat="1" x14ac:dyDescent="0.45">
      <c r="A2" s="10" t="s">
        <v>94</v>
      </c>
      <c r="C2" s="10" t="s">
        <v>95</v>
      </c>
      <c r="D2" s="10" t="s">
        <v>96</v>
      </c>
      <c r="E2" s="10" t="s">
        <v>97</v>
      </c>
      <c r="F2" s="10" t="s">
        <v>98</v>
      </c>
    </row>
    <row r="3" spans="1:6" s="1" customFormat="1" x14ac:dyDescent="0.45">
      <c r="A3" s="1" t="s">
        <v>99</v>
      </c>
      <c r="B3" s="1" t="s">
        <v>14</v>
      </c>
      <c r="E3" s="1" t="s">
        <v>100</v>
      </c>
      <c r="F3" s="1" t="s">
        <v>101</v>
      </c>
    </row>
    <row r="4" spans="1:6" x14ac:dyDescent="0.45">
      <c r="A4" s="10" t="str">
        <f>_xlfn.TEXTJOIN("_",TRUE,C4,D4)</f>
        <v>survival</v>
      </c>
      <c r="B4" s="10" t="s">
        <v>0</v>
      </c>
      <c r="C4" s="10"/>
      <c r="D4" s="10" t="s">
        <v>102</v>
      </c>
      <c r="E4" s="10">
        <v>1</v>
      </c>
      <c r="F4" s="10" t="str">
        <f>"s1_node_"&amp;D4&amp;"_name"</f>
        <v>s1_node_survival_name</v>
      </c>
    </row>
    <row r="5" spans="1:6" x14ac:dyDescent="0.45">
      <c r="A5" s="10" t="str">
        <f>_xlfn.TEXTJOIN("_",TRUE,C5,D5)</f>
        <v>economy</v>
      </c>
      <c r="B5" s="10" t="s">
        <v>0</v>
      </c>
      <c r="C5" s="10"/>
      <c r="D5" s="10" t="s">
        <v>103</v>
      </c>
      <c r="E5" s="10">
        <v>2</v>
      </c>
      <c r="F5" s="10" t="str">
        <f>"s1_node_"&amp;D5&amp;"_name"</f>
        <v>s1_node_economy_name</v>
      </c>
    </row>
    <row r="6" spans="1:6" x14ac:dyDescent="0.45">
      <c r="A6" s="10" t="str">
        <f>_xlfn.TEXTJOIN("_",TRUE,C6,D6)</f>
        <v>relic</v>
      </c>
      <c r="B6" s="10" t="s">
        <v>0</v>
      </c>
      <c r="C6" s="10"/>
      <c r="D6" s="10" t="s">
        <v>104</v>
      </c>
      <c r="E6" s="10">
        <v>3</v>
      </c>
      <c r="F6" s="10" t="str">
        <f>"s1_node_"&amp;D6&amp;"_name"</f>
        <v>s1_node_relic_name</v>
      </c>
    </row>
    <row r="7" spans="1:6" x14ac:dyDescent="0.45">
      <c r="A7" s="10" t="str">
        <f>_xlfn.TEXTJOIN("_",TRUE,C7,D7)</f>
        <v>battle</v>
      </c>
      <c r="B7" s="10" t="s">
        <v>0</v>
      </c>
      <c r="C7" s="10"/>
      <c r="D7" s="10" t="s">
        <v>105</v>
      </c>
      <c r="E7" s="10">
        <v>4</v>
      </c>
      <c r="F7" s="10" t="str">
        <f>"s1_node_"&amp;D7&amp;"_name"</f>
        <v>s1_node_battle_name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4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300-000000000000}" mc:Ignorable="x14ac xr xr2 xr3">
  <sheetPr>
    <outlinePr summaryBelow="1" summaryRight="1"/>
  </sheetPr>
  <dimension ref="A1:T719"/>
  <sheetViews>
    <sheetView workbookViewId="0"/>
    <sheetView workbookViewId="1"/>
  </sheetViews>
  <sheetFormatPr defaultRowHeight="17" x14ac:dyDescent="0.45"/>
  <cols>
    <col min="1" max="1" width="23.582031" style="0" customWidth="1"/>
    <col min="2" max="2" width="14.832031" style="0" customWidth="1"/>
    <col min="3" max="3" width="17.332031" style="0" customWidth="1"/>
    <col min="4" max="4" width="13.082031" style="0" customWidth="1"/>
    <col min="5" max="6" width="25.332031" style="0" customWidth="1"/>
    <col min="7" max="7" width="23" style="0" customWidth="1"/>
    <col min="8" max="8" width="16.332031" style="0" customWidth="1"/>
    <col min="9" max="9" width="22.332031" style="0" customWidth="1"/>
    <col min="10" max="11" width="20.332031" style="0" customWidth="1"/>
    <col min="12" max="12" width="15.75" style="0" customWidth="1"/>
    <col min="13" max="14" width="14.832031" style="0" customWidth="1"/>
    <col min="15" max="15" width="24.332031" style="0" customWidth="1"/>
    <col min="16" max="16" width="21.75" style="0" customWidth="1"/>
    <col min="17" max="19" width="20.332031" style="0" customWidth="1"/>
    <col min="20" max="20" width="27.082031" style="0" customWidth="1"/>
  </cols>
  <sheetData>
    <row r="1" spans="1:20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</row>
    <row r="2" spans="1:20" x14ac:dyDescent="0.45">
      <c r="A2" s="0" t="s">
        <v>1</v>
      </c>
      <c r="C2" s="0" t="s">
        <v>2</v>
      </c>
      <c r="D2" s="0" t="s">
        <v>106</v>
      </c>
      <c r="E2" s="0" t="s">
        <v>107</v>
      </c>
      <c r="F2" s="0" t="s">
        <v>107</v>
      </c>
      <c r="G2" s="0" t="s">
        <v>108</v>
      </c>
      <c r="H2" s="0" t="s">
        <v>109</v>
      </c>
      <c r="I2" s="0" t="s">
        <v>110</v>
      </c>
      <c r="J2" s="0" t="s">
        <v>111</v>
      </c>
      <c r="K2" s="10" t="s">
        <v>112</v>
      </c>
      <c r="L2" s="0" t="s">
        <v>113</v>
      </c>
      <c r="M2" s="0" t="s">
        <v>114</v>
      </c>
      <c r="N2" s="0" t="s">
        <v>115</v>
      </c>
      <c r="O2" s="0" t="s">
        <v>116</v>
      </c>
      <c r="P2" s="0" t="s">
        <v>117</v>
      </c>
      <c r="Q2" s="0" t="s">
        <v>118</v>
      </c>
      <c r="R2" s="0" t="s">
        <v>119</v>
      </c>
      <c r="S2" s="0" t="s">
        <v>120</v>
      </c>
      <c r="T2" s="0" t="s">
        <v>121</v>
      </c>
    </row>
    <row r="3" spans="1:20" s="1" customFormat="1" x14ac:dyDescent="0.45">
      <c r="A3" s="1" t="s">
        <v>13</v>
      </c>
      <c r="B3" s="1" t="s">
        <v>14</v>
      </c>
      <c r="C3" s="1" t="s">
        <v>15</v>
      </c>
      <c r="D3" s="1" t="s">
        <v>99</v>
      </c>
      <c r="E3" s="1" t="s">
        <v>122</v>
      </c>
      <c r="F3" s="1" t="s">
        <v>123</v>
      </c>
      <c r="G3" s="1" t="s">
        <v>124</v>
      </c>
      <c r="H3" s="1" t="s">
        <v>67</v>
      </c>
      <c r="I3" s="1" t="s">
        <v>126</v>
      </c>
      <c r="J3" s="1" t="s">
        <v>125</v>
      </c>
      <c r="L3" s="1" t="s">
        <v>127</v>
      </c>
      <c r="M3" s="1" t="s">
        <v>128</v>
      </c>
      <c r="N3" s="1" t="s">
        <v>129</v>
      </c>
      <c r="O3" s="1" t="s">
        <v>130</v>
      </c>
      <c r="P3" s="1" t="s">
        <v>131</v>
      </c>
      <c r="Q3" s="1" t="s">
        <v>132</v>
      </c>
      <c r="R3" s="1" t="s">
        <v>133</v>
      </c>
      <c r="S3" s="1" t="s">
        <v>134</v>
      </c>
      <c r="T3" s="1" t="s">
        <v>135</v>
      </c>
    </row>
    <row r="4" spans="1:20" x14ac:dyDescent="0.45">
      <c r="A4" s="10" t="str">
        <f>_xlfn.TEXTJOIN("_",TRUE,C4,"node",D4,M4,N4)</f>
        <v>s1_node_survival_1_4</v>
      </c>
      <c r="B4" s="10" t="s">
        <v>0</v>
      </c>
      <c r="C4" s="10" t="s">
        <v>26</v>
      </c>
      <c r="D4" s="10" t="s">
        <v>102</v>
      </c>
      <c r="E4" s="10" t="str">
        <f>"s1_node_"&amp;D4&amp;"_name"</f>
        <v>s1_node_survival_name</v>
      </c>
      <c r="F4" s="10" t="str">
        <f>"s1_node_"&amp;D4&amp;"_desc"</f>
        <v>s1_node_survival_desc</v>
      </c>
      <c r="G4" s="10" t="s">
        <v>136</v>
      </c>
      <c r="H4" s="10">
        <v>1</v>
      </c>
      <c r="I4" s="10" t="s">
        <v>27</v>
      </c>
      <c r="J4" s="10" t="s">
        <v>137</v>
      </c>
      <c r="K4" s="10">
        <v>80</v>
      </c>
      <c r="L4" s="10">
        <v>3</v>
      </c>
      <c r="M4" s="10">
        <v>1</v>
      </c>
      <c r="N4" s="10">
        <v>4</v>
      </c>
      <c r="O4" s="10"/>
      <c r="P4" s="10"/>
      <c r="Q4" s="10"/>
      <c r="R4" s="10"/>
      <c r="S4" s="10"/>
      <c r="T4" s="10" t="str">
        <f>_xlfn.TEXTJOIN("_",TRUE,C4,"node_eff",D4,M4,N4)</f>
        <v>s1_node_eff_survival_1_4</v>
      </c>
    </row>
    <row r="5" spans="1:20" x14ac:dyDescent="0.45">
      <c r="A5" s="10" t="str">
        <f>_xlfn.TEXTJOIN("_",TRUE,C5,"node",D5,M5,N5)</f>
        <v>s1_node_survival_2_2</v>
      </c>
      <c r="B5" s="10" t="s">
        <v>0</v>
      </c>
      <c r="C5" s="10" t="s">
        <v>26</v>
      </c>
      <c r="D5" s="10" t="s">
        <v>102</v>
      </c>
      <c r="E5" s="10" t="str">
        <f>"s1_node_"&amp;D5&amp;"_name"</f>
        <v>s1_node_survival_name</v>
      </c>
      <c r="F5" s="10" t="str">
        <f>"s1_node_"&amp;D5&amp;"_desc"</f>
        <v>s1_node_survival_desc</v>
      </c>
      <c r="G5" s="10" t="s">
        <v>136</v>
      </c>
      <c r="H5" s="10">
        <v>1</v>
      </c>
      <c r="I5" s="10" t="s">
        <v>27</v>
      </c>
      <c r="J5" s="10" t="s">
        <v>138</v>
      </c>
      <c r="K5" s="10">
        <v>120</v>
      </c>
      <c r="L5" s="10">
        <v>3</v>
      </c>
      <c r="M5" s="10">
        <v>2</v>
      </c>
      <c r="N5" s="10">
        <v>2</v>
      </c>
      <c r="O5" s="10" t="s">
        <v>139</v>
      </c>
      <c r="P5" s="10"/>
      <c r="Q5" s="10"/>
      <c r="R5" s="10"/>
      <c r="S5" s="10"/>
      <c r="T5" s="10" t="str">
        <f>_xlfn.TEXTJOIN("_",TRUE,C5,"node_eff",D5,M5,N5)</f>
        <v>s1_node_eff_survival_2_2</v>
      </c>
    </row>
    <row r="6" spans="1:20" x14ac:dyDescent="0.45">
      <c r="A6" s="10" t="str">
        <f>_xlfn.TEXTJOIN("_",TRUE,C6,"node",D6,M6,N6)</f>
        <v>s1_node_survival_2_6</v>
      </c>
      <c r="B6" s="10" t="s">
        <v>0</v>
      </c>
      <c r="C6" s="10" t="s">
        <v>26</v>
      </c>
      <c r="D6" s="10" t="s">
        <v>102</v>
      </c>
      <c r="E6" s="10" t="str">
        <f>"s1_node_"&amp;D6&amp;"_name"</f>
        <v>s1_node_survival_name</v>
      </c>
      <c r="F6" s="10" t="str">
        <f>"s1_node_"&amp;D6&amp;"_desc"</f>
        <v>s1_node_survival_desc</v>
      </c>
      <c r="G6" s="10" t="s">
        <v>140</v>
      </c>
      <c r="H6" s="10">
        <v>1</v>
      </c>
      <c r="I6" s="10" t="s">
        <v>27</v>
      </c>
      <c r="J6" s="10" t="s">
        <v>138</v>
      </c>
      <c r="K6" s="10">
        <v>120</v>
      </c>
      <c r="L6" s="10">
        <v>3</v>
      </c>
      <c r="M6" s="10">
        <v>2</v>
      </c>
      <c r="N6" s="10">
        <v>6</v>
      </c>
      <c r="O6" s="10" t="s">
        <v>139</v>
      </c>
      <c r="P6" s="10"/>
      <c r="Q6" s="10"/>
      <c r="R6" s="10"/>
      <c r="S6" s="10"/>
      <c r="T6" s="10" t="str">
        <f>_xlfn.TEXTJOIN("_",TRUE,C6,"node_eff",D6,M6,N6)</f>
        <v>s1_node_eff_survival_2_6</v>
      </c>
    </row>
    <row r="7" spans="1:20" x14ac:dyDescent="0.45">
      <c r="A7" s="10" t="str">
        <f>_xlfn.TEXTJOIN("_",TRUE,C7,"node",D7,M7,N7)</f>
        <v>s1_node_survival_3_2</v>
      </c>
      <c r="B7" s="10" t="s">
        <v>0</v>
      </c>
      <c r="C7" s="10" t="s">
        <v>26</v>
      </c>
      <c r="D7" s="10" t="s">
        <v>102</v>
      </c>
      <c r="E7" s="10" t="str">
        <f>"s1_node_"&amp;D7&amp;"_name"</f>
        <v>s1_node_survival_name</v>
      </c>
      <c r="F7" s="10" t="str">
        <f>"s1_node_"&amp;D7&amp;"_desc"</f>
        <v>s1_node_survival_desc</v>
      </c>
      <c r="G7" s="10" t="s">
        <v>140</v>
      </c>
      <c r="H7" s="10">
        <v>1</v>
      </c>
      <c r="I7" s="10" t="s">
        <v>27</v>
      </c>
      <c r="J7" s="10" t="s">
        <v>141</v>
      </c>
      <c r="K7" s="10">
        <v>150</v>
      </c>
      <c r="L7" s="10">
        <v>3</v>
      </c>
      <c r="M7" s="10">
        <v>3</v>
      </c>
      <c r="N7" s="10">
        <v>2</v>
      </c>
      <c r="O7" s="10" t="s">
        <v>142</v>
      </c>
      <c r="P7" s="10"/>
      <c r="Q7" s="10"/>
      <c r="R7" s="10"/>
      <c r="S7" s="10"/>
      <c r="T7" s="10" t="str">
        <f>_xlfn.TEXTJOIN("_",TRUE,C7,"node_eff",D7,M7,N7)</f>
        <v>s1_node_eff_survival_3_2</v>
      </c>
    </row>
    <row r="8" spans="1:20" x14ac:dyDescent="0.45">
      <c r="A8" s="10" t="str">
        <f>_xlfn.TEXTJOIN("_",TRUE,C8,"node",D8,M8,N8)</f>
        <v>s1_node_survival_3_6</v>
      </c>
      <c r="B8" s="10" t="s">
        <v>0</v>
      </c>
      <c r="C8" s="10" t="s">
        <v>26</v>
      </c>
      <c r="D8" s="10" t="s">
        <v>102</v>
      </c>
      <c r="E8" s="10" t="str">
        <f>"s1_node_"&amp;D8&amp;"_name"</f>
        <v>s1_node_survival_name</v>
      </c>
      <c r="F8" s="10" t="str">
        <f>"s1_node_"&amp;D8&amp;"_desc"</f>
        <v>s1_node_survival_desc</v>
      </c>
      <c r="G8" s="10" t="s">
        <v>136</v>
      </c>
      <c r="H8" s="10">
        <v>1</v>
      </c>
      <c r="I8" s="10" t="s">
        <v>27</v>
      </c>
      <c r="J8" s="10" t="s">
        <v>141</v>
      </c>
      <c r="K8" s="10">
        <v>150</v>
      </c>
      <c r="L8" s="10">
        <v>3</v>
      </c>
      <c r="M8" s="10">
        <v>3</v>
      </c>
      <c r="N8" s="10">
        <v>6</v>
      </c>
      <c r="O8" s="10" t="s">
        <v>143</v>
      </c>
      <c r="P8" s="10"/>
      <c r="Q8" s="10"/>
      <c r="R8" s="10"/>
      <c r="S8" s="10"/>
      <c r="T8" s="10" t="str">
        <f>_xlfn.TEXTJOIN("_",TRUE,C8,"node_eff",D8,M8,N8)</f>
        <v>s1_node_eff_survival_3_6</v>
      </c>
    </row>
    <row r="9" spans="1:20" x14ac:dyDescent="0.45">
      <c r="A9" s="10" t="str">
        <f>_xlfn.TEXTJOIN("_",TRUE,C9,"node",D9,M9,N9)</f>
        <v>s1_node_survival_4_2</v>
      </c>
      <c r="B9" s="10" t="s">
        <v>0</v>
      </c>
      <c r="C9" s="10" t="s">
        <v>26</v>
      </c>
      <c r="D9" s="10" t="s">
        <v>102</v>
      </c>
      <c r="E9" s="10" t="str">
        <f>"s1_node_"&amp;D9&amp;"_name"</f>
        <v>s1_node_survival_name</v>
      </c>
      <c r="F9" s="10" t="str">
        <f>"s1_node_"&amp;D9&amp;"_desc"</f>
        <v>s1_node_survival_desc</v>
      </c>
      <c r="G9" s="10" t="s">
        <v>136</v>
      </c>
      <c r="H9" s="10">
        <v>1</v>
      </c>
      <c r="I9" s="10" t="s">
        <v>27</v>
      </c>
      <c r="J9" s="10" t="s">
        <v>144</v>
      </c>
      <c r="K9" s="10">
        <v>180</v>
      </c>
      <c r="L9" s="10">
        <v>3</v>
      </c>
      <c r="M9" s="10">
        <v>4</v>
      </c>
      <c r="N9" s="10">
        <v>2</v>
      </c>
      <c r="O9" s="10" t="s">
        <v>145</v>
      </c>
      <c r="P9" s="10"/>
      <c r="Q9" s="10"/>
      <c r="R9" s="10"/>
      <c r="S9" s="10"/>
      <c r="T9" s="10" t="str">
        <f>_xlfn.TEXTJOIN("_",TRUE,C9,"node_eff",D9,M9,N9)</f>
        <v>s1_node_eff_survival_4_2</v>
      </c>
    </row>
    <row r="10" spans="1:20" x14ac:dyDescent="0.45">
      <c r="A10" s="10" t="str">
        <f>_xlfn.TEXTJOIN("_",TRUE,C10,"node",D10,M10,N10)</f>
        <v>s1_node_survival_4_6</v>
      </c>
      <c r="B10" s="10" t="s">
        <v>0</v>
      </c>
      <c r="C10" s="10" t="s">
        <v>26</v>
      </c>
      <c r="D10" s="10" t="s">
        <v>102</v>
      </c>
      <c r="E10" s="10" t="str">
        <f>"s1_node_"&amp;D10&amp;"_name"</f>
        <v>s1_node_survival_name</v>
      </c>
      <c r="F10" s="10" t="str">
        <f>"s1_node_"&amp;D10&amp;"_desc"</f>
        <v>s1_node_survival_desc</v>
      </c>
      <c r="G10" s="10" t="s">
        <v>136</v>
      </c>
      <c r="H10" s="10">
        <v>1</v>
      </c>
      <c r="I10" s="10" t="s">
        <v>27</v>
      </c>
      <c r="J10" s="10" t="s">
        <v>144</v>
      </c>
      <c r="K10" s="10">
        <v>180</v>
      </c>
      <c r="L10" s="10">
        <v>3</v>
      </c>
      <c r="M10" s="10">
        <v>4</v>
      </c>
      <c r="N10" s="10">
        <v>6</v>
      </c>
      <c r="O10" s="10" t="s">
        <v>146</v>
      </c>
      <c r="P10" s="10"/>
      <c r="Q10" s="10"/>
      <c r="R10" s="10"/>
      <c r="S10" s="10"/>
      <c r="T10" s="10" t="str">
        <f>_xlfn.TEXTJOIN("_",TRUE,C10,"node_eff",D10,M10,N10)</f>
        <v>s1_node_eff_survival_4_6</v>
      </c>
    </row>
    <row r="11" spans="1:20" x14ac:dyDescent="0.45">
      <c r="A11" s="10" t="str">
        <f>_xlfn.TEXTJOIN("_",TRUE,C11,"node",D11,M11,N11)</f>
        <v>s1_node_survival_5_2</v>
      </c>
      <c r="B11" s="10" t="s">
        <v>0</v>
      </c>
      <c r="C11" s="10" t="s">
        <v>26</v>
      </c>
      <c r="D11" s="10" t="s">
        <v>102</v>
      </c>
      <c r="E11" s="10" t="str">
        <f>"s1_node_"&amp;D11&amp;"_name"</f>
        <v>s1_node_survival_name</v>
      </c>
      <c r="F11" s="10" t="str">
        <f>"s1_node_"&amp;D11&amp;"_desc"</f>
        <v>s1_node_survival_desc</v>
      </c>
      <c r="G11" s="10" t="s">
        <v>147</v>
      </c>
      <c r="H11" s="10">
        <v>1</v>
      </c>
      <c r="I11" s="10" t="s">
        <v>27</v>
      </c>
      <c r="J11" s="10" t="s">
        <v>148</v>
      </c>
      <c r="K11" s="10">
        <v>220</v>
      </c>
      <c r="L11" s="10">
        <v>3</v>
      </c>
      <c r="M11" s="10">
        <v>5</v>
      </c>
      <c r="N11" s="10">
        <v>2</v>
      </c>
      <c r="O11" s="10" t="s">
        <v>149</v>
      </c>
      <c r="P11" s="10"/>
      <c r="Q11" s="10"/>
      <c r="R11" s="10"/>
      <c r="S11" s="10"/>
      <c r="T11" s="10" t="str">
        <f>_xlfn.TEXTJOIN("_",TRUE,C11,"node_eff",D11,M11,N11)</f>
        <v>s1_node_eff_survival_5_2</v>
      </c>
    </row>
    <row r="12" spans="1:20" x14ac:dyDescent="0.45">
      <c r="A12" s="10" t="str">
        <f>_xlfn.TEXTJOIN("_",TRUE,C12,"node",D12,M12,N12)</f>
        <v>s1_node_survival_5_6</v>
      </c>
      <c r="B12" s="10" t="s">
        <v>0</v>
      </c>
      <c r="C12" s="10" t="s">
        <v>26</v>
      </c>
      <c r="D12" s="10" t="s">
        <v>102</v>
      </c>
      <c r="E12" s="10" t="str">
        <f>"s1_node_"&amp;D12&amp;"_name"</f>
        <v>s1_node_survival_name</v>
      </c>
      <c r="F12" s="10" t="str">
        <f>"s1_node_"&amp;D12&amp;"_desc"</f>
        <v>s1_node_survival_desc</v>
      </c>
      <c r="G12" s="10" t="s">
        <v>147</v>
      </c>
      <c r="H12" s="10">
        <v>1</v>
      </c>
      <c r="I12" s="10" t="s">
        <v>27</v>
      </c>
      <c r="J12" s="10" t="s">
        <v>148</v>
      </c>
      <c r="K12" s="10">
        <v>220</v>
      </c>
      <c r="L12" s="10">
        <v>3</v>
      </c>
      <c r="M12" s="10">
        <v>5</v>
      </c>
      <c r="N12" s="10">
        <v>6</v>
      </c>
      <c r="O12" s="10" t="s">
        <v>150</v>
      </c>
      <c r="P12" s="10"/>
      <c r="Q12" s="10"/>
      <c r="R12" s="10"/>
      <c r="S12" s="10"/>
      <c r="T12" s="10" t="str">
        <f>_xlfn.TEXTJOIN("_",TRUE,C12,"node_eff",D12,M12,N12)</f>
        <v>s1_node_eff_survival_5_6</v>
      </c>
    </row>
    <row r="13" spans="1:20" x14ac:dyDescent="0.45">
      <c r="A13" s="10" t="str">
        <f>_xlfn.TEXTJOIN("_",TRUE,C13,"node",D13,M13,N13)</f>
        <v>s1_node_survival_6_4</v>
      </c>
      <c r="B13" s="10" t="s">
        <v>0</v>
      </c>
      <c r="C13" s="10" t="s">
        <v>26</v>
      </c>
      <c r="D13" s="10" t="s">
        <v>102</v>
      </c>
      <c r="E13" s="10" t="str">
        <f>"s1_node_"&amp;D13&amp;"_name"</f>
        <v>s1_node_survival_name</v>
      </c>
      <c r="F13" s="10" t="str">
        <f>"s1_node_"&amp;D13&amp;"_desc"</f>
        <v>s1_node_survival_desc</v>
      </c>
      <c r="G13" s="10" t="s">
        <v>136</v>
      </c>
      <c r="H13" s="10">
        <v>1</v>
      </c>
      <c r="I13" s="10" t="s">
        <v>27</v>
      </c>
      <c r="J13" s="10" t="s">
        <v>151</v>
      </c>
      <c r="K13" s="10">
        <v>250</v>
      </c>
      <c r="L13" s="10">
        <v>3</v>
      </c>
      <c r="M13" s="10">
        <v>6</v>
      </c>
      <c r="N13" s="10">
        <v>4</v>
      </c>
      <c r="O13" s="10" t="s">
        <v>152</v>
      </c>
      <c r="P13" s="10" t="s">
        <v>153</v>
      </c>
      <c r="Q13" s="10"/>
      <c r="R13" s="10"/>
      <c r="S13" s="10"/>
      <c r="T13" s="10" t="str">
        <f>_xlfn.TEXTJOIN("_",TRUE,C13,"node_eff",D13,M13,N13)</f>
        <v>s1_node_eff_survival_6_4</v>
      </c>
    </row>
    <row r="14" spans="1:20" x14ac:dyDescent="0.45">
      <c r="A14" s="10" t="str">
        <f>_xlfn.TEXTJOIN("_",TRUE,C14,"node",D14,M14,N14)</f>
        <v>s1_node_survival_7_2</v>
      </c>
      <c r="B14" s="10" t="s">
        <v>0</v>
      </c>
      <c r="C14" s="10" t="s">
        <v>26</v>
      </c>
      <c r="D14" s="10" t="s">
        <v>102</v>
      </c>
      <c r="E14" s="10" t="str">
        <f>"s1_node_"&amp;D14&amp;"_name"</f>
        <v>s1_node_survival_name</v>
      </c>
      <c r="F14" s="10" t="str">
        <f>"s1_node_"&amp;D14&amp;"_desc"</f>
        <v>s1_node_survival_desc</v>
      </c>
      <c r="G14" s="10" t="s">
        <v>136</v>
      </c>
      <c r="H14" s="10">
        <v>1</v>
      </c>
      <c r="I14" s="10" t="s">
        <v>27</v>
      </c>
      <c r="J14" s="10" t="s">
        <v>154</v>
      </c>
      <c r="K14" s="10">
        <v>290</v>
      </c>
      <c r="L14" s="10">
        <v>3</v>
      </c>
      <c r="M14" s="10">
        <v>7</v>
      </c>
      <c r="N14" s="10">
        <v>2</v>
      </c>
      <c r="O14" s="10" t="s">
        <v>155</v>
      </c>
      <c r="P14" s="10"/>
      <c r="Q14" s="10"/>
      <c r="R14" s="10"/>
      <c r="S14" s="10"/>
      <c r="T14" s="10" t="str">
        <f>_xlfn.TEXTJOIN("_",TRUE,C14,"node_eff",D14,M14,N14)</f>
        <v>s1_node_eff_survival_7_2</v>
      </c>
    </row>
    <row r="15" spans="1:20" x14ac:dyDescent="0.45">
      <c r="A15" s="10" t="str">
        <f>_xlfn.TEXTJOIN("_",TRUE,C15,"node",D15,M15,N15)</f>
        <v>s1_node_survival_7_6</v>
      </c>
      <c r="B15" s="10" t="s">
        <v>0</v>
      </c>
      <c r="C15" s="10" t="s">
        <v>26</v>
      </c>
      <c r="D15" s="10" t="s">
        <v>102</v>
      </c>
      <c r="E15" s="10" t="str">
        <f>"s1_node_"&amp;D15&amp;"_name"</f>
        <v>s1_node_survival_name</v>
      </c>
      <c r="F15" s="10" t="str">
        <f>"s1_node_"&amp;D15&amp;"_desc"</f>
        <v>s1_node_survival_desc</v>
      </c>
      <c r="G15" s="10" t="s">
        <v>140</v>
      </c>
      <c r="H15" s="10">
        <v>1</v>
      </c>
      <c r="I15" s="10" t="s">
        <v>27</v>
      </c>
      <c r="J15" s="10" t="s">
        <v>154</v>
      </c>
      <c r="K15" s="10">
        <v>290</v>
      </c>
      <c r="L15" s="10">
        <v>3</v>
      </c>
      <c r="M15" s="10">
        <v>7</v>
      </c>
      <c r="N15" s="10">
        <v>6</v>
      </c>
      <c r="O15" s="10" t="s">
        <v>155</v>
      </c>
      <c r="P15" s="10"/>
      <c r="Q15" s="10"/>
      <c r="R15" s="10"/>
      <c r="S15" s="10"/>
      <c r="T15" s="10" t="str">
        <f>_xlfn.TEXTJOIN("_",TRUE,C15,"node_eff",D15,M15,N15)</f>
        <v>s1_node_eff_survival_7_6</v>
      </c>
    </row>
    <row r="16" spans="1:20" x14ac:dyDescent="0.45">
      <c r="A16" s="10" t="str">
        <f>_xlfn.TEXTJOIN("_",TRUE,C16,"node",D16,M16,N16)</f>
        <v>s1_node_survival_8_2</v>
      </c>
      <c r="B16" s="10" t="s">
        <v>0</v>
      </c>
      <c r="C16" s="10" t="s">
        <v>26</v>
      </c>
      <c r="D16" s="10" t="s">
        <v>102</v>
      </c>
      <c r="E16" s="10" t="str">
        <f>"s1_node_"&amp;D16&amp;"_name"</f>
        <v>s1_node_survival_name</v>
      </c>
      <c r="F16" s="10" t="str">
        <f>"s1_node_"&amp;D16&amp;"_desc"</f>
        <v>s1_node_survival_desc</v>
      </c>
      <c r="G16" s="10" t="s">
        <v>140</v>
      </c>
      <c r="H16" s="10">
        <v>1</v>
      </c>
      <c r="I16" s="10" t="s">
        <v>27</v>
      </c>
      <c r="J16" s="10" t="s">
        <v>156</v>
      </c>
      <c r="K16" s="10">
        <v>320</v>
      </c>
      <c r="L16" s="10">
        <v>3</v>
      </c>
      <c r="M16" s="10">
        <v>8</v>
      </c>
      <c r="N16" s="10">
        <v>2</v>
      </c>
      <c r="O16" s="10" t="s">
        <v>157</v>
      </c>
      <c r="P16" s="10"/>
      <c r="Q16" s="10"/>
      <c r="R16" s="10"/>
      <c r="S16" s="10"/>
      <c r="T16" s="10" t="str">
        <f>_xlfn.TEXTJOIN("_",TRUE,C16,"node_eff",D16,M16,N16)</f>
        <v>s1_node_eff_survival_8_2</v>
      </c>
    </row>
    <row r="17" spans="1:20" x14ac:dyDescent="0.45">
      <c r="A17" s="10" t="str">
        <f>_xlfn.TEXTJOIN("_",TRUE,C17,"node",D17,M17,N17)</f>
        <v>s1_node_survival_8_6</v>
      </c>
      <c r="B17" s="10" t="s">
        <v>0</v>
      </c>
      <c r="C17" s="10" t="s">
        <v>26</v>
      </c>
      <c r="D17" s="10" t="s">
        <v>102</v>
      </c>
      <c r="E17" s="10" t="str">
        <f>"s1_node_"&amp;D17&amp;"_name"</f>
        <v>s1_node_survival_name</v>
      </c>
      <c r="F17" s="10" t="str">
        <f>"s1_node_"&amp;D17&amp;"_desc"</f>
        <v>s1_node_survival_desc</v>
      </c>
      <c r="G17" s="10" t="s">
        <v>136</v>
      </c>
      <c r="H17" s="10">
        <v>1</v>
      </c>
      <c r="I17" s="10" t="s">
        <v>27</v>
      </c>
      <c r="J17" s="10" t="s">
        <v>156</v>
      </c>
      <c r="K17" s="10">
        <v>320</v>
      </c>
      <c r="L17" s="10">
        <v>3</v>
      </c>
      <c r="M17" s="10">
        <v>8</v>
      </c>
      <c r="N17" s="10">
        <v>6</v>
      </c>
      <c r="O17" s="10" t="s">
        <v>158</v>
      </c>
      <c r="P17" s="10"/>
      <c r="Q17" s="10"/>
      <c r="R17" s="10"/>
      <c r="S17" s="10"/>
      <c r="T17" s="10" t="str">
        <f>_xlfn.TEXTJOIN("_",TRUE,C17,"node_eff",D17,M17,N17)</f>
        <v>s1_node_eff_survival_8_6</v>
      </c>
    </row>
    <row r="18" spans="1:20" x14ac:dyDescent="0.45">
      <c r="A18" s="10" t="str">
        <f>_xlfn.TEXTJOIN("_",TRUE,C18,"node",D18,M18,N18)</f>
        <v>s1_node_survival_9_2</v>
      </c>
      <c r="B18" s="10" t="s">
        <v>0</v>
      </c>
      <c r="C18" s="10" t="s">
        <v>26</v>
      </c>
      <c r="D18" s="10" t="s">
        <v>102</v>
      </c>
      <c r="E18" s="10" t="str">
        <f>"s1_node_"&amp;D18&amp;"_name"</f>
        <v>s1_node_survival_name</v>
      </c>
      <c r="F18" s="10" t="str">
        <f>"s1_node_"&amp;D18&amp;"_desc"</f>
        <v>s1_node_survival_desc</v>
      </c>
      <c r="G18" s="10" t="s">
        <v>136</v>
      </c>
      <c r="H18" s="10">
        <v>1</v>
      </c>
      <c r="I18" s="10" t="s">
        <v>27</v>
      </c>
      <c r="J18" s="10" t="s">
        <v>159</v>
      </c>
      <c r="K18" s="10">
        <v>360</v>
      </c>
      <c r="L18" s="10">
        <v>3</v>
      </c>
      <c r="M18" s="10">
        <v>9</v>
      </c>
      <c r="N18" s="10">
        <v>2</v>
      </c>
      <c r="O18" s="10" t="s">
        <v>160</v>
      </c>
      <c r="P18" s="10"/>
      <c r="Q18" s="10"/>
      <c r="R18" s="10"/>
      <c r="S18" s="10"/>
      <c r="T18" s="10" t="str">
        <f>_xlfn.TEXTJOIN("_",TRUE,C18,"node_eff",D18,M18,N18)</f>
        <v>s1_node_eff_survival_9_2</v>
      </c>
    </row>
    <row r="19" spans="1:20" x14ac:dyDescent="0.45">
      <c r="A19" s="10" t="str">
        <f>_xlfn.TEXTJOIN("_",TRUE,C19,"node",D19,M19,N19)</f>
        <v>s1_node_survival_9_6</v>
      </c>
      <c r="B19" s="10" t="s">
        <v>0</v>
      </c>
      <c r="C19" s="10" t="s">
        <v>26</v>
      </c>
      <c r="D19" s="10" t="s">
        <v>102</v>
      </c>
      <c r="E19" s="10" t="str">
        <f>"s1_node_"&amp;D19&amp;"_name"</f>
        <v>s1_node_survival_name</v>
      </c>
      <c r="F19" s="10" t="str">
        <f>"s1_node_"&amp;D19&amp;"_desc"</f>
        <v>s1_node_survival_desc</v>
      </c>
      <c r="G19" s="10" t="s">
        <v>136</v>
      </c>
      <c r="H19" s="10">
        <v>1</v>
      </c>
      <c r="I19" s="10" t="s">
        <v>27</v>
      </c>
      <c r="J19" s="10" t="s">
        <v>159</v>
      </c>
      <c r="K19" s="10">
        <v>360</v>
      </c>
      <c r="L19" s="10">
        <v>3</v>
      </c>
      <c r="M19" s="10">
        <v>9</v>
      </c>
      <c r="N19" s="10">
        <v>6</v>
      </c>
      <c r="O19" s="10" t="s">
        <v>161</v>
      </c>
      <c r="P19" s="10"/>
      <c r="Q19" s="10"/>
      <c r="R19" s="10"/>
      <c r="S19" s="10"/>
      <c r="T19" s="10" t="str">
        <f>_xlfn.TEXTJOIN("_",TRUE,C19,"node_eff",D19,M19,N19)</f>
        <v>s1_node_eff_survival_9_6</v>
      </c>
    </row>
    <row r="20" spans="1:20" x14ac:dyDescent="0.45">
      <c r="A20" s="10" t="str">
        <f>_xlfn.TEXTJOIN("_",TRUE,C20,"node",D20,M20,N20)</f>
        <v>s1_node_survival_10_2</v>
      </c>
      <c r="B20" s="10" t="s">
        <v>0</v>
      </c>
      <c r="C20" s="10" t="s">
        <v>26</v>
      </c>
      <c r="D20" s="10" t="s">
        <v>102</v>
      </c>
      <c r="E20" s="10" t="str">
        <f>"s1_node_"&amp;D20&amp;"_name"</f>
        <v>s1_node_survival_name</v>
      </c>
      <c r="F20" s="10" t="str">
        <f>"s1_node_"&amp;D20&amp;"_desc"</f>
        <v>s1_node_survival_desc</v>
      </c>
      <c r="G20" s="10" t="s">
        <v>147</v>
      </c>
      <c r="H20" s="10">
        <v>1</v>
      </c>
      <c r="I20" s="10" t="s">
        <v>27</v>
      </c>
      <c r="J20" s="10" t="s">
        <v>162</v>
      </c>
      <c r="K20" s="10">
        <v>390</v>
      </c>
      <c r="L20" s="10">
        <v>3</v>
      </c>
      <c r="M20" s="10">
        <v>10</v>
      </c>
      <c r="N20" s="10">
        <v>2</v>
      </c>
      <c r="O20" s="10" t="s">
        <v>163</v>
      </c>
      <c r="P20" s="10"/>
      <c r="Q20" s="10"/>
      <c r="R20" s="10"/>
      <c r="S20" s="10"/>
      <c r="T20" s="10" t="str">
        <f>_xlfn.TEXTJOIN("_",TRUE,C20,"node_eff",D20,M20,N20)</f>
        <v>s1_node_eff_survival_10_2</v>
      </c>
    </row>
    <row r="21" spans="1:20" x14ac:dyDescent="0.45">
      <c r="A21" s="10" t="str">
        <f>_xlfn.TEXTJOIN("_",TRUE,C21,"node",D21,M21,N21)</f>
        <v>s1_node_survival_10_6</v>
      </c>
      <c r="B21" s="10" t="s">
        <v>0</v>
      </c>
      <c r="C21" s="10" t="s">
        <v>26</v>
      </c>
      <c r="D21" s="10" t="s">
        <v>102</v>
      </c>
      <c r="E21" s="10" t="str">
        <f>"s1_node_"&amp;D21&amp;"_name"</f>
        <v>s1_node_survival_name</v>
      </c>
      <c r="F21" s="10" t="str">
        <f>"s1_node_"&amp;D21&amp;"_desc"</f>
        <v>s1_node_survival_desc</v>
      </c>
      <c r="G21" s="10" t="s">
        <v>147</v>
      </c>
      <c r="H21" s="10">
        <v>1</v>
      </c>
      <c r="I21" s="10" t="s">
        <v>27</v>
      </c>
      <c r="J21" s="10" t="s">
        <v>162</v>
      </c>
      <c r="K21" s="10">
        <v>390</v>
      </c>
      <c r="L21" s="10">
        <v>3</v>
      </c>
      <c r="M21" s="10">
        <v>10</v>
      </c>
      <c r="N21" s="10">
        <v>6</v>
      </c>
      <c r="O21" s="10" t="s">
        <v>164</v>
      </c>
      <c r="P21" s="10"/>
      <c r="Q21" s="10"/>
      <c r="R21" s="10"/>
      <c r="S21" s="10"/>
      <c r="T21" s="10" t="str">
        <f>_xlfn.TEXTJOIN("_",TRUE,C21,"node_eff",D21,M21,N21)</f>
        <v>s1_node_eff_survival_10_6</v>
      </c>
    </row>
    <row r="22" spans="1:20" x14ac:dyDescent="0.45">
      <c r="A22" s="10" t="str">
        <f>_xlfn.TEXTJOIN("_",TRUE,C22,"node",D22,M22,N22)</f>
        <v>s1_node_survival_11_4</v>
      </c>
      <c r="B22" s="10" t="s">
        <v>0</v>
      </c>
      <c r="C22" s="10" t="s">
        <v>26</v>
      </c>
      <c r="D22" s="10" t="s">
        <v>102</v>
      </c>
      <c r="E22" s="10" t="str">
        <f>"s1_node_"&amp;D22&amp;"_name"</f>
        <v>s1_node_survival_name</v>
      </c>
      <c r="F22" s="10" t="str">
        <f>"s1_node_"&amp;D22&amp;"_desc"</f>
        <v>s1_node_survival_desc</v>
      </c>
      <c r="G22" s="10" t="s">
        <v>136</v>
      </c>
      <c r="H22" s="10">
        <v>1</v>
      </c>
      <c r="I22" s="10" t="s">
        <v>27</v>
      </c>
      <c r="J22" s="10" t="s">
        <v>165</v>
      </c>
      <c r="K22" s="10">
        <v>430</v>
      </c>
      <c r="L22" s="10">
        <v>3</v>
      </c>
      <c r="M22" s="10">
        <v>11</v>
      </c>
      <c r="N22" s="10">
        <v>4</v>
      </c>
      <c r="O22" s="10" t="s">
        <v>166</v>
      </c>
      <c r="P22" s="10" t="s">
        <v>167</v>
      </c>
      <c r="Q22" s="10"/>
      <c r="R22" s="10"/>
      <c r="S22" s="10"/>
      <c r="T22" s="10" t="str">
        <f>_xlfn.TEXTJOIN("_",TRUE,C22,"node_eff",D22,M22,N22)</f>
        <v>s1_node_eff_survival_11_4</v>
      </c>
    </row>
    <row r="23" spans="1:20" x14ac:dyDescent="0.45">
      <c r="A23" s="10" t="str">
        <f>_xlfn.TEXTJOIN("_",TRUE,C23,"node",D23,M23,N23)</f>
        <v>s1_node_survival_12_2</v>
      </c>
      <c r="B23" s="10" t="s">
        <v>0</v>
      </c>
      <c r="C23" s="10" t="s">
        <v>26</v>
      </c>
      <c r="D23" s="10" t="s">
        <v>102</v>
      </c>
      <c r="E23" s="10" t="str">
        <f>"s1_node_"&amp;D23&amp;"_name"</f>
        <v>s1_node_survival_name</v>
      </c>
      <c r="F23" s="10" t="str">
        <f>"s1_node_"&amp;D23&amp;"_desc"</f>
        <v>s1_node_survival_desc</v>
      </c>
      <c r="G23" s="10" t="s">
        <v>136</v>
      </c>
      <c r="H23" s="10">
        <v>1</v>
      </c>
      <c r="I23" s="10" t="s">
        <v>27</v>
      </c>
      <c r="J23" s="10" t="s">
        <v>168</v>
      </c>
      <c r="K23" s="10">
        <v>460</v>
      </c>
      <c r="L23" s="10">
        <v>3</v>
      </c>
      <c r="M23" s="10">
        <v>12</v>
      </c>
      <c r="N23" s="10">
        <v>2</v>
      </c>
      <c r="O23" s="10" t="s">
        <v>169</v>
      </c>
      <c r="P23" s="10"/>
      <c r="Q23" s="10"/>
      <c r="R23" s="10"/>
      <c r="S23" s="10"/>
      <c r="T23" s="10" t="str">
        <f>_xlfn.TEXTJOIN("_",TRUE,C23,"node_eff",D23,M23,N23)</f>
        <v>s1_node_eff_survival_12_2</v>
      </c>
    </row>
    <row r="24" spans="1:20" x14ac:dyDescent="0.45">
      <c r="A24" s="10" t="str">
        <f>_xlfn.TEXTJOIN("_",TRUE,C24,"node",D24,M24,N24)</f>
        <v>s1_node_survival_12_6</v>
      </c>
      <c r="B24" s="10" t="s">
        <v>0</v>
      </c>
      <c r="C24" s="10" t="s">
        <v>26</v>
      </c>
      <c r="D24" s="10" t="s">
        <v>102</v>
      </c>
      <c r="E24" s="10" t="str">
        <f>"s1_node_"&amp;D24&amp;"_name"</f>
        <v>s1_node_survival_name</v>
      </c>
      <c r="F24" s="10" t="str">
        <f>"s1_node_"&amp;D24&amp;"_desc"</f>
        <v>s1_node_survival_desc</v>
      </c>
      <c r="G24" s="10" t="s">
        <v>140</v>
      </c>
      <c r="H24" s="10">
        <v>1</v>
      </c>
      <c r="I24" s="10" t="s">
        <v>27</v>
      </c>
      <c r="J24" s="10" t="s">
        <v>168</v>
      </c>
      <c r="K24" s="10">
        <v>460</v>
      </c>
      <c r="L24" s="10">
        <v>3</v>
      </c>
      <c r="M24" s="10">
        <v>12</v>
      </c>
      <c r="N24" s="10">
        <v>6</v>
      </c>
      <c r="O24" s="10" t="s">
        <v>169</v>
      </c>
      <c r="P24" s="10"/>
      <c r="Q24" s="10"/>
      <c r="R24" s="10"/>
      <c r="S24" s="10"/>
      <c r="T24" s="10" t="str">
        <f>_xlfn.TEXTJOIN("_",TRUE,C24,"node_eff",D24,M24,N24)</f>
        <v>s1_node_eff_survival_12_6</v>
      </c>
    </row>
    <row r="25" spans="1:20" x14ac:dyDescent="0.45">
      <c r="A25" s="10" t="str">
        <f>_xlfn.TEXTJOIN("_",TRUE,C25,"node",D25,M25,N25)</f>
        <v>s1_node_survival_13_2</v>
      </c>
      <c r="B25" s="10" t="s">
        <v>0</v>
      </c>
      <c r="C25" s="10" t="s">
        <v>26</v>
      </c>
      <c r="D25" s="10" t="s">
        <v>102</v>
      </c>
      <c r="E25" s="10" t="str">
        <f>"s1_node_"&amp;D25&amp;"_name"</f>
        <v>s1_node_survival_name</v>
      </c>
      <c r="F25" s="10" t="str">
        <f>"s1_node_"&amp;D25&amp;"_desc"</f>
        <v>s1_node_survival_desc</v>
      </c>
      <c r="G25" s="10" t="s">
        <v>140</v>
      </c>
      <c r="H25" s="10">
        <v>1</v>
      </c>
      <c r="I25" s="10" t="s">
        <v>27</v>
      </c>
      <c r="J25" s="10" t="s">
        <v>170</v>
      </c>
      <c r="K25" s="10">
        <v>500</v>
      </c>
      <c r="L25" s="10">
        <v>3</v>
      </c>
      <c r="M25" s="10">
        <v>13</v>
      </c>
      <c r="N25" s="10">
        <v>2</v>
      </c>
      <c r="O25" s="10" t="s">
        <v>171</v>
      </c>
      <c r="P25" s="10"/>
      <c r="Q25" s="10"/>
      <c r="R25" s="10"/>
      <c r="S25" s="10"/>
      <c r="T25" s="10" t="str">
        <f>_xlfn.TEXTJOIN("_",TRUE,C25,"node_eff",D25,M25,N25)</f>
        <v>s1_node_eff_survival_13_2</v>
      </c>
    </row>
    <row r="26" spans="1:20" x14ac:dyDescent="0.45">
      <c r="A26" s="10" t="str">
        <f>_xlfn.TEXTJOIN("_",TRUE,C26,"node",D26,M26,N26)</f>
        <v>s1_node_survival_13_6</v>
      </c>
      <c r="B26" s="10" t="s">
        <v>0</v>
      </c>
      <c r="C26" s="10" t="s">
        <v>26</v>
      </c>
      <c r="D26" s="10" t="s">
        <v>102</v>
      </c>
      <c r="E26" s="10" t="str">
        <f>"s1_node_"&amp;D26&amp;"_name"</f>
        <v>s1_node_survival_name</v>
      </c>
      <c r="F26" s="10" t="str">
        <f>"s1_node_"&amp;D26&amp;"_desc"</f>
        <v>s1_node_survival_desc</v>
      </c>
      <c r="G26" s="10" t="s">
        <v>136</v>
      </c>
      <c r="H26" s="10">
        <v>1</v>
      </c>
      <c r="I26" s="10" t="s">
        <v>27</v>
      </c>
      <c r="J26" s="10" t="s">
        <v>170</v>
      </c>
      <c r="K26" s="10">
        <v>500</v>
      </c>
      <c r="L26" s="10">
        <v>3</v>
      </c>
      <c r="M26" s="10">
        <v>13</v>
      </c>
      <c r="N26" s="10">
        <v>6</v>
      </c>
      <c r="O26" s="10" t="s">
        <v>172</v>
      </c>
      <c r="P26" s="10"/>
      <c r="Q26" s="10"/>
      <c r="R26" s="10"/>
      <c r="S26" s="10"/>
      <c r="T26" s="10" t="str">
        <f>_xlfn.TEXTJOIN("_",TRUE,C26,"node_eff",D26,M26,N26)</f>
        <v>s1_node_eff_survival_13_6</v>
      </c>
    </row>
    <row r="27" spans="1:20" x14ac:dyDescent="0.45">
      <c r="A27" s="10" t="str">
        <f>_xlfn.TEXTJOIN("_",TRUE,C27,"node",D27,M27,N27)</f>
        <v>s1_node_survival_14_2</v>
      </c>
      <c r="B27" s="10" t="s">
        <v>0</v>
      </c>
      <c r="C27" s="10" t="s">
        <v>26</v>
      </c>
      <c r="D27" s="10" t="s">
        <v>102</v>
      </c>
      <c r="E27" s="10" t="str">
        <f>"s1_node_"&amp;D27&amp;"_name"</f>
        <v>s1_node_survival_name</v>
      </c>
      <c r="F27" s="10" t="str">
        <f>"s1_node_"&amp;D27&amp;"_desc"</f>
        <v>s1_node_survival_desc</v>
      </c>
      <c r="G27" s="10" t="s">
        <v>136</v>
      </c>
      <c r="H27" s="10">
        <v>1</v>
      </c>
      <c r="I27" s="10" t="s">
        <v>27</v>
      </c>
      <c r="J27" s="10" t="s">
        <v>173</v>
      </c>
      <c r="K27" s="10">
        <v>530</v>
      </c>
      <c r="L27" s="10">
        <v>3</v>
      </c>
      <c r="M27" s="10">
        <v>14</v>
      </c>
      <c r="N27" s="10">
        <v>2</v>
      </c>
      <c r="O27" s="10" t="s">
        <v>174</v>
      </c>
      <c r="P27" s="10"/>
      <c r="Q27" s="10"/>
      <c r="R27" s="10"/>
      <c r="S27" s="10"/>
      <c r="T27" s="10" t="str">
        <f>_xlfn.TEXTJOIN("_",TRUE,C27,"node_eff",D27,M27,N27)</f>
        <v>s1_node_eff_survival_14_2</v>
      </c>
    </row>
    <row r="28" spans="1:20" x14ac:dyDescent="0.45">
      <c r="A28" s="10" t="str">
        <f>_xlfn.TEXTJOIN("_",TRUE,C28,"node",D28,M28,N28)</f>
        <v>s1_node_survival_14_6</v>
      </c>
      <c r="B28" s="10" t="s">
        <v>0</v>
      </c>
      <c r="C28" s="10" t="s">
        <v>26</v>
      </c>
      <c r="D28" s="10" t="s">
        <v>102</v>
      </c>
      <c r="E28" s="10" t="str">
        <f>"s1_node_"&amp;D28&amp;"_name"</f>
        <v>s1_node_survival_name</v>
      </c>
      <c r="F28" s="10" t="str">
        <f>"s1_node_"&amp;D28&amp;"_desc"</f>
        <v>s1_node_survival_desc</v>
      </c>
      <c r="G28" s="10" t="s">
        <v>136</v>
      </c>
      <c r="H28" s="10">
        <v>1</v>
      </c>
      <c r="I28" s="10" t="s">
        <v>27</v>
      </c>
      <c r="J28" s="10" t="s">
        <v>173</v>
      </c>
      <c r="K28" s="10">
        <v>530</v>
      </c>
      <c r="L28" s="10">
        <v>3</v>
      </c>
      <c r="M28" s="10">
        <v>14</v>
      </c>
      <c r="N28" s="10">
        <v>6</v>
      </c>
      <c r="O28" s="10" t="s">
        <v>175</v>
      </c>
      <c r="P28" s="10"/>
      <c r="Q28" s="10"/>
      <c r="R28" s="10"/>
      <c r="S28" s="10"/>
      <c r="T28" s="10" t="str">
        <f>_xlfn.TEXTJOIN("_",TRUE,C28,"node_eff",D28,M28,N28)</f>
        <v>s1_node_eff_survival_14_6</v>
      </c>
    </row>
    <row r="29" spans="1:20" x14ac:dyDescent="0.45">
      <c r="A29" s="10" t="str">
        <f>_xlfn.TEXTJOIN("_",TRUE,C29,"node",D29,M29,N29)</f>
        <v>s1_node_survival_15_2</v>
      </c>
      <c r="B29" s="10" t="s">
        <v>0</v>
      </c>
      <c r="C29" s="10" t="s">
        <v>26</v>
      </c>
      <c r="D29" s="10" t="s">
        <v>102</v>
      </c>
      <c r="E29" s="10" t="str">
        <f>"s1_node_"&amp;D29&amp;"_name"</f>
        <v>s1_node_survival_name</v>
      </c>
      <c r="F29" s="10" t="str">
        <f>"s1_node_"&amp;D29&amp;"_desc"</f>
        <v>s1_node_survival_desc</v>
      </c>
      <c r="G29" s="10" t="s">
        <v>147</v>
      </c>
      <c r="H29" s="10">
        <v>1</v>
      </c>
      <c r="I29" s="10" t="s">
        <v>27</v>
      </c>
      <c r="J29" s="10" t="s">
        <v>176</v>
      </c>
      <c r="K29" s="10">
        <v>570</v>
      </c>
      <c r="L29" s="10">
        <v>3</v>
      </c>
      <c r="M29" s="10">
        <v>15</v>
      </c>
      <c r="N29" s="10">
        <v>2</v>
      </c>
      <c r="O29" s="10" t="s">
        <v>177</v>
      </c>
      <c r="P29" s="10"/>
      <c r="Q29" s="10"/>
      <c r="R29" s="10"/>
      <c r="S29" s="10"/>
      <c r="T29" s="10" t="str">
        <f>_xlfn.TEXTJOIN("_",TRUE,C29,"node_eff",D29,M29,N29)</f>
        <v>s1_node_eff_survival_15_2</v>
      </c>
    </row>
    <row r="30" spans="1:20" x14ac:dyDescent="0.45">
      <c r="A30" s="10" t="str">
        <f>_xlfn.TEXTJOIN("_",TRUE,C30,"node",D30,M30,N30)</f>
        <v>s1_node_survival_15_6</v>
      </c>
      <c r="B30" s="10" t="s">
        <v>0</v>
      </c>
      <c r="C30" s="10" t="s">
        <v>26</v>
      </c>
      <c r="D30" s="10" t="s">
        <v>102</v>
      </c>
      <c r="E30" s="10" t="str">
        <f>"s1_node_"&amp;D30&amp;"_name"</f>
        <v>s1_node_survival_name</v>
      </c>
      <c r="F30" s="10" t="str">
        <f>"s1_node_"&amp;D30&amp;"_desc"</f>
        <v>s1_node_survival_desc</v>
      </c>
      <c r="G30" s="10" t="s">
        <v>147</v>
      </c>
      <c r="H30" s="10">
        <v>1</v>
      </c>
      <c r="I30" s="10" t="s">
        <v>27</v>
      </c>
      <c r="J30" s="10" t="s">
        <v>176</v>
      </c>
      <c r="K30" s="10">
        <v>570</v>
      </c>
      <c r="L30" s="10">
        <v>3</v>
      </c>
      <c r="M30" s="10">
        <v>15</v>
      </c>
      <c r="N30" s="10">
        <v>6</v>
      </c>
      <c r="O30" s="10" t="s">
        <v>178</v>
      </c>
      <c r="P30" s="10"/>
      <c r="Q30" s="10"/>
      <c r="R30" s="10"/>
      <c r="S30" s="10"/>
      <c r="T30" s="10" t="str">
        <f>_xlfn.TEXTJOIN("_",TRUE,C30,"node_eff",D30,M30,N30)</f>
        <v>s1_node_eff_survival_15_6</v>
      </c>
    </row>
    <row r="31" spans="1:20" x14ac:dyDescent="0.45">
      <c r="A31" s="10" t="str">
        <f>_xlfn.TEXTJOIN("_",TRUE,C31,"node",D31,M31,N31)</f>
        <v>s1_node_survival_16_4</v>
      </c>
      <c r="B31" s="10" t="s">
        <v>0</v>
      </c>
      <c r="C31" s="10" t="s">
        <v>26</v>
      </c>
      <c r="D31" s="10" t="s">
        <v>102</v>
      </c>
      <c r="E31" s="10" t="str">
        <f>"s1_node_"&amp;D31&amp;"_name"</f>
        <v>s1_node_survival_name</v>
      </c>
      <c r="F31" s="10" t="str">
        <f>"s1_node_"&amp;D31&amp;"_desc"</f>
        <v>s1_node_survival_desc</v>
      </c>
      <c r="G31" s="10" t="s">
        <v>136</v>
      </c>
      <c r="H31" s="10">
        <v>1</v>
      </c>
      <c r="I31" s="10" t="s">
        <v>27</v>
      </c>
      <c r="J31" s="10" t="s">
        <v>179</v>
      </c>
      <c r="K31" s="10">
        <v>600</v>
      </c>
      <c r="L31" s="10">
        <v>3</v>
      </c>
      <c r="M31" s="10">
        <v>16</v>
      </c>
      <c r="N31" s="10">
        <v>4</v>
      </c>
      <c r="O31" s="10" t="s">
        <v>180</v>
      </c>
      <c r="P31" s="10" t="s">
        <v>181</v>
      </c>
      <c r="Q31" s="10"/>
      <c r="R31" s="10"/>
      <c r="S31" s="10"/>
      <c r="T31" s="10" t="str">
        <f>_xlfn.TEXTJOIN("_",TRUE,C31,"node_eff",D31,M31,N31)</f>
        <v>s1_node_eff_survival_16_4</v>
      </c>
    </row>
    <row r="32" spans="1:20" x14ac:dyDescent="0.45">
      <c r="A32" s="10" t="str">
        <f>_xlfn.TEXTJOIN("_",TRUE,C32,"node",D32,M32,N32)</f>
        <v>s1_node_survival_17_2</v>
      </c>
      <c r="B32" s="10" t="s">
        <v>0</v>
      </c>
      <c r="C32" s="10" t="s">
        <v>26</v>
      </c>
      <c r="D32" s="10" t="s">
        <v>102</v>
      </c>
      <c r="E32" s="10" t="str">
        <f>"s1_node_"&amp;D32&amp;"_name"</f>
        <v>s1_node_survival_name</v>
      </c>
      <c r="F32" s="10" t="str">
        <f>"s1_node_"&amp;D32&amp;"_desc"</f>
        <v>s1_node_survival_desc</v>
      </c>
      <c r="G32" s="10" t="s">
        <v>136</v>
      </c>
      <c r="H32" s="10">
        <v>1</v>
      </c>
      <c r="I32" s="10" t="s">
        <v>27</v>
      </c>
      <c r="J32" s="10" t="s">
        <v>182</v>
      </c>
      <c r="K32" s="10">
        <v>640</v>
      </c>
      <c r="L32" s="10">
        <v>3</v>
      </c>
      <c r="M32" s="10">
        <v>17</v>
      </c>
      <c r="N32" s="10">
        <v>2</v>
      </c>
      <c r="O32" s="10" t="s">
        <v>183</v>
      </c>
      <c r="P32" s="10"/>
      <c r="Q32" s="10"/>
      <c r="R32" s="10"/>
      <c r="S32" s="10"/>
      <c r="T32" s="10" t="str">
        <f>_xlfn.TEXTJOIN("_",TRUE,C32,"node_eff",D32,M32,N32)</f>
        <v>s1_node_eff_survival_17_2</v>
      </c>
    </row>
    <row r="33" spans="1:20" x14ac:dyDescent="0.45">
      <c r="A33" s="10" t="str">
        <f>_xlfn.TEXTJOIN("_",TRUE,C33,"node",D33,M33,N33)</f>
        <v>s1_node_survival_17_6</v>
      </c>
      <c r="B33" s="10" t="s">
        <v>0</v>
      </c>
      <c r="C33" s="10" t="s">
        <v>26</v>
      </c>
      <c r="D33" s="10" t="s">
        <v>102</v>
      </c>
      <c r="E33" s="10" t="str">
        <f>"s1_node_"&amp;D33&amp;"_name"</f>
        <v>s1_node_survival_name</v>
      </c>
      <c r="F33" s="10" t="str">
        <f>"s1_node_"&amp;D33&amp;"_desc"</f>
        <v>s1_node_survival_desc</v>
      </c>
      <c r="G33" s="10" t="s">
        <v>140</v>
      </c>
      <c r="H33" s="10">
        <v>1</v>
      </c>
      <c r="I33" s="10" t="s">
        <v>27</v>
      </c>
      <c r="J33" s="10" t="s">
        <v>182</v>
      </c>
      <c r="K33" s="10">
        <v>640</v>
      </c>
      <c r="L33" s="10">
        <v>3</v>
      </c>
      <c r="M33" s="10">
        <v>17</v>
      </c>
      <c r="N33" s="10">
        <v>6</v>
      </c>
      <c r="O33" s="10" t="s">
        <v>183</v>
      </c>
      <c r="P33" s="10"/>
      <c r="Q33" s="10"/>
      <c r="R33" s="10"/>
      <c r="S33" s="10"/>
      <c r="T33" s="10" t="str">
        <f>_xlfn.TEXTJOIN("_",TRUE,C33,"node_eff",D33,M33,N33)</f>
        <v>s1_node_eff_survival_17_6</v>
      </c>
    </row>
    <row r="34" spans="1:20" x14ac:dyDescent="0.45">
      <c r="A34" s="10" t="str">
        <f>_xlfn.TEXTJOIN("_",TRUE,C34,"node",D34,M34,N34)</f>
        <v>s1_node_survival_18_2</v>
      </c>
      <c r="B34" s="10" t="s">
        <v>0</v>
      </c>
      <c r="C34" s="10" t="s">
        <v>26</v>
      </c>
      <c r="D34" s="10" t="s">
        <v>102</v>
      </c>
      <c r="E34" s="10" t="str">
        <f>"s1_node_"&amp;D34&amp;"_name"</f>
        <v>s1_node_survival_name</v>
      </c>
      <c r="F34" s="10" t="str">
        <f>"s1_node_"&amp;D34&amp;"_desc"</f>
        <v>s1_node_survival_desc</v>
      </c>
      <c r="G34" s="10" t="s">
        <v>140</v>
      </c>
      <c r="H34" s="10">
        <v>1</v>
      </c>
      <c r="I34" s="10" t="s">
        <v>27</v>
      </c>
      <c r="J34" s="10" t="s">
        <v>184</v>
      </c>
      <c r="K34" s="10">
        <v>670</v>
      </c>
      <c r="L34" s="10">
        <v>3</v>
      </c>
      <c r="M34" s="10">
        <v>18</v>
      </c>
      <c r="N34" s="10">
        <v>2</v>
      </c>
      <c r="O34" s="10" t="s">
        <v>185</v>
      </c>
      <c r="P34" s="10"/>
      <c r="Q34" s="10"/>
      <c r="R34" s="10"/>
      <c r="S34" s="10"/>
      <c r="T34" s="10" t="str">
        <f>_xlfn.TEXTJOIN("_",TRUE,C34,"node_eff",D34,M34,N34)</f>
        <v>s1_node_eff_survival_18_2</v>
      </c>
    </row>
    <row r="35" spans="1:20" x14ac:dyDescent="0.45">
      <c r="A35" s="10" t="str">
        <f>_xlfn.TEXTJOIN("_",TRUE,C35,"node",D35,M35,N35)</f>
        <v>s1_node_survival_18_6</v>
      </c>
      <c r="B35" s="10" t="s">
        <v>0</v>
      </c>
      <c r="C35" s="10" t="s">
        <v>26</v>
      </c>
      <c r="D35" s="10" t="s">
        <v>102</v>
      </c>
      <c r="E35" s="10" t="str">
        <f>"s1_node_"&amp;D35&amp;"_name"</f>
        <v>s1_node_survival_name</v>
      </c>
      <c r="F35" s="10" t="str">
        <f>"s1_node_"&amp;D35&amp;"_desc"</f>
        <v>s1_node_survival_desc</v>
      </c>
      <c r="G35" s="10" t="s">
        <v>136</v>
      </c>
      <c r="H35" s="10">
        <v>1</v>
      </c>
      <c r="I35" s="10" t="s">
        <v>27</v>
      </c>
      <c r="J35" s="10" t="s">
        <v>184</v>
      </c>
      <c r="K35" s="10">
        <v>670</v>
      </c>
      <c r="L35" s="10">
        <v>3</v>
      </c>
      <c r="M35" s="10">
        <v>18</v>
      </c>
      <c r="N35" s="10">
        <v>6</v>
      </c>
      <c r="O35" s="10" t="s">
        <v>186</v>
      </c>
      <c r="P35" s="10"/>
      <c r="Q35" s="10"/>
      <c r="R35" s="10"/>
      <c r="S35" s="10"/>
      <c r="T35" s="10" t="str">
        <f>_xlfn.TEXTJOIN("_",TRUE,C35,"node_eff",D35,M35,N35)</f>
        <v>s1_node_eff_survival_18_6</v>
      </c>
    </row>
    <row r="36" spans="1:20" x14ac:dyDescent="0.45">
      <c r="A36" s="10" t="str">
        <f>_xlfn.TEXTJOIN("_",TRUE,C36,"node",D36,M36,N36)</f>
        <v>s1_node_survival_19_2</v>
      </c>
      <c r="B36" s="10" t="s">
        <v>0</v>
      </c>
      <c r="C36" s="10" t="s">
        <v>26</v>
      </c>
      <c r="D36" s="10" t="s">
        <v>102</v>
      </c>
      <c r="E36" s="10" t="str">
        <f>"s1_node_"&amp;D36&amp;"_name"</f>
        <v>s1_node_survival_name</v>
      </c>
      <c r="F36" s="10" t="str">
        <f>"s1_node_"&amp;D36&amp;"_desc"</f>
        <v>s1_node_survival_desc</v>
      </c>
      <c r="G36" s="10" t="s">
        <v>136</v>
      </c>
      <c r="H36" s="10">
        <v>1</v>
      </c>
      <c r="I36" s="10" t="s">
        <v>27</v>
      </c>
      <c r="J36" s="10" t="s">
        <v>187</v>
      </c>
      <c r="K36" s="10">
        <v>710</v>
      </c>
      <c r="L36" s="10">
        <v>3</v>
      </c>
      <c r="M36" s="10">
        <v>19</v>
      </c>
      <c r="N36" s="10">
        <v>2</v>
      </c>
      <c r="O36" s="10" t="s">
        <v>188</v>
      </c>
      <c r="P36" s="10"/>
      <c r="Q36" s="10"/>
      <c r="R36" s="10"/>
      <c r="S36" s="10"/>
      <c r="T36" s="10" t="str">
        <f>_xlfn.TEXTJOIN("_",TRUE,C36,"node_eff",D36,M36,N36)</f>
        <v>s1_node_eff_survival_19_2</v>
      </c>
    </row>
    <row r="37" spans="1:20" x14ac:dyDescent="0.45">
      <c r="A37" s="10" t="str">
        <f>_xlfn.TEXTJOIN("_",TRUE,C37,"node",D37,M37,N37)</f>
        <v>s1_node_survival_19_6</v>
      </c>
      <c r="B37" s="10" t="s">
        <v>0</v>
      </c>
      <c r="C37" s="10" t="s">
        <v>26</v>
      </c>
      <c r="D37" s="10" t="s">
        <v>102</v>
      </c>
      <c r="E37" s="10" t="str">
        <f>"s1_node_"&amp;D37&amp;"_name"</f>
        <v>s1_node_survival_name</v>
      </c>
      <c r="F37" s="10" t="str">
        <f>"s1_node_"&amp;D37&amp;"_desc"</f>
        <v>s1_node_survival_desc</v>
      </c>
      <c r="G37" s="10" t="s">
        <v>136</v>
      </c>
      <c r="H37" s="10">
        <v>1</v>
      </c>
      <c r="I37" s="10" t="s">
        <v>27</v>
      </c>
      <c r="J37" s="10" t="s">
        <v>187</v>
      </c>
      <c r="K37" s="10">
        <v>710</v>
      </c>
      <c r="L37" s="10">
        <v>3</v>
      </c>
      <c r="M37" s="10">
        <v>19</v>
      </c>
      <c r="N37" s="10">
        <v>6</v>
      </c>
      <c r="O37" s="10" t="s">
        <v>189</v>
      </c>
      <c r="P37" s="10"/>
      <c r="Q37" s="10"/>
      <c r="R37" s="10"/>
      <c r="S37" s="10"/>
      <c r="T37" s="10" t="str">
        <f>_xlfn.TEXTJOIN("_",TRUE,C37,"node_eff",D37,M37,N37)</f>
        <v>s1_node_eff_survival_19_6</v>
      </c>
    </row>
    <row r="38" spans="1:20" x14ac:dyDescent="0.45">
      <c r="A38" s="10" t="str">
        <f>_xlfn.TEXTJOIN("_",TRUE,C38,"node",D38,M38,N38)</f>
        <v>s1_node_survival_20_2</v>
      </c>
      <c r="B38" s="10" t="s">
        <v>0</v>
      </c>
      <c r="C38" s="10" t="s">
        <v>26</v>
      </c>
      <c r="D38" s="10" t="s">
        <v>102</v>
      </c>
      <c r="E38" s="10" t="str">
        <f>"s1_node_"&amp;D38&amp;"_name"</f>
        <v>s1_node_survival_name</v>
      </c>
      <c r="F38" s="10" t="str">
        <f>"s1_node_"&amp;D38&amp;"_desc"</f>
        <v>s1_node_survival_desc</v>
      </c>
      <c r="G38" s="10" t="s">
        <v>147</v>
      </c>
      <c r="H38" s="10">
        <v>1</v>
      </c>
      <c r="I38" s="10" t="s">
        <v>27</v>
      </c>
      <c r="J38" s="10" t="s">
        <v>190</v>
      </c>
      <c r="K38" s="10">
        <v>740</v>
      </c>
      <c r="L38" s="10">
        <v>3</v>
      </c>
      <c r="M38" s="10">
        <v>20</v>
      </c>
      <c r="N38" s="10">
        <v>2</v>
      </c>
      <c r="O38" s="10" t="s">
        <v>191</v>
      </c>
      <c r="P38" s="10"/>
      <c r="Q38" s="10"/>
      <c r="R38" s="10"/>
      <c r="S38" s="10"/>
      <c r="T38" s="10" t="str">
        <f>_xlfn.TEXTJOIN("_",TRUE,C38,"node_eff",D38,M38,N38)</f>
        <v>s1_node_eff_survival_20_2</v>
      </c>
    </row>
    <row r="39" spans="1:20" x14ac:dyDescent="0.45">
      <c r="A39" s="10" t="str">
        <f>_xlfn.TEXTJOIN("_",TRUE,C39,"node",D39,M39,N39)</f>
        <v>s1_node_survival_20_6</v>
      </c>
      <c r="B39" s="10" t="s">
        <v>0</v>
      </c>
      <c r="C39" s="10" t="s">
        <v>26</v>
      </c>
      <c r="D39" s="10" t="s">
        <v>102</v>
      </c>
      <c r="E39" s="10" t="str">
        <f>"s1_node_"&amp;D39&amp;"_name"</f>
        <v>s1_node_survival_name</v>
      </c>
      <c r="F39" s="10" t="str">
        <f>"s1_node_"&amp;D39&amp;"_desc"</f>
        <v>s1_node_survival_desc</v>
      </c>
      <c r="G39" s="10" t="s">
        <v>147</v>
      </c>
      <c r="H39" s="10">
        <v>1</v>
      </c>
      <c r="I39" s="10" t="s">
        <v>27</v>
      </c>
      <c r="J39" s="10" t="s">
        <v>190</v>
      </c>
      <c r="K39" s="10">
        <v>740</v>
      </c>
      <c r="L39" s="10">
        <v>3</v>
      </c>
      <c r="M39" s="10">
        <v>20</v>
      </c>
      <c r="N39" s="10">
        <v>6</v>
      </c>
      <c r="O39" s="10" t="s">
        <v>192</v>
      </c>
      <c r="P39" s="10"/>
      <c r="Q39" s="10"/>
      <c r="R39" s="10"/>
      <c r="S39" s="10"/>
      <c r="T39" s="10" t="str">
        <f>_xlfn.TEXTJOIN("_",TRUE,C39,"node_eff",D39,M39,N39)</f>
        <v>s1_node_eff_survival_20_6</v>
      </c>
    </row>
    <row r="40" spans="1:20" x14ac:dyDescent="0.45">
      <c r="A40" s="10" t="str">
        <f>_xlfn.TEXTJOIN("_",TRUE,C40,"node",D40,M40,N40)</f>
        <v>s1_node_survival_21_4</v>
      </c>
      <c r="B40" s="10" t="s">
        <v>0</v>
      </c>
      <c r="C40" s="10" t="s">
        <v>26</v>
      </c>
      <c r="D40" s="10" t="s">
        <v>102</v>
      </c>
      <c r="E40" s="10" t="str">
        <f>"s1_node_"&amp;D40&amp;"_name"</f>
        <v>s1_node_survival_name</v>
      </c>
      <c r="F40" s="10" t="str">
        <f>"s1_node_"&amp;D40&amp;"_desc"</f>
        <v>s1_node_survival_desc</v>
      </c>
      <c r="G40" s="10" t="s">
        <v>136</v>
      </c>
      <c r="H40" s="10">
        <v>2</v>
      </c>
      <c r="I40" s="10" t="s">
        <v>27</v>
      </c>
      <c r="J40" s="10" t="s">
        <v>193</v>
      </c>
      <c r="K40" s="10">
        <v>780</v>
      </c>
      <c r="L40" s="10">
        <v>3</v>
      </c>
      <c r="M40" s="10">
        <v>21</v>
      </c>
      <c r="N40" s="10">
        <v>4</v>
      </c>
      <c r="O40" s="10" t="s">
        <v>194</v>
      </c>
      <c r="P40" s="10" t="s">
        <v>195</v>
      </c>
      <c r="Q40" s="10"/>
      <c r="R40" s="10"/>
      <c r="S40" s="10"/>
      <c r="T40" s="10" t="str">
        <f>_xlfn.TEXTJOIN("_",TRUE,C40,"node_eff",D40,M40,N40)</f>
        <v>s1_node_eff_survival_21_4</v>
      </c>
    </row>
    <row r="41" spans="1:20" x14ac:dyDescent="0.45">
      <c r="A41" s="10" t="str">
        <f>_xlfn.TEXTJOIN("_",TRUE,C41,"node",D41,M41,N41)</f>
        <v>s1_node_survival_22_2</v>
      </c>
      <c r="B41" s="10" t="s">
        <v>0</v>
      </c>
      <c r="C41" s="10" t="s">
        <v>26</v>
      </c>
      <c r="D41" s="10" t="s">
        <v>102</v>
      </c>
      <c r="E41" s="10" t="str">
        <f>"s1_node_"&amp;D41&amp;"_name"</f>
        <v>s1_node_survival_name</v>
      </c>
      <c r="F41" s="10" t="str">
        <f>"s1_node_"&amp;D41&amp;"_desc"</f>
        <v>s1_node_survival_desc</v>
      </c>
      <c r="G41" s="10" t="s">
        <v>136</v>
      </c>
      <c r="H41" s="10">
        <v>2</v>
      </c>
      <c r="I41" s="10" t="s">
        <v>27</v>
      </c>
      <c r="J41" s="10" t="s">
        <v>196</v>
      </c>
      <c r="K41" s="10">
        <v>810</v>
      </c>
      <c r="L41" s="10">
        <v>3</v>
      </c>
      <c r="M41" s="10">
        <v>22</v>
      </c>
      <c r="N41" s="10">
        <v>2</v>
      </c>
      <c r="O41" s="10" t="s">
        <v>197</v>
      </c>
      <c r="P41" s="10"/>
      <c r="Q41" s="10"/>
      <c r="R41" s="10"/>
      <c r="S41" s="10"/>
      <c r="T41" s="10" t="str">
        <f>_xlfn.TEXTJOIN("_",TRUE,C41,"node_eff",D41,M41,N41)</f>
        <v>s1_node_eff_survival_22_2</v>
      </c>
    </row>
    <row r="42" spans="1:20" x14ac:dyDescent="0.45">
      <c r="A42" s="10" t="str">
        <f>_xlfn.TEXTJOIN("_",TRUE,C42,"node",D42,M42,N42)</f>
        <v>s1_node_survival_22_6</v>
      </c>
      <c r="B42" s="10" t="s">
        <v>0</v>
      </c>
      <c r="C42" s="10" t="s">
        <v>26</v>
      </c>
      <c r="D42" s="10" t="s">
        <v>102</v>
      </c>
      <c r="E42" s="10" t="str">
        <f>"s1_node_"&amp;D42&amp;"_name"</f>
        <v>s1_node_survival_name</v>
      </c>
      <c r="F42" s="10" t="str">
        <f>"s1_node_"&amp;D42&amp;"_desc"</f>
        <v>s1_node_survival_desc</v>
      </c>
      <c r="G42" s="10" t="s">
        <v>140</v>
      </c>
      <c r="H42" s="10">
        <v>2</v>
      </c>
      <c r="I42" s="10" t="s">
        <v>27</v>
      </c>
      <c r="J42" s="10" t="s">
        <v>196</v>
      </c>
      <c r="K42" s="10">
        <v>810</v>
      </c>
      <c r="L42" s="10">
        <v>3</v>
      </c>
      <c r="M42" s="10">
        <v>22</v>
      </c>
      <c r="N42" s="10">
        <v>6</v>
      </c>
      <c r="O42" s="10" t="s">
        <v>197</v>
      </c>
      <c r="P42" s="10"/>
      <c r="Q42" s="10"/>
      <c r="R42" s="10"/>
      <c r="S42" s="10"/>
      <c r="T42" s="10" t="str">
        <f>_xlfn.TEXTJOIN("_",TRUE,C42,"node_eff",D42,M42,N42)</f>
        <v>s1_node_eff_survival_22_6</v>
      </c>
    </row>
    <row r="43" spans="1:20" x14ac:dyDescent="0.45">
      <c r="A43" s="10" t="str">
        <f>_xlfn.TEXTJOIN("_",TRUE,C43,"node",D43,M43,N43)</f>
        <v>s1_node_survival_23_2</v>
      </c>
      <c r="B43" s="10" t="s">
        <v>0</v>
      </c>
      <c r="C43" s="10" t="s">
        <v>26</v>
      </c>
      <c r="D43" s="10" t="s">
        <v>102</v>
      </c>
      <c r="E43" s="10" t="str">
        <f>"s1_node_"&amp;D43&amp;"_name"</f>
        <v>s1_node_survival_name</v>
      </c>
      <c r="F43" s="10" t="str">
        <f>"s1_node_"&amp;D43&amp;"_desc"</f>
        <v>s1_node_survival_desc</v>
      </c>
      <c r="G43" s="10" t="s">
        <v>140</v>
      </c>
      <c r="H43" s="10">
        <v>2</v>
      </c>
      <c r="I43" s="10" t="s">
        <v>27</v>
      </c>
      <c r="J43" s="10" t="s">
        <v>198</v>
      </c>
      <c r="K43" s="10">
        <v>840</v>
      </c>
      <c r="L43" s="10">
        <v>3</v>
      </c>
      <c r="M43" s="10">
        <v>23</v>
      </c>
      <c r="N43" s="10">
        <v>2</v>
      </c>
      <c r="O43" s="10" t="s">
        <v>199</v>
      </c>
      <c r="P43" s="10"/>
      <c r="Q43" s="10"/>
      <c r="R43" s="10"/>
      <c r="S43" s="10"/>
      <c r="T43" s="10" t="str">
        <f>_xlfn.TEXTJOIN("_",TRUE,C43,"node_eff",D43,M43,N43)</f>
        <v>s1_node_eff_survival_23_2</v>
      </c>
    </row>
    <row r="44" spans="1:20" x14ac:dyDescent="0.45">
      <c r="A44" s="10" t="str">
        <f>_xlfn.TEXTJOIN("_",TRUE,C44,"node",D44,M44,N44)</f>
        <v>s1_node_survival_23_6</v>
      </c>
      <c r="B44" s="10" t="s">
        <v>0</v>
      </c>
      <c r="C44" s="10" t="s">
        <v>26</v>
      </c>
      <c r="D44" s="10" t="s">
        <v>102</v>
      </c>
      <c r="E44" s="10" t="str">
        <f>"s1_node_"&amp;D44&amp;"_name"</f>
        <v>s1_node_survival_name</v>
      </c>
      <c r="F44" s="10" t="str">
        <f>"s1_node_"&amp;D44&amp;"_desc"</f>
        <v>s1_node_survival_desc</v>
      </c>
      <c r="G44" s="10" t="s">
        <v>136</v>
      </c>
      <c r="H44" s="10">
        <v>2</v>
      </c>
      <c r="I44" s="10" t="s">
        <v>27</v>
      </c>
      <c r="J44" s="10" t="s">
        <v>198</v>
      </c>
      <c r="K44" s="10">
        <v>840</v>
      </c>
      <c r="L44" s="10">
        <v>3</v>
      </c>
      <c r="M44" s="10">
        <v>23</v>
      </c>
      <c r="N44" s="10">
        <v>6</v>
      </c>
      <c r="O44" s="10" t="s">
        <v>200</v>
      </c>
      <c r="P44" s="10"/>
      <c r="Q44" s="10"/>
      <c r="R44" s="10"/>
      <c r="S44" s="10"/>
      <c r="T44" s="10" t="str">
        <f>_xlfn.TEXTJOIN("_",TRUE,C44,"node_eff",D44,M44,N44)</f>
        <v>s1_node_eff_survival_23_6</v>
      </c>
    </row>
    <row r="45" spans="1:20" x14ac:dyDescent="0.45">
      <c r="A45" s="10" t="str">
        <f>_xlfn.TEXTJOIN("_",TRUE,C45,"node",D45,M45,N45)</f>
        <v>s1_node_survival_24_2</v>
      </c>
      <c r="B45" s="10" t="s">
        <v>0</v>
      </c>
      <c r="C45" s="10" t="s">
        <v>26</v>
      </c>
      <c r="D45" s="10" t="s">
        <v>102</v>
      </c>
      <c r="E45" s="10" t="str">
        <f>"s1_node_"&amp;D45&amp;"_name"</f>
        <v>s1_node_survival_name</v>
      </c>
      <c r="F45" s="10" t="str">
        <f>"s1_node_"&amp;D45&amp;"_desc"</f>
        <v>s1_node_survival_desc</v>
      </c>
      <c r="G45" s="10" t="s">
        <v>136</v>
      </c>
      <c r="H45" s="10">
        <v>2</v>
      </c>
      <c r="I45" s="10" t="s">
        <v>27</v>
      </c>
      <c r="J45" s="10" t="s">
        <v>201</v>
      </c>
      <c r="K45" s="10">
        <v>880</v>
      </c>
      <c r="L45" s="10">
        <v>3</v>
      </c>
      <c r="M45" s="10">
        <v>24</v>
      </c>
      <c r="N45" s="10">
        <v>2</v>
      </c>
      <c r="O45" s="10" t="s">
        <v>202</v>
      </c>
      <c r="P45" s="10"/>
      <c r="Q45" s="10"/>
      <c r="R45" s="10"/>
      <c r="S45" s="10"/>
      <c r="T45" s="10" t="str">
        <f>_xlfn.TEXTJOIN("_",TRUE,C45,"node_eff",D45,M45,N45)</f>
        <v>s1_node_eff_survival_24_2</v>
      </c>
    </row>
    <row r="46" spans="1:20" x14ac:dyDescent="0.45">
      <c r="A46" s="10" t="str">
        <f>_xlfn.TEXTJOIN("_",TRUE,C46,"node",D46,M46,N46)</f>
        <v>s1_node_survival_24_6</v>
      </c>
      <c r="B46" s="10" t="s">
        <v>0</v>
      </c>
      <c r="C46" s="10" t="s">
        <v>26</v>
      </c>
      <c r="D46" s="10" t="s">
        <v>102</v>
      </c>
      <c r="E46" s="10" t="str">
        <f>"s1_node_"&amp;D46&amp;"_name"</f>
        <v>s1_node_survival_name</v>
      </c>
      <c r="F46" s="10" t="str">
        <f>"s1_node_"&amp;D46&amp;"_desc"</f>
        <v>s1_node_survival_desc</v>
      </c>
      <c r="G46" s="10" t="s">
        <v>136</v>
      </c>
      <c r="H46" s="10">
        <v>2</v>
      </c>
      <c r="I46" s="10" t="s">
        <v>27</v>
      </c>
      <c r="J46" s="10" t="s">
        <v>201</v>
      </c>
      <c r="K46" s="10">
        <v>880</v>
      </c>
      <c r="L46" s="10">
        <v>3</v>
      </c>
      <c r="M46" s="10">
        <v>24</v>
      </c>
      <c r="N46" s="10">
        <v>6</v>
      </c>
      <c r="O46" s="10" t="s">
        <v>203</v>
      </c>
      <c r="P46" s="10"/>
      <c r="Q46" s="10"/>
      <c r="R46" s="10"/>
      <c r="S46" s="10"/>
      <c r="T46" s="10" t="str">
        <f>_xlfn.TEXTJOIN("_",TRUE,C46,"node_eff",D46,M46,N46)</f>
        <v>s1_node_eff_survival_24_6</v>
      </c>
    </row>
    <row r="47" spans="1:20" x14ac:dyDescent="0.45">
      <c r="A47" s="10" t="str">
        <f>_xlfn.TEXTJOIN("_",TRUE,C47,"node",D47,M47,N47)</f>
        <v>s1_node_survival_25_2</v>
      </c>
      <c r="B47" s="10" t="s">
        <v>0</v>
      </c>
      <c r="C47" s="10" t="s">
        <v>26</v>
      </c>
      <c r="D47" s="10" t="s">
        <v>102</v>
      </c>
      <c r="E47" s="10" t="str">
        <f>"s1_node_"&amp;D47&amp;"_name"</f>
        <v>s1_node_survival_name</v>
      </c>
      <c r="F47" s="10" t="str">
        <f>"s1_node_"&amp;D47&amp;"_desc"</f>
        <v>s1_node_survival_desc</v>
      </c>
      <c r="G47" s="10" t="s">
        <v>147</v>
      </c>
      <c r="H47" s="10">
        <v>2</v>
      </c>
      <c r="I47" s="10" t="s">
        <v>27</v>
      </c>
      <c r="J47" s="10" t="s">
        <v>204</v>
      </c>
      <c r="K47" s="10">
        <v>910</v>
      </c>
      <c r="L47" s="10">
        <v>3</v>
      </c>
      <c r="M47" s="10">
        <v>25</v>
      </c>
      <c r="N47" s="10">
        <v>2</v>
      </c>
      <c r="O47" s="10" t="s">
        <v>205</v>
      </c>
      <c r="P47" s="10"/>
      <c r="Q47" s="10"/>
      <c r="R47" s="10"/>
      <c r="S47" s="10"/>
      <c r="T47" s="10" t="str">
        <f>_xlfn.TEXTJOIN("_",TRUE,C47,"node_eff",D47,M47,N47)</f>
        <v>s1_node_eff_survival_25_2</v>
      </c>
    </row>
    <row r="48" spans="1:20" x14ac:dyDescent="0.45">
      <c r="A48" s="10" t="str">
        <f>_xlfn.TEXTJOIN("_",TRUE,C48,"node",D48,M48,N48)</f>
        <v>s1_node_survival_25_6</v>
      </c>
      <c r="B48" s="10" t="s">
        <v>0</v>
      </c>
      <c r="C48" s="10" t="s">
        <v>26</v>
      </c>
      <c r="D48" s="10" t="s">
        <v>102</v>
      </c>
      <c r="E48" s="10" t="str">
        <f>"s1_node_"&amp;D48&amp;"_name"</f>
        <v>s1_node_survival_name</v>
      </c>
      <c r="F48" s="10" t="str">
        <f>"s1_node_"&amp;D48&amp;"_desc"</f>
        <v>s1_node_survival_desc</v>
      </c>
      <c r="G48" s="10" t="s">
        <v>147</v>
      </c>
      <c r="H48" s="10">
        <v>2</v>
      </c>
      <c r="I48" s="10" t="s">
        <v>27</v>
      </c>
      <c r="J48" s="10" t="s">
        <v>204</v>
      </c>
      <c r="K48" s="10">
        <v>910</v>
      </c>
      <c r="L48" s="10">
        <v>3</v>
      </c>
      <c r="M48" s="10">
        <v>25</v>
      </c>
      <c r="N48" s="10">
        <v>6</v>
      </c>
      <c r="O48" s="10" t="s">
        <v>206</v>
      </c>
      <c r="P48" s="10"/>
      <c r="Q48" s="10"/>
      <c r="R48" s="10"/>
      <c r="S48" s="10"/>
      <c r="T48" s="10" t="str">
        <f>_xlfn.TEXTJOIN("_",TRUE,C48,"node_eff",D48,M48,N48)</f>
        <v>s1_node_eff_survival_25_6</v>
      </c>
    </row>
    <row r="49" spans="1:20" x14ac:dyDescent="0.45">
      <c r="A49" s="10" t="str">
        <f>_xlfn.TEXTJOIN("_",TRUE,C49,"node",D49,M49,N49)</f>
        <v>s1_node_survival_26_4</v>
      </c>
      <c r="B49" s="10" t="s">
        <v>0</v>
      </c>
      <c r="C49" s="10" t="s">
        <v>26</v>
      </c>
      <c r="D49" s="10" t="s">
        <v>102</v>
      </c>
      <c r="E49" s="10" t="str">
        <f>"s1_node_"&amp;D49&amp;"_name"</f>
        <v>s1_node_survival_name</v>
      </c>
      <c r="F49" s="10" t="str">
        <f>"s1_node_"&amp;D49&amp;"_desc"</f>
        <v>s1_node_survival_desc</v>
      </c>
      <c r="G49" s="10" t="s">
        <v>136</v>
      </c>
      <c r="H49" s="10">
        <v>2</v>
      </c>
      <c r="I49" s="10" t="s">
        <v>27</v>
      </c>
      <c r="J49" s="10" t="s">
        <v>207</v>
      </c>
      <c r="K49" s="10">
        <v>950</v>
      </c>
      <c r="L49" s="10">
        <v>3</v>
      </c>
      <c r="M49" s="10">
        <v>26</v>
      </c>
      <c r="N49" s="10">
        <v>4</v>
      </c>
      <c r="O49" s="10" t="s">
        <v>208</v>
      </c>
      <c r="P49" s="10" t="s">
        <v>209</v>
      </c>
      <c r="Q49" s="10"/>
      <c r="R49" s="10"/>
      <c r="S49" s="10"/>
      <c r="T49" s="10" t="str">
        <f>_xlfn.TEXTJOIN("_",TRUE,C49,"node_eff",D49,M49,N49)</f>
        <v>s1_node_eff_survival_26_4</v>
      </c>
    </row>
    <row r="50" spans="1:20" x14ac:dyDescent="0.45">
      <c r="A50" s="10" t="str">
        <f>_xlfn.TEXTJOIN("_",TRUE,C50,"node",D50,M50,N50)</f>
        <v>s1_node_survival_27_2</v>
      </c>
      <c r="B50" s="10" t="s">
        <v>0</v>
      </c>
      <c r="C50" s="10" t="s">
        <v>26</v>
      </c>
      <c r="D50" s="10" t="s">
        <v>102</v>
      </c>
      <c r="E50" s="10" t="str">
        <f>"s1_node_"&amp;D50&amp;"_name"</f>
        <v>s1_node_survival_name</v>
      </c>
      <c r="F50" s="10" t="str">
        <f>"s1_node_"&amp;D50&amp;"_desc"</f>
        <v>s1_node_survival_desc</v>
      </c>
      <c r="G50" s="10" t="s">
        <v>136</v>
      </c>
      <c r="H50" s="10">
        <v>2</v>
      </c>
      <c r="I50" s="10" t="s">
        <v>27</v>
      </c>
      <c r="J50" s="10" t="s">
        <v>210</v>
      </c>
      <c r="K50" s="10">
        <v>980</v>
      </c>
      <c r="L50" s="10">
        <v>3</v>
      </c>
      <c r="M50" s="10">
        <v>27</v>
      </c>
      <c r="N50" s="10">
        <v>2</v>
      </c>
      <c r="O50" s="10" t="s">
        <v>211</v>
      </c>
      <c r="P50" s="10"/>
      <c r="Q50" s="10"/>
      <c r="R50" s="10"/>
      <c r="S50" s="10"/>
      <c r="T50" s="10" t="str">
        <f>_xlfn.TEXTJOIN("_",TRUE,C50,"node_eff",D50,M50,N50)</f>
        <v>s1_node_eff_survival_27_2</v>
      </c>
    </row>
    <row r="51" spans="1:20" x14ac:dyDescent="0.45">
      <c r="A51" s="10" t="str">
        <f>_xlfn.TEXTJOIN("_",TRUE,C51,"node",D51,M51,N51)</f>
        <v>s1_node_survival_27_6</v>
      </c>
      <c r="B51" s="10" t="s">
        <v>0</v>
      </c>
      <c r="C51" s="10" t="s">
        <v>26</v>
      </c>
      <c r="D51" s="10" t="s">
        <v>102</v>
      </c>
      <c r="E51" s="10" t="str">
        <f>"s1_node_"&amp;D51&amp;"_name"</f>
        <v>s1_node_survival_name</v>
      </c>
      <c r="F51" s="10" t="str">
        <f>"s1_node_"&amp;D51&amp;"_desc"</f>
        <v>s1_node_survival_desc</v>
      </c>
      <c r="G51" s="10" t="s">
        <v>140</v>
      </c>
      <c r="H51" s="10">
        <v>2</v>
      </c>
      <c r="I51" s="10" t="s">
        <v>27</v>
      </c>
      <c r="J51" s="10" t="s">
        <v>210</v>
      </c>
      <c r="K51" s="10">
        <v>980</v>
      </c>
      <c r="L51" s="10">
        <v>3</v>
      </c>
      <c r="M51" s="10">
        <v>27</v>
      </c>
      <c r="N51" s="10">
        <v>6</v>
      </c>
      <c r="O51" s="10" t="s">
        <v>211</v>
      </c>
      <c r="P51" s="10"/>
      <c r="Q51" s="10"/>
      <c r="R51" s="10"/>
      <c r="S51" s="10"/>
      <c r="T51" s="10" t="str">
        <f>_xlfn.TEXTJOIN("_",TRUE,C51,"node_eff",D51,M51,N51)</f>
        <v>s1_node_eff_survival_27_6</v>
      </c>
    </row>
    <row r="52" spans="1:20" x14ac:dyDescent="0.45">
      <c r="A52" s="10" t="str">
        <f>_xlfn.TEXTJOIN("_",TRUE,C52,"node",D52,M52,N52)</f>
        <v>s1_node_survival_28_2</v>
      </c>
      <c r="B52" s="10" t="s">
        <v>0</v>
      </c>
      <c r="C52" s="10" t="s">
        <v>26</v>
      </c>
      <c r="D52" s="10" t="s">
        <v>102</v>
      </c>
      <c r="E52" s="10" t="str">
        <f>"s1_node_"&amp;D52&amp;"_name"</f>
        <v>s1_node_survival_name</v>
      </c>
      <c r="F52" s="10" t="str">
        <f>"s1_node_"&amp;D52&amp;"_desc"</f>
        <v>s1_node_survival_desc</v>
      </c>
      <c r="G52" s="10" t="s">
        <v>140</v>
      </c>
      <c r="H52" s="10">
        <v>2</v>
      </c>
      <c r="I52" s="10" t="s">
        <v>27</v>
      </c>
      <c r="J52" s="10" t="s">
        <v>212</v>
      </c>
      <c r="K52" s="10">
        <v>1020</v>
      </c>
      <c r="L52" s="10">
        <v>3</v>
      </c>
      <c r="M52" s="10">
        <v>28</v>
      </c>
      <c r="N52" s="10">
        <v>2</v>
      </c>
      <c r="O52" s="10" t="s">
        <v>213</v>
      </c>
      <c r="P52" s="10"/>
      <c r="Q52" s="10"/>
      <c r="R52" s="10"/>
      <c r="S52" s="10"/>
      <c r="T52" s="10" t="str">
        <f>_xlfn.TEXTJOIN("_",TRUE,C52,"node_eff",D52,M52,N52)</f>
        <v>s1_node_eff_survival_28_2</v>
      </c>
    </row>
    <row r="53" spans="1:20" x14ac:dyDescent="0.45">
      <c r="A53" s="10" t="str">
        <f>_xlfn.TEXTJOIN("_",TRUE,C53,"node",D53,M53,N53)</f>
        <v>s1_node_survival_28_6</v>
      </c>
      <c r="B53" s="10" t="s">
        <v>0</v>
      </c>
      <c r="C53" s="10" t="s">
        <v>26</v>
      </c>
      <c r="D53" s="10" t="s">
        <v>102</v>
      </c>
      <c r="E53" s="10" t="str">
        <f>"s1_node_"&amp;D53&amp;"_name"</f>
        <v>s1_node_survival_name</v>
      </c>
      <c r="F53" s="10" t="str">
        <f>"s1_node_"&amp;D53&amp;"_desc"</f>
        <v>s1_node_survival_desc</v>
      </c>
      <c r="G53" s="10" t="s">
        <v>136</v>
      </c>
      <c r="H53" s="10">
        <v>2</v>
      </c>
      <c r="I53" s="10" t="s">
        <v>27</v>
      </c>
      <c r="J53" s="10" t="s">
        <v>212</v>
      </c>
      <c r="K53" s="10">
        <v>1020</v>
      </c>
      <c r="L53" s="10">
        <v>3</v>
      </c>
      <c r="M53" s="10">
        <v>28</v>
      </c>
      <c r="N53" s="10">
        <v>6</v>
      </c>
      <c r="O53" s="10" t="s">
        <v>214</v>
      </c>
      <c r="P53" s="10"/>
      <c r="Q53" s="10"/>
      <c r="R53" s="10"/>
      <c r="S53" s="10"/>
      <c r="T53" s="10" t="str">
        <f>_xlfn.TEXTJOIN("_",TRUE,C53,"node_eff",D53,M53,N53)</f>
        <v>s1_node_eff_survival_28_6</v>
      </c>
    </row>
    <row r="54" spans="1:20" x14ac:dyDescent="0.45">
      <c r="A54" s="10" t="str">
        <f>_xlfn.TEXTJOIN("_",TRUE,C54,"node",D54,M54,N54)</f>
        <v>s1_node_survival_29_2</v>
      </c>
      <c r="B54" s="10" t="s">
        <v>0</v>
      </c>
      <c r="C54" s="10" t="s">
        <v>26</v>
      </c>
      <c r="D54" s="10" t="s">
        <v>102</v>
      </c>
      <c r="E54" s="10" t="str">
        <f>"s1_node_"&amp;D54&amp;"_name"</f>
        <v>s1_node_survival_name</v>
      </c>
      <c r="F54" s="10" t="str">
        <f>"s1_node_"&amp;D54&amp;"_desc"</f>
        <v>s1_node_survival_desc</v>
      </c>
      <c r="G54" s="10" t="s">
        <v>136</v>
      </c>
      <c r="H54" s="10">
        <v>2</v>
      </c>
      <c r="I54" s="10" t="s">
        <v>27</v>
      </c>
      <c r="J54" s="10" t="s">
        <v>215</v>
      </c>
      <c r="K54" s="10">
        <v>1050</v>
      </c>
      <c r="L54" s="10">
        <v>3</v>
      </c>
      <c r="M54" s="10">
        <v>29</v>
      </c>
      <c r="N54" s="10">
        <v>2</v>
      </c>
      <c r="O54" s="10" t="s">
        <v>216</v>
      </c>
      <c r="P54" s="10"/>
      <c r="Q54" s="10"/>
      <c r="R54" s="10"/>
      <c r="S54" s="10"/>
      <c r="T54" s="10" t="str">
        <f>_xlfn.TEXTJOIN("_",TRUE,C54,"node_eff",D54,M54,N54)</f>
        <v>s1_node_eff_survival_29_2</v>
      </c>
    </row>
    <row r="55" spans="1:20" x14ac:dyDescent="0.45">
      <c r="A55" s="10" t="str">
        <f>_xlfn.TEXTJOIN("_",TRUE,C55,"node",D55,M55,N55)</f>
        <v>s1_node_survival_29_6</v>
      </c>
      <c r="B55" s="10" t="s">
        <v>0</v>
      </c>
      <c r="C55" s="10" t="s">
        <v>26</v>
      </c>
      <c r="D55" s="10" t="s">
        <v>102</v>
      </c>
      <c r="E55" s="10" t="str">
        <f>"s1_node_"&amp;D55&amp;"_name"</f>
        <v>s1_node_survival_name</v>
      </c>
      <c r="F55" s="10" t="str">
        <f>"s1_node_"&amp;D55&amp;"_desc"</f>
        <v>s1_node_survival_desc</v>
      </c>
      <c r="G55" s="10" t="s">
        <v>136</v>
      </c>
      <c r="H55" s="10">
        <v>2</v>
      </c>
      <c r="I55" s="10" t="s">
        <v>27</v>
      </c>
      <c r="J55" s="10" t="s">
        <v>215</v>
      </c>
      <c r="K55" s="10">
        <v>1050</v>
      </c>
      <c r="L55" s="10">
        <v>3</v>
      </c>
      <c r="M55" s="10">
        <v>29</v>
      </c>
      <c r="N55" s="10">
        <v>6</v>
      </c>
      <c r="O55" s="10" t="s">
        <v>217</v>
      </c>
      <c r="P55" s="10"/>
      <c r="Q55" s="10"/>
      <c r="R55" s="10"/>
      <c r="S55" s="10"/>
      <c r="T55" s="10" t="str">
        <f>_xlfn.TEXTJOIN("_",TRUE,C55,"node_eff",D55,M55,N55)</f>
        <v>s1_node_eff_survival_29_6</v>
      </c>
    </row>
    <row r="56" spans="1:20" x14ac:dyDescent="0.45">
      <c r="A56" s="10" t="str">
        <f>_xlfn.TEXTJOIN("_",TRUE,C56,"node",D56,M56,N56)</f>
        <v>s1_node_survival_30_2</v>
      </c>
      <c r="B56" s="10" t="s">
        <v>0</v>
      </c>
      <c r="C56" s="10" t="s">
        <v>26</v>
      </c>
      <c r="D56" s="10" t="s">
        <v>102</v>
      </c>
      <c r="E56" s="10" t="str">
        <f>"s1_node_"&amp;D56&amp;"_name"</f>
        <v>s1_node_survival_name</v>
      </c>
      <c r="F56" s="10" t="str">
        <f>"s1_node_"&amp;D56&amp;"_desc"</f>
        <v>s1_node_survival_desc</v>
      </c>
      <c r="G56" s="10" t="s">
        <v>147</v>
      </c>
      <c r="H56" s="10">
        <v>2</v>
      </c>
      <c r="I56" s="10" t="s">
        <v>27</v>
      </c>
      <c r="J56" s="10" t="s">
        <v>218</v>
      </c>
      <c r="K56" s="10">
        <v>1090</v>
      </c>
      <c r="L56" s="10">
        <v>3</v>
      </c>
      <c r="M56" s="10">
        <v>30</v>
      </c>
      <c r="N56" s="10">
        <v>2</v>
      </c>
      <c r="O56" s="10" t="s">
        <v>219</v>
      </c>
      <c r="P56" s="10"/>
      <c r="Q56" s="10"/>
      <c r="R56" s="10"/>
      <c r="S56" s="10"/>
      <c r="T56" s="10" t="str">
        <f>_xlfn.TEXTJOIN("_",TRUE,C56,"node_eff",D56,M56,N56)</f>
        <v>s1_node_eff_survival_30_2</v>
      </c>
    </row>
    <row r="57" spans="1:20" x14ac:dyDescent="0.45">
      <c r="A57" s="10" t="str">
        <f>_xlfn.TEXTJOIN("_",TRUE,C57,"node",D57,M57,N57)</f>
        <v>s1_node_survival_30_6</v>
      </c>
      <c r="B57" s="10" t="s">
        <v>0</v>
      </c>
      <c r="C57" s="10" t="s">
        <v>26</v>
      </c>
      <c r="D57" s="10" t="s">
        <v>102</v>
      </c>
      <c r="E57" s="10" t="str">
        <f>"s1_node_"&amp;D57&amp;"_name"</f>
        <v>s1_node_survival_name</v>
      </c>
      <c r="F57" s="10" t="str">
        <f>"s1_node_"&amp;D57&amp;"_desc"</f>
        <v>s1_node_survival_desc</v>
      </c>
      <c r="G57" s="10" t="s">
        <v>147</v>
      </c>
      <c r="H57" s="10">
        <v>2</v>
      </c>
      <c r="I57" s="10" t="s">
        <v>27</v>
      </c>
      <c r="J57" s="10" t="s">
        <v>218</v>
      </c>
      <c r="K57" s="10">
        <v>1090</v>
      </c>
      <c r="L57" s="10">
        <v>3</v>
      </c>
      <c r="M57" s="10">
        <v>30</v>
      </c>
      <c r="N57" s="10">
        <v>6</v>
      </c>
      <c r="O57" s="10" t="s">
        <v>220</v>
      </c>
      <c r="P57" s="10"/>
      <c r="Q57" s="10"/>
      <c r="R57" s="10"/>
      <c r="S57" s="10"/>
      <c r="T57" s="10" t="str">
        <f>_xlfn.TEXTJOIN("_",TRUE,C57,"node_eff",D57,M57,N57)</f>
        <v>s1_node_eff_survival_30_6</v>
      </c>
    </row>
    <row r="58" spans="1:20" x14ac:dyDescent="0.45">
      <c r="A58" s="10" t="str">
        <f>_xlfn.TEXTJOIN("_",TRUE,C58,"node",D58,M58,N58)</f>
        <v>s1_node_survival_31_4</v>
      </c>
      <c r="B58" s="10" t="s">
        <v>0</v>
      </c>
      <c r="C58" s="10" t="s">
        <v>26</v>
      </c>
      <c r="D58" s="10" t="s">
        <v>102</v>
      </c>
      <c r="E58" s="10" t="str">
        <f>"s1_node_"&amp;D58&amp;"_name"</f>
        <v>s1_node_survival_name</v>
      </c>
      <c r="F58" s="10" t="str">
        <f>"s1_node_"&amp;D58&amp;"_desc"</f>
        <v>s1_node_survival_desc</v>
      </c>
      <c r="G58" s="10" t="s">
        <v>136</v>
      </c>
      <c r="H58" s="10">
        <v>2</v>
      </c>
      <c r="I58" s="10" t="s">
        <v>27</v>
      </c>
      <c r="J58" s="10" t="s">
        <v>221</v>
      </c>
      <c r="K58" s="10">
        <v>1120</v>
      </c>
      <c r="L58" s="10">
        <v>3</v>
      </c>
      <c r="M58" s="10">
        <v>31</v>
      </c>
      <c r="N58" s="10">
        <v>4</v>
      </c>
      <c r="O58" s="10" t="s">
        <v>222</v>
      </c>
      <c r="P58" s="10" t="s">
        <v>223</v>
      </c>
      <c r="Q58" s="10"/>
      <c r="R58" s="10"/>
      <c r="S58" s="10"/>
      <c r="T58" s="10" t="str">
        <f>_xlfn.TEXTJOIN("_",TRUE,C58,"node_eff",D58,M58,N58)</f>
        <v>s1_node_eff_survival_31_4</v>
      </c>
    </row>
    <row r="59" spans="1:20" x14ac:dyDescent="0.45">
      <c r="A59" s="10" t="str">
        <f>_xlfn.TEXTJOIN("_",TRUE,C59,"node",D59,M59,N59)</f>
        <v>s1_node_survival_32_2</v>
      </c>
      <c r="B59" s="10" t="s">
        <v>0</v>
      </c>
      <c r="C59" s="10" t="s">
        <v>26</v>
      </c>
      <c r="D59" s="10" t="s">
        <v>102</v>
      </c>
      <c r="E59" s="10" t="str">
        <f>"s1_node_"&amp;D59&amp;"_name"</f>
        <v>s1_node_survival_name</v>
      </c>
      <c r="F59" s="10" t="str">
        <f>"s1_node_"&amp;D59&amp;"_desc"</f>
        <v>s1_node_survival_desc</v>
      </c>
      <c r="G59" s="10" t="s">
        <v>136</v>
      </c>
      <c r="H59" s="10">
        <v>2</v>
      </c>
      <c r="I59" s="10" t="s">
        <v>27</v>
      </c>
      <c r="J59" s="10" t="s">
        <v>224</v>
      </c>
      <c r="K59" s="10">
        <v>1160</v>
      </c>
      <c r="L59" s="10">
        <v>3</v>
      </c>
      <c r="M59" s="10">
        <v>32</v>
      </c>
      <c r="N59" s="10">
        <v>2</v>
      </c>
      <c r="O59" s="10" t="s">
        <v>225</v>
      </c>
      <c r="P59" s="10"/>
      <c r="Q59" s="10"/>
      <c r="R59" s="10"/>
      <c r="S59" s="10"/>
      <c r="T59" s="10" t="str">
        <f>_xlfn.TEXTJOIN("_",TRUE,C59,"node_eff",D59,M59,N59)</f>
        <v>s1_node_eff_survival_32_2</v>
      </c>
    </row>
    <row r="60" spans="1:20" x14ac:dyDescent="0.45">
      <c r="A60" s="10" t="str">
        <f>_xlfn.TEXTJOIN("_",TRUE,C60,"node",D60,M60,N60)</f>
        <v>s1_node_survival_32_6</v>
      </c>
      <c r="B60" s="10" t="s">
        <v>0</v>
      </c>
      <c r="C60" s="10" t="s">
        <v>26</v>
      </c>
      <c r="D60" s="10" t="s">
        <v>102</v>
      </c>
      <c r="E60" s="10" t="str">
        <f>"s1_node_"&amp;D60&amp;"_name"</f>
        <v>s1_node_survival_name</v>
      </c>
      <c r="F60" s="10" t="str">
        <f>"s1_node_"&amp;D60&amp;"_desc"</f>
        <v>s1_node_survival_desc</v>
      </c>
      <c r="G60" s="10" t="s">
        <v>140</v>
      </c>
      <c r="H60" s="10">
        <v>2</v>
      </c>
      <c r="I60" s="10" t="s">
        <v>27</v>
      </c>
      <c r="J60" s="10" t="s">
        <v>224</v>
      </c>
      <c r="K60" s="10">
        <v>1160</v>
      </c>
      <c r="L60" s="10">
        <v>3</v>
      </c>
      <c r="M60" s="10">
        <v>32</v>
      </c>
      <c r="N60" s="10">
        <v>6</v>
      </c>
      <c r="O60" s="10" t="s">
        <v>225</v>
      </c>
      <c r="P60" s="10"/>
      <c r="Q60" s="10"/>
      <c r="R60" s="10"/>
      <c r="S60" s="10"/>
      <c r="T60" s="10" t="str">
        <f>_xlfn.TEXTJOIN("_",TRUE,C60,"node_eff",D60,M60,N60)</f>
        <v>s1_node_eff_survival_32_6</v>
      </c>
    </row>
    <row r="61" spans="1:20" x14ac:dyDescent="0.45">
      <c r="A61" s="10" t="str">
        <f>_xlfn.TEXTJOIN("_",TRUE,C61,"node",D61,M61,N61)</f>
        <v>s1_node_survival_33_2</v>
      </c>
      <c r="B61" s="10" t="s">
        <v>0</v>
      </c>
      <c r="C61" s="10" t="s">
        <v>26</v>
      </c>
      <c r="D61" s="10" t="s">
        <v>102</v>
      </c>
      <c r="E61" s="10" t="str">
        <f>"s1_node_"&amp;D61&amp;"_name"</f>
        <v>s1_node_survival_name</v>
      </c>
      <c r="F61" s="10" t="str">
        <f>"s1_node_"&amp;D61&amp;"_desc"</f>
        <v>s1_node_survival_desc</v>
      </c>
      <c r="G61" s="10" t="s">
        <v>140</v>
      </c>
      <c r="H61" s="10">
        <v>2</v>
      </c>
      <c r="I61" s="10" t="s">
        <v>27</v>
      </c>
      <c r="J61" s="10" t="s">
        <v>226</v>
      </c>
      <c r="K61" s="10">
        <v>1190</v>
      </c>
      <c r="L61" s="10">
        <v>3</v>
      </c>
      <c r="M61" s="10">
        <v>33</v>
      </c>
      <c r="N61" s="10">
        <v>2</v>
      </c>
      <c r="O61" s="10" t="s">
        <v>227</v>
      </c>
      <c r="P61" s="10"/>
      <c r="Q61" s="10"/>
      <c r="R61" s="10"/>
      <c r="S61" s="10"/>
      <c r="T61" s="10" t="str">
        <f>_xlfn.TEXTJOIN("_",TRUE,C61,"node_eff",D61,M61,N61)</f>
        <v>s1_node_eff_survival_33_2</v>
      </c>
    </row>
    <row r="62" spans="1:20" x14ac:dyDescent="0.45">
      <c r="A62" s="10" t="str">
        <f>_xlfn.TEXTJOIN("_",TRUE,C62,"node",D62,M62,N62)</f>
        <v>s1_node_survival_33_6</v>
      </c>
      <c r="B62" s="10" t="s">
        <v>0</v>
      </c>
      <c r="C62" s="10" t="s">
        <v>26</v>
      </c>
      <c r="D62" s="10" t="s">
        <v>102</v>
      </c>
      <c r="E62" s="10" t="str">
        <f>"s1_node_"&amp;D62&amp;"_name"</f>
        <v>s1_node_survival_name</v>
      </c>
      <c r="F62" s="10" t="str">
        <f>"s1_node_"&amp;D62&amp;"_desc"</f>
        <v>s1_node_survival_desc</v>
      </c>
      <c r="G62" s="10" t="s">
        <v>136</v>
      </c>
      <c r="H62" s="10">
        <v>2</v>
      </c>
      <c r="I62" s="10" t="s">
        <v>27</v>
      </c>
      <c r="J62" s="10" t="s">
        <v>226</v>
      </c>
      <c r="K62" s="10">
        <v>1190</v>
      </c>
      <c r="L62" s="10">
        <v>3</v>
      </c>
      <c r="M62" s="10">
        <v>33</v>
      </c>
      <c r="N62" s="10">
        <v>6</v>
      </c>
      <c r="O62" s="10" t="s">
        <v>228</v>
      </c>
      <c r="P62" s="10"/>
      <c r="Q62" s="10"/>
      <c r="R62" s="10"/>
      <c r="S62" s="10"/>
      <c r="T62" s="10" t="str">
        <f>_xlfn.TEXTJOIN("_",TRUE,C62,"node_eff",D62,M62,N62)</f>
        <v>s1_node_eff_survival_33_6</v>
      </c>
    </row>
    <row r="63" spans="1:20" x14ac:dyDescent="0.45">
      <c r="A63" s="10" t="str">
        <f>_xlfn.TEXTJOIN("_",TRUE,C63,"node",D63,M63,N63)</f>
        <v>s1_node_survival_34_2</v>
      </c>
      <c r="B63" s="10" t="s">
        <v>0</v>
      </c>
      <c r="C63" s="10" t="s">
        <v>26</v>
      </c>
      <c r="D63" s="10" t="s">
        <v>102</v>
      </c>
      <c r="E63" s="10" t="str">
        <f>"s1_node_"&amp;D63&amp;"_name"</f>
        <v>s1_node_survival_name</v>
      </c>
      <c r="F63" s="10" t="str">
        <f>"s1_node_"&amp;D63&amp;"_desc"</f>
        <v>s1_node_survival_desc</v>
      </c>
      <c r="G63" s="10" t="s">
        <v>136</v>
      </c>
      <c r="H63" s="10">
        <v>2</v>
      </c>
      <c r="I63" s="10" t="s">
        <v>27</v>
      </c>
      <c r="J63" s="10" t="s">
        <v>229</v>
      </c>
      <c r="K63" s="10">
        <v>1230</v>
      </c>
      <c r="L63" s="10">
        <v>3</v>
      </c>
      <c r="M63" s="10">
        <v>34</v>
      </c>
      <c r="N63" s="10">
        <v>2</v>
      </c>
      <c r="O63" s="10" t="s">
        <v>230</v>
      </c>
      <c r="P63" s="10"/>
      <c r="Q63" s="10"/>
      <c r="R63" s="10"/>
      <c r="S63" s="10"/>
      <c r="T63" s="10" t="str">
        <f>_xlfn.TEXTJOIN("_",TRUE,C63,"node_eff",D63,M63,N63)</f>
        <v>s1_node_eff_survival_34_2</v>
      </c>
    </row>
    <row r="64" spans="1:20" x14ac:dyDescent="0.45">
      <c r="A64" s="10" t="str">
        <f>_xlfn.TEXTJOIN("_",TRUE,C64,"node",D64,M64,N64)</f>
        <v>s1_node_survival_34_6</v>
      </c>
      <c r="B64" s="10" t="s">
        <v>0</v>
      </c>
      <c r="C64" s="10" t="s">
        <v>26</v>
      </c>
      <c r="D64" s="10" t="s">
        <v>102</v>
      </c>
      <c r="E64" s="10" t="str">
        <f>"s1_node_"&amp;D64&amp;"_name"</f>
        <v>s1_node_survival_name</v>
      </c>
      <c r="F64" s="10" t="str">
        <f>"s1_node_"&amp;D64&amp;"_desc"</f>
        <v>s1_node_survival_desc</v>
      </c>
      <c r="G64" s="10" t="s">
        <v>136</v>
      </c>
      <c r="H64" s="10">
        <v>2</v>
      </c>
      <c r="I64" s="10" t="s">
        <v>27</v>
      </c>
      <c r="J64" s="10" t="s">
        <v>229</v>
      </c>
      <c r="K64" s="10">
        <v>1230</v>
      </c>
      <c r="L64" s="10">
        <v>3</v>
      </c>
      <c r="M64" s="10">
        <v>34</v>
      </c>
      <c r="N64" s="10">
        <v>6</v>
      </c>
      <c r="O64" s="10" t="s">
        <v>231</v>
      </c>
      <c r="P64" s="10"/>
      <c r="Q64" s="10"/>
      <c r="R64" s="10"/>
      <c r="S64" s="10"/>
      <c r="T64" s="10" t="str">
        <f>_xlfn.TEXTJOIN("_",TRUE,C64,"node_eff",D64,M64,N64)</f>
        <v>s1_node_eff_survival_34_6</v>
      </c>
    </row>
    <row r="65" spans="1:20" x14ac:dyDescent="0.45">
      <c r="A65" s="10" t="str">
        <f>_xlfn.TEXTJOIN("_",TRUE,C65,"node",D65,M65,N65)</f>
        <v>s1_node_survival_35_2</v>
      </c>
      <c r="B65" s="10" t="s">
        <v>0</v>
      </c>
      <c r="C65" s="10" t="s">
        <v>26</v>
      </c>
      <c r="D65" s="10" t="s">
        <v>102</v>
      </c>
      <c r="E65" s="10" t="str">
        <f>"s1_node_"&amp;D65&amp;"_name"</f>
        <v>s1_node_survival_name</v>
      </c>
      <c r="F65" s="10" t="str">
        <f>"s1_node_"&amp;D65&amp;"_desc"</f>
        <v>s1_node_survival_desc</v>
      </c>
      <c r="G65" s="10" t="s">
        <v>147</v>
      </c>
      <c r="H65" s="10">
        <v>2</v>
      </c>
      <c r="I65" s="10" t="s">
        <v>27</v>
      </c>
      <c r="J65" s="10" t="s">
        <v>232</v>
      </c>
      <c r="K65" s="10">
        <v>1260</v>
      </c>
      <c r="L65" s="10">
        <v>3</v>
      </c>
      <c r="M65" s="10">
        <v>35</v>
      </c>
      <c r="N65" s="10">
        <v>2</v>
      </c>
      <c r="O65" s="10" t="s">
        <v>233</v>
      </c>
      <c r="P65" s="10"/>
      <c r="Q65" s="10"/>
      <c r="R65" s="10"/>
      <c r="S65" s="10"/>
      <c r="T65" s="10" t="str">
        <f>_xlfn.TEXTJOIN("_",TRUE,C65,"node_eff",D65,M65,N65)</f>
        <v>s1_node_eff_survival_35_2</v>
      </c>
    </row>
    <row r="66" spans="1:20" x14ac:dyDescent="0.45">
      <c r="A66" s="10" t="str">
        <f>_xlfn.TEXTJOIN("_",TRUE,C66,"node",D66,M66,N66)</f>
        <v>s1_node_survival_35_6</v>
      </c>
      <c r="B66" s="10" t="s">
        <v>0</v>
      </c>
      <c r="C66" s="10" t="s">
        <v>26</v>
      </c>
      <c r="D66" s="10" t="s">
        <v>102</v>
      </c>
      <c r="E66" s="10" t="str">
        <f>"s1_node_"&amp;D66&amp;"_name"</f>
        <v>s1_node_survival_name</v>
      </c>
      <c r="F66" s="10" t="str">
        <f>"s1_node_"&amp;D66&amp;"_desc"</f>
        <v>s1_node_survival_desc</v>
      </c>
      <c r="G66" s="10" t="s">
        <v>147</v>
      </c>
      <c r="H66" s="10">
        <v>2</v>
      </c>
      <c r="I66" s="10" t="s">
        <v>27</v>
      </c>
      <c r="J66" s="10" t="s">
        <v>232</v>
      </c>
      <c r="K66" s="10">
        <v>1260</v>
      </c>
      <c r="L66" s="10">
        <v>3</v>
      </c>
      <c r="M66" s="10">
        <v>35</v>
      </c>
      <c r="N66" s="10">
        <v>6</v>
      </c>
      <c r="O66" s="10" t="s">
        <v>234</v>
      </c>
      <c r="P66" s="10"/>
      <c r="Q66" s="10"/>
      <c r="R66" s="10"/>
      <c r="S66" s="10"/>
      <c r="T66" s="10" t="str">
        <f>_xlfn.TEXTJOIN("_",TRUE,C66,"node_eff",D66,M66,N66)</f>
        <v>s1_node_eff_survival_35_6</v>
      </c>
    </row>
    <row r="67" spans="1:20" x14ac:dyDescent="0.45">
      <c r="A67" s="10" t="str">
        <f>_xlfn.TEXTJOIN("_",TRUE,C67,"node",D67,M67,N67)</f>
        <v>s1_node_survival_36_4</v>
      </c>
      <c r="B67" s="10" t="s">
        <v>0</v>
      </c>
      <c r="C67" s="10" t="s">
        <v>26</v>
      </c>
      <c r="D67" s="10" t="s">
        <v>102</v>
      </c>
      <c r="E67" s="10" t="str">
        <f>"s1_node_"&amp;D67&amp;"_name"</f>
        <v>s1_node_survival_name</v>
      </c>
      <c r="F67" s="10" t="str">
        <f>"s1_node_"&amp;D67&amp;"_desc"</f>
        <v>s1_node_survival_desc</v>
      </c>
      <c r="G67" s="10" t="s">
        <v>136</v>
      </c>
      <c r="H67" s="10">
        <v>2</v>
      </c>
      <c r="I67" s="10" t="s">
        <v>27</v>
      </c>
      <c r="J67" s="10" t="s">
        <v>235</v>
      </c>
      <c r="K67" s="10">
        <v>1300</v>
      </c>
      <c r="L67" s="10">
        <v>3</v>
      </c>
      <c r="M67" s="10">
        <v>36</v>
      </c>
      <c r="N67" s="10">
        <v>4</v>
      </c>
      <c r="O67" s="10" t="s">
        <v>236</v>
      </c>
      <c r="P67" s="10" t="s">
        <v>237</v>
      </c>
      <c r="Q67" s="10"/>
      <c r="R67" s="10"/>
      <c r="S67" s="10"/>
      <c r="T67" s="10" t="str">
        <f>_xlfn.TEXTJOIN("_",TRUE,C67,"node_eff",D67,M67,N67)</f>
        <v>s1_node_eff_survival_36_4</v>
      </c>
    </row>
    <row r="68" spans="1:20" x14ac:dyDescent="0.45">
      <c r="A68" s="10" t="str">
        <f>_xlfn.TEXTJOIN("_",TRUE,C68,"node",D68,M68,N68)</f>
        <v>s1_node_survival_37_2</v>
      </c>
      <c r="B68" s="10" t="s">
        <v>0</v>
      </c>
      <c r="C68" s="10" t="s">
        <v>26</v>
      </c>
      <c r="D68" s="10" t="s">
        <v>102</v>
      </c>
      <c r="E68" s="10" t="str">
        <f>"s1_node_"&amp;D68&amp;"_name"</f>
        <v>s1_node_survival_name</v>
      </c>
      <c r="F68" s="10" t="str">
        <f>"s1_node_"&amp;D68&amp;"_desc"</f>
        <v>s1_node_survival_desc</v>
      </c>
      <c r="G68" s="10" t="s">
        <v>136</v>
      </c>
      <c r="H68" s="10">
        <v>2</v>
      </c>
      <c r="I68" s="10" t="s">
        <v>27</v>
      </c>
      <c r="J68" s="10" t="s">
        <v>238</v>
      </c>
      <c r="K68" s="10">
        <v>1330</v>
      </c>
      <c r="L68" s="10">
        <v>3</v>
      </c>
      <c r="M68" s="10">
        <v>37</v>
      </c>
      <c r="N68" s="10">
        <v>2</v>
      </c>
      <c r="O68" s="10" t="s">
        <v>239</v>
      </c>
      <c r="P68" s="10"/>
      <c r="Q68" s="10"/>
      <c r="R68" s="10"/>
      <c r="S68" s="10"/>
      <c r="T68" s="10" t="str">
        <f>_xlfn.TEXTJOIN("_",TRUE,C68,"node_eff",D68,M68,N68)</f>
        <v>s1_node_eff_survival_37_2</v>
      </c>
    </row>
    <row r="69" spans="1:20" x14ac:dyDescent="0.45">
      <c r="A69" s="10" t="str">
        <f>_xlfn.TEXTJOIN("_",TRUE,C69,"node",D69,M69,N69)</f>
        <v>s1_node_survival_37_6</v>
      </c>
      <c r="B69" s="10" t="s">
        <v>0</v>
      </c>
      <c r="C69" s="10" t="s">
        <v>26</v>
      </c>
      <c r="D69" s="10" t="s">
        <v>102</v>
      </c>
      <c r="E69" s="10" t="str">
        <f>"s1_node_"&amp;D69&amp;"_name"</f>
        <v>s1_node_survival_name</v>
      </c>
      <c r="F69" s="10" t="str">
        <f>"s1_node_"&amp;D69&amp;"_desc"</f>
        <v>s1_node_survival_desc</v>
      </c>
      <c r="G69" s="10" t="s">
        <v>140</v>
      </c>
      <c r="H69" s="10">
        <v>2</v>
      </c>
      <c r="I69" s="10" t="s">
        <v>27</v>
      </c>
      <c r="J69" s="10" t="s">
        <v>238</v>
      </c>
      <c r="K69" s="10">
        <v>1330</v>
      </c>
      <c r="L69" s="10">
        <v>3</v>
      </c>
      <c r="M69" s="10">
        <v>37</v>
      </c>
      <c r="N69" s="10">
        <v>6</v>
      </c>
      <c r="O69" s="10" t="s">
        <v>239</v>
      </c>
      <c r="P69" s="10"/>
      <c r="Q69" s="10"/>
      <c r="R69" s="10"/>
      <c r="S69" s="10"/>
      <c r="T69" s="10" t="str">
        <f>_xlfn.TEXTJOIN("_",TRUE,C69,"node_eff",D69,M69,N69)</f>
        <v>s1_node_eff_survival_37_6</v>
      </c>
    </row>
    <row r="70" spans="1:20" x14ac:dyDescent="0.45">
      <c r="A70" s="10" t="str">
        <f>_xlfn.TEXTJOIN("_",TRUE,C70,"node",D70,M70,N70)</f>
        <v>s1_node_survival_38_2</v>
      </c>
      <c r="B70" s="10" t="s">
        <v>0</v>
      </c>
      <c r="C70" s="10" t="s">
        <v>26</v>
      </c>
      <c r="D70" s="10" t="s">
        <v>102</v>
      </c>
      <c r="E70" s="10" t="str">
        <f>"s1_node_"&amp;D70&amp;"_name"</f>
        <v>s1_node_survival_name</v>
      </c>
      <c r="F70" s="10" t="str">
        <f>"s1_node_"&amp;D70&amp;"_desc"</f>
        <v>s1_node_survival_desc</v>
      </c>
      <c r="G70" s="10" t="s">
        <v>140</v>
      </c>
      <c r="H70" s="10">
        <v>2</v>
      </c>
      <c r="I70" s="10" t="s">
        <v>27</v>
      </c>
      <c r="J70" s="10" t="s">
        <v>240</v>
      </c>
      <c r="K70" s="10">
        <v>1370</v>
      </c>
      <c r="L70" s="10">
        <v>3</v>
      </c>
      <c r="M70" s="10">
        <v>38</v>
      </c>
      <c r="N70" s="10">
        <v>2</v>
      </c>
      <c r="O70" s="10" t="s">
        <v>241</v>
      </c>
      <c r="P70" s="10"/>
      <c r="Q70" s="10"/>
      <c r="R70" s="10"/>
      <c r="S70" s="10"/>
      <c r="T70" s="10" t="str">
        <f>_xlfn.TEXTJOIN("_",TRUE,C70,"node_eff",D70,M70,N70)</f>
        <v>s1_node_eff_survival_38_2</v>
      </c>
    </row>
    <row r="71" spans="1:20" x14ac:dyDescent="0.45">
      <c r="A71" s="10" t="str">
        <f>_xlfn.TEXTJOIN("_",TRUE,C71,"node",D71,M71,N71)</f>
        <v>s1_node_survival_38_6</v>
      </c>
      <c r="B71" s="10" t="s">
        <v>0</v>
      </c>
      <c r="C71" s="10" t="s">
        <v>26</v>
      </c>
      <c r="D71" s="10" t="s">
        <v>102</v>
      </c>
      <c r="E71" s="10" t="str">
        <f>"s1_node_"&amp;D71&amp;"_name"</f>
        <v>s1_node_survival_name</v>
      </c>
      <c r="F71" s="10" t="str">
        <f>"s1_node_"&amp;D71&amp;"_desc"</f>
        <v>s1_node_survival_desc</v>
      </c>
      <c r="G71" s="10" t="s">
        <v>136</v>
      </c>
      <c r="H71" s="10">
        <v>2</v>
      </c>
      <c r="I71" s="10" t="s">
        <v>27</v>
      </c>
      <c r="J71" s="10" t="s">
        <v>240</v>
      </c>
      <c r="K71" s="10">
        <v>1370</v>
      </c>
      <c r="L71" s="10">
        <v>3</v>
      </c>
      <c r="M71" s="10">
        <v>38</v>
      </c>
      <c r="N71" s="10">
        <v>6</v>
      </c>
      <c r="O71" s="10" t="s">
        <v>242</v>
      </c>
      <c r="P71" s="10"/>
      <c r="Q71" s="10"/>
      <c r="R71" s="10"/>
      <c r="S71" s="10"/>
      <c r="T71" s="10" t="str">
        <f>_xlfn.TEXTJOIN("_",TRUE,C71,"node_eff",D71,M71,N71)</f>
        <v>s1_node_eff_survival_38_6</v>
      </c>
    </row>
    <row r="72" spans="1:20" x14ac:dyDescent="0.45">
      <c r="A72" s="10" t="str">
        <f>_xlfn.TEXTJOIN("_",TRUE,C72,"node",D72,M72,N72)</f>
        <v>s1_node_survival_39_2</v>
      </c>
      <c r="B72" s="10" t="s">
        <v>0</v>
      </c>
      <c r="C72" s="10" t="s">
        <v>26</v>
      </c>
      <c r="D72" s="10" t="s">
        <v>102</v>
      </c>
      <c r="E72" s="10" t="str">
        <f>"s1_node_"&amp;D72&amp;"_name"</f>
        <v>s1_node_survival_name</v>
      </c>
      <c r="F72" s="10" t="str">
        <f>"s1_node_"&amp;D72&amp;"_desc"</f>
        <v>s1_node_survival_desc</v>
      </c>
      <c r="G72" s="10" t="s">
        <v>136</v>
      </c>
      <c r="H72" s="10">
        <v>2</v>
      </c>
      <c r="I72" s="10" t="s">
        <v>27</v>
      </c>
      <c r="J72" s="10" t="s">
        <v>243</v>
      </c>
      <c r="K72" s="10">
        <v>1400</v>
      </c>
      <c r="L72" s="10">
        <v>3</v>
      </c>
      <c r="M72" s="10">
        <v>39</v>
      </c>
      <c r="N72" s="10">
        <v>2</v>
      </c>
      <c r="O72" s="10" t="s">
        <v>244</v>
      </c>
      <c r="P72" s="10"/>
      <c r="Q72" s="10"/>
      <c r="R72" s="10"/>
      <c r="S72" s="10"/>
      <c r="T72" s="10" t="str">
        <f>_xlfn.TEXTJOIN("_",TRUE,C72,"node_eff",D72,M72,N72)</f>
        <v>s1_node_eff_survival_39_2</v>
      </c>
    </row>
    <row r="73" spans="1:20" x14ac:dyDescent="0.45">
      <c r="A73" s="10" t="str">
        <f>_xlfn.TEXTJOIN("_",TRUE,C73,"node",D73,M73,N73)</f>
        <v>s1_node_survival_39_6</v>
      </c>
      <c r="B73" s="10" t="s">
        <v>0</v>
      </c>
      <c r="C73" s="10" t="s">
        <v>26</v>
      </c>
      <c r="D73" s="10" t="s">
        <v>102</v>
      </c>
      <c r="E73" s="10" t="str">
        <f>"s1_node_"&amp;D73&amp;"_name"</f>
        <v>s1_node_survival_name</v>
      </c>
      <c r="F73" s="10" t="str">
        <f>"s1_node_"&amp;D73&amp;"_desc"</f>
        <v>s1_node_survival_desc</v>
      </c>
      <c r="G73" s="10" t="s">
        <v>136</v>
      </c>
      <c r="H73" s="10">
        <v>2</v>
      </c>
      <c r="I73" s="10" t="s">
        <v>27</v>
      </c>
      <c r="J73" s="10" t="s">
        <v>243</v>
      </c>
      <c r="K73" s="10">
        <v>1400</v>
      </c>
      <c r="L73" s="10">
        <v>3</v>
      </c>
      <c r="M73" s="10">
        <v>39</v>
      </c>
      <c r="N73" s="10">
        <v>6</v>
      </c>
      <c r="O73" s="10" t="s">
        <v>245</v>
      </c>
      <c r="P73" s="10"/>
      <c r="Q73" s="10"/>
      <c r="R73" s="10"/>
      <c r="S73" s="10"/>
      <c r="T73" s="10" t="str">
        <f>_xlfn.TEXTJOIN("_",TRUE,C73,"node_eff",D73,M73,N73)</f>
        <v>s1_node_eff_survival_39_6</v>
      </c>
    </row>
    <row r="74" spans="1:20" x14ac:dyDescent="0.45">
      <c r="A74" s="10" t="str">
        <f>_xlfn.TEXTJOIN("_",TRUE,C74,"node",D74,M74,N74)</f>
        <v>s1_node_survival_40_2</v>
      </c>
      <c r="B74" s="10" t="s">
        <v>0</v>
      </c>
      <c r="C74" s="10" t="s">
        <v>26</v>
      </c>
      <c r="D74" s="10" t="s">
        <v>102</v>
      </c>
      <c r="E74" s="10" t="str">
        <f>"s1_node_"&amp;D74&amp;"_name"</f>
        <v>s1_node_survival_name</v>
      </c>
      <c r="F74" s="10" t="str">
        <f>"s1_node_"&amp;D74&amp;"_desc"</f>
        <v>s1_node_survival_desc</v>
      </c>
      <c r="G74" s="10" t="s">
        <v>147</v>
      </c>
      <c r="H74" s="10">
        <v>2</v>
      </c>
      <c r="I74" s="10" t="s">
        <v>27</v>
      </c>
      <c r="J74" s="10" t="s">
        <v>246</v>
      </c>
      <c r="K74" s="10">
        <v>1440</v>
      </c>
      <c r="L74" s="10">
        <v>3</v>
      </c>
      <c r="M74" s="10">
        <v>40</v>
      </c>
      <c r="N74" s="10">
        <v>2</v>
      </c>
      <c r="O74" s="10" t="s">
        <v>247</v>
      </c>
      <c r="P74" s="10"/>
      <c r="Q74" s="10"/>
      <c r="R74" s="10"/>
      <c r="S74" s="10"/>
      <c r="T74" s="10" t="str">
        <f>_xlfn.TEXTJOIN("_",TRUE,C74,"node_eff",D74,M74,N74)</f>
        <v>s1_node_eff_survival_40_2</v>
      </c>
    </row>
    <row r="75" spans="1:20" x14ac:dyDescent="0.45">
      <c r="A75" s="10" t="str">
        <f>_xlfn.TEXTJOIN("_",TRUE,C75,"node",D75,M75,N75)</f>
        <v>s1_node_survival_40_6</v>
      </c>
      <c r="B75" s="10" t="s">
        <v>0</v>
      </c>
      <c r="C75" s="10" t="s">
        <v>26</v>
      </c>
      <c r="D75" s="10" t="s">
        <v>102</v>
      </c>
      <c r="E75" s="10" t="str">
        <f>"s1_node_"&amp;D75&amp;"_name"</f>
        <v>s1_node_survival_name</v>
      </c>
      <c r="F75" s="10" t="str">
        <f>"s1_node_"&amp;D75&amp;"_desc"</f>
        <v>s1_node_survival_desc</v>
      </c>
      <c r="G75" s="10" t="s">
        <v>147</v>
      </c>
      <c r="H75" s="10">
        <v>2</v>
      </c>
      <c r="I75" s="10" t="s">
        <v>27</v>
      </c>
      <c r="J75" s="10" t="s">
        <v>246</v>
      </c>
      <c r="K75" s="10">
        <v>1440</v>
      </c>
      <c r="L75" s="10">
        <v>3</v>
      </c>
      <c r="M75" s="10">
        <v>40</v>
      </c>
      <c r="N75" s="10">
        <v>6</v>
      </c>
      <c r="O75" s="10" t="s">
        <v>248</v>
      </c>
      <c r="P75" s="10"/>
      <c r="Q75" s="10"/>
      <c r="R75" s="10"/>
      <c r="S75" s="10"/>
      <c r="T75" s="10" t="str">
        <f>_xlfn.TEXTJOIN("_",TRUE,C75,"node_eff",D75,M75,N75)</f>
        <v>s1_node_eff_survival_40_6</v>
      </c>
    </row>
    <row r="76" spans="1:20" x14ac:dyDescent="0.45">
      <c r="A76" s="0" t="str">
        <f>_xlfn.TEXTJOIN("_",TRUE,C76,"node",D76,M76,N76)</f>
        <v>s1_node_survival_41_4</v>
      </c>
      <c r="B76" s="0" t="s">
        <v>0</v>
      </c>
      <c r="C76" s="0" t="s">
        <v>26</v>
      </c>
      <c r="D76" s="0" t="s">
        <v>102</v>
      </c>
      <c r="E76" s="0" t="str">
        <f>"s1_node_"&amp;D76&amp;"_name"</f>
        <v>s1_node_survival_name</v>
      </c>
      <c r="F76" s="10" t="str">
        <f>"s1_node_"&amp;D76&amp;"_desc"</f>
        <v>s1_node_survival_desc</v>
      </c>
      <c r="G76" s="0" t="s">
        <v>136</v>
      </c>
      <c r="H76" s="0">
        <v>3</v>
      </c>
      <c r="I76" s="0" t="s">
        <v>27</v>
      </c>
      <c r="J76" s="0" t="s">
        <v>249</v>
      </c>
      <c r="K76" s="0">
        <v>1470</v>
      </c>
      <c r="L76" s="10">
        <v>3</v>
      </c>
      <c r="M76" s="0">
        <v>41</v>
      </c>
      <c r="N76" s="0">
        <v>4</v>
      </c>
      <c r="O76" s="0" t="s">
        <v>250</v>
      </c>
      <c r="P76" s="0" t="s">
        <v>251</v>
      </c>
      <c r="T76" s="0" t="str">
        <f>_xlfn.TEXTJOIN("_",TRUE,C76,"node_eff",D76,M76,N76)</f>
        <v>s1_node_eff_survival_41_4</v>
      </c>
    </row>
    <row r="77" spans="1:20" x14ac:dyDescent="0.45">
      <c r="A77" s="0" t="str">
        <f>_xlfn.TEXTJOIN("_",TRUE,C77,"node",D77,M77,N77)</f>
        <v>s1_node_survival_42_2</v>
      </c>
      <c r="B77" s="0" t="s">
        <v>0</v>
      </c>
      <c r="C77" s="0" t="s">
        <v>26</v>
      </c>
      <c r="D77" s="0" t="s">
        <v>102</v>
      </c>
      <c r="E77" s="0" t="str">
        <f>"s1_node_"&amp;D77&amp;"_name"</f>
        <v>s1_node_survival_name</v>
      </c>
      <c r="F77" s="10" t="str">
        <f>"s1_node_"&amp;D77&amp;"_desc"</f>
        <v>s1_node_survival_desc</v>
      </c>
      <c r="G77" s="0" t="s">
        <v>136</v>
      </c>
      <c r="H77" s="0">
        <v>3</v>
      </c>
      <c r="I77" s="0" t="s">
        <v>27</v>
      </c>
      <c r="J77" s="0" t="s">
        <v>252</v>
      </c>
      <c r="K77" s="0">
        <v>1510</v>
      </c>
      <c r="L77" s="10">
        <v>3</v>
      </c>
      <c r="M77" s="0">
        <v>42</v>
      </c>
      <c r="N77" s="0">
        <v>2</v>
      </c>
      <c r="O77" s="0" t="s">
        <v>253</v>
      </c>
      <c r="T77" s="0" t="str">
        <f>_xlfn.TEXTJOIN("_",TRUE,C77,"node_eff",D77,M77,N77)</f>
        <v>s1_node_eff_survival_42_2</v>
      </c>
    </row>
    <row r="78" spans="1:20" x14ac:dyDescent="0.45">
      <c r="A78" s="0" t="str">
        <f>_xlfn.TEXTJOIN("_",TRUE,C78,"node",D78,M78,N78)</f>
        <v>s1_node_survival_42_6</v>
      </c>
      <c r="B78" s="0" t="s">
        <v>0</v>
      </c>
      <c r="C78" s="0" t="s">
        <v>26</v>
      </c>
      <c r="D78" s="0" t="s">
        <v>102</v>
      </c>
      <c r="E78" s="0" t="str">
        <f>"s1_node_"&amp;D78&amp;"_name"</f>
        <v>s1_node_survival_name</v>
      </c>
      <c r="F78" s="10" t="str">
        <f>"s1_node_"&amp;D78&amp;"_desc"</f>
        <v>s1_node_survival_desc</v>
      </c>
      <c r="G78" s="0" t="s">
        <v>140</v>
      </c>
      <c r="H78" s="0">
        <v>3</v>
      </c>
      <c r="I78" s="0" t="s">
        <v>27</v>
      </c>
      <c r="J78" s="0" t="s">
        <v>252</v>
      </c>
      <c r="K78" s="0">
        <v>1510</v>
      </c>
      <c r="L78" s="10">
        <v>3</v>
      </c>
      <c r="M78" s="0">
        <v>42</v>
      </c>
      <c r="N78" s="0">
        <v>6</v>
      </c>
      <c r="O78" s="0" t="s">
        <v>253</v>
      </c>
      <c r="T78" s="0" t="str">
        <f>_xlfn.TEXTJOIN("_",TRUE,C78,"node_eff",D78,M78,N78)</f>
        <v>s1_node_eff_survival_42_6</v>
      </c>
    </row>
    <row r="79" spans="1:20" x14ac:dyDescent="0.45">
      <c r="A79" s="0" t="str">
        <f>_xlfn.TEXTJOIN("_",TRUE,C79,"node",D79,M79,N79)</f>
        <v>s1_node_survival_43_2</v>
      </c>
      <c r="B79" s="0" t="s">
        <v>0</v>
      </c>
      <c r="C79" s="0" t="s">
        <v>26</v>
      </c>
      <c r="D79" s="0" t="s">
        <v>102</v>
      </c>
      <c r="E79" s="0" t="str">
        <f>"s1_node_"&amp;D79&amp;"_name"</f>
        <v>s1_node_survival_name</v>
      </c>
      <c r="F79" s="10" t="str">
        <f>"s1_node_"&amp;D79&amp;"_desc"</f>
        <v>s1_node_survival_desc</v>
      </c>
      <c r="G79" s="0" t="s">
        <v>140</v>
      </c>
      <c r="H79" s="0">
        <v>3</v>
      </c>
      <c r="I79" s="0" t="s">
        <v>27</v>
      </c>
      <c r="J79" s="0" t="s">
        <v>254</v>
      </c>
      <c r="K79" s="0">
        <v>1540</v>
      </c>
      <c r="L79" s="10">
        <v>3</v>
      </c>
      <c r="M79" s="0">
        <v>43</v>
      </c>
      <c r="N79" s="0">
        <v>2</v>
      </c>
      <c r="O79" s="0" t="s">
        <v>255</v>
      </c>
      <c r="T79" s="0" t="str">
        <f>_xlfn.TEXTJOIN("_",TRUE,C79,"node_eff",D79,M79,N79)</f>
        <v>s1_node_eff_survival_43_2</v>
      </c>
    </row>
    <row r="80" spans="1:20" x14ac:dyDescent="0.45">
      <c r="A80" s="0" t="str">
        <f>_xlfn.TEXTJOIN("_",TRUE,C80,"node",D80,M80,N80)</f>
        <v>s1_node_survival_43_6</v>
      </c>
      <c r="B80" s="0" t="s">
        <v>0</v>
      </c>
      <c r="C80" s="0" t="s">
        <v>26</v>
      </c>
      <c r="D80" s="0" t="s">
        <v>102</v>
      </c>
      <c r="E80" s="0" t="str">
        <f>"s1_node_"&amp;D80&amp;"_name"</f>
        <v>s1_node_survival_name</v>
      </c>
      <c r="F80" s="10" t="str">
        <f>"s1_node_"&amp;D80&amp;"_desc"</f>
        <v>s1_node_survival_desc</v>
      </c>
      <c r="G80" s="0" t="s">
        <v>136</v>
      </c>
      <c r="H80" s="0">
        <v>3</v>
      </c>
      <c r="I80" s="0" t="s">
        <v>27</v>
      </c>
      <c r="J80" s="0" t="s">
        <v>254</v>
      </c>
      <c r="K80" s="0">
        <v>1540</v>
      </c>
      <c r="L80" s="10">
        <v>3</v>
      </c>
      <c r="M80" s="0">
        <v>43</v>
      </c>
      <c r="N80" s="0">
        <v>6</v>
      </c>
      <c r="O80" s="0" t="s">
        <v>256</v>
      </c>
      <c r="T80" s="0" t="str">
        <f>_xlfn.TEXTJOIN("_",TRUE,C80,"node_eff",D80,M80,N80)</f>
        <v>s1_node_eff_survival_43_6</v>
      </c>
    </row>
    <row r="81" spans="1:20" x14ac:dyDescent="0.45">
      <c r="A81" s="0" t="str">
        <f>_xlfn.TEXTJOIN("_",TRUE,C81,"node",D81,M81,N81)</f>
        <v>s1_node_survival_44_2</v>
      </c>
      <c r="B81" s="0" t="s">
        <v>0</v>
      </c>
      <c r="C81" s="0" t="s">
        <v>26</v>
      </c>
      <c r="D81" s="0" t="s">
        <v>102</v>
      </c>
      <c r="E81" s="0" t="str">
        <f>"s1_node_"&amp;D81&amp;"_name"</f>
        <v>s1_node_survival_name</v>
      </c>
      <c r="F81" s="10" t="str">
        <f>"s1_node_"&amp;D81&amp;"_desc"</f>
        <v>s1_node_survival_desc</v>
      </c>
      <c r="G81" s="0" t="s">
        <v>136</v>
      </c>
      <c r="H81" s="0">
        <v>3</v>
      </c>
      <c r="I81" s="0" t="s">
        <v>27</v>
      </c>
      <c r="J81" s="0" t="s">
        <v>257</v>
      </c>
      <c r="K81" s="0">
        <v>1570</v>
      </c>
      <c r="L81" s="10">
        <v>3</v>
      </c>
      <c r="M81" s="0">
        <v>44</v>
      </c>
      <c r="N81" s="0">
        <v>2</v>
      </c>
      <c r="O81" s="0" t="s">
        <v>258</v>
      </c>
      <c r="T81" s="0" t="str">
        <f>_xlfn.TEXTJOIN("_",TRUE,C81,"node_eff",D81,M81,N81)</f>
        <v>s1_node_eff_survival_44_2</v>
      </c>
    </row>
    <row r="82" spans="1:20" x14ac:dyDescent="0.45">
      <c r="A82" s="0" t="str">
        <f>_xlfn.TEXTJOIN("_",TRUE,C82,"node",D82,M82,N82)</f>
        <v>s1_node_survival_44_6</v>
      </c>
      <c r="B82" s="0" t="s">
        <v>0</v>
      </c>
      <c r="C82" s="0" t="s">
        <v>26</v>
      </c>
      <c r="D82" s="0" t="s">
        <v>102</v>
      </c>
      <c r="E82" s="0" t="str">
        <f>"s1_node_"&amp;D82&amp;"_name"</f>
        <v>s1_node_survival_name</v>
      </c>
      <c r="F82" s="10" t="str">
        <f>"s1_node_"&amp;D82&amp;"_desc"</f>
        <v>s1_node_survival_desc</v>
      </c>
      <c r="G82" s="0" t="s">
        <v>136</v>
      </c>
      <c r="H82" s="0">
        <v>3</v>
      </c>
      <c r="I82" s="0" t="s">
        <v>27</v>
      </c>
      <c r="J82" s="0" t="s">
        <v>257</v>
      </c>
      <c r="K82" s="0">
        <v>1570</v>
      </c>
      <c r="L82" s="10">
        <v>3</v>
      </c>
      <c r="M82" s="0">
        <v>44</v>
      </c>
      <c r="N82" s="0">
        <v>6</v>
      </c>
      <c r="O82" s="0" t="s">
        <v>259</v>
      </c>
      <c r="T82" s="0" t="str">
        <f>_xlfn.TEXTJOIN("_",TRUE,C82,"node_eff",D82,M82,N82)</f>
        <v>s1_node_eff_survival_44_6</v>
      </c>
    </row>
    <row r="83" spans="1:20" x14ac:dyDescent="0.45">
      <c r="A83" s="0" t="str">
        <f>_xlfn.TEXTJOIN("_",TRUE,C83,"node",D83,M83,N83)</f>
        <v>s1_node_survival_45_2</v>
      </c>
      <c r="B83" s="0" t="s">
        <v>0</v>
      </c>
      <c r="C83" s="0" t="s">
        <v>26</v>
      </c>
      <c r="D83" s="0" t="s">
        <v>102</v>
      </c>
      <c r="E83" s="0" t="str">
        <f>"s1_node_"&amp;D83&amp;"_name"</f>
        <v>s1_node_survival_name</v>
      </c>
      <c r="F83" s="10" t="str">
        <f>"s1_node_"&amp;D83&amp;"_desc"</f>
        <v>s1_node_survival_desc</v>
      </c>
      <c r="G83" s="0" t="s">
        <v>147</v>
      </c>
      <c r="H83" s="0">
        <v>3</v>
      </c>
      <c r="I83" s="0" t="s">
        <v>27</v>
      </c>
      <c r="J83" s="0" t="s">
        <v>260</v>
      </c>
      <c r="K83" s="0">
        <v>1610</v>
      </c>
      <c r="L83" s="10">
        <v>3</v>
      </c>
      <c r="M83" s="0">
        <v>45</v>
      </c>
      <c r="N83" s="0">
        <v>2</v>
      </c>
      <c r="O83" s="0" t="s">
        <v>261</v>
      </c>
      <c r="T83" s="0" t="str">
        <f>_xlfn.TEXTJOIN("_",TRUE,C83,"node_eff",D83,M83,N83)</f>
        <v>s1_node_eff_survival_45_2</v>
      </c>
    </row>
    <row r="84" spans="1:20" x14ac:dyDescent="0.45">
      <c r="A84" s="0" t="str">
        <f>_xlfn.TEXTJOIN("_",TRUE,C84,"node",D84,M84,N84)</f>
        <v>s1_node_survival_45_6</v>
      </c>
      <c r="B84" s="0" t="s">
        <v>0</v>
      </c>
      <c r="C84" s="0" t="s">
        <v>26</v>
      </c>
      <c r="D84" s="0" t="s">
        <v>102</v>
      </c>
      <c r="E84" s="0" t="str">
        <f>"s1_node_"&amp;D84&amp;"_name"</f>
        <v>s1_node_survival_name</v>
      </c>
      <c r="F84" s="10" t="str">
        <f>"s1_node_"&amp;D84&amp;"_desc"</f>
        <v>s1_node_survival_desc</v>
      </c>
      <c r="G84" s="0" t="s">
        <v>147</v>
      </c>
      <c r="H84" s="0">
        <v>3</v>
      </c>
      <c r="I84" s="0" t="s">
        <v>27</v>
      </c>
      <c r="J84" s="0" t="s">
        <v>260</v>
      </c>
      <c r="K84" s="0">
        <v>1610</v>
      </c>
      <c r="L84" s="10">
        <v>3</v>
      </c>
      <c r="M84" s="0">
        <v>45</v>
      </c>
      <c r="N84" s="0">
        <v>6</v>
      </c>
      <c r="O84" s="0" t="s">
        <v>262</v>
      </c>
      <c r="T84" s="0" t="str">
        <f>_xlfn.TEXTJOIN("_",TRUE,C84,"node_eff",D84,M84,N84)</f>
        <v>s1_node_eff_survival_45_6</v>
      </c>
    </row>
    <row r="85" spans="1:20" x14ac:dyDescent="0.45">
      <c r="A85" s="0" t="str">
        <f>_xlfn.TEXTJOIN("_",TRUE,C85,"node",D85,M85,N85)</f>
        <v>s1_node_survival_46_4</v>
      </c>
      <c r="B85" s="0" t="s">
        <v>0</v>
      </c>
      <c r="C85" s="0" t="s">
        <v>26</v>
      </c>
      <c r="D85" s="0" t="s">
        <v>102</v>
      </c>
      <c r="E85" s="0" t="str">
        <f>"s1_node_"&amp;D85&amp;"_name"</f>
        <v>s1_node_survival_name</v>
      </c>
      <c r="F85" s="10" t="str">
        <f>"s1_node_"&amp;D85&amp;"_desc"</f>
        <v>s1_node_survival_desc</v>
      </c>
      <c r="G85" s="0" t="s">
        <v>136</v>
      </c>
      <c r="H85" s="0">
        <v>3</v>
      </c>
      <c r="I85" s="0" t="s">
        <v>27</v>
      </c>
      <c r="J85" s="0" t="s">
        <v>263</v>
      </c>
      <c r="K85" s="0">
        <v>1640</v>
      </c>
      <c r="L85" s="10">
        <v>3</v>
      </c>
      <c r="M85" s="0">
        <v>46</v>
      </c>
      <c r="N85" s="0">
        <v>4</v>
      </c>
      <c r="O85" s="0" t="s">
        <v>264</v>
      </c>
      <c r="P85" s="0" t="s">
        <v>265</v>
      </c>
      <c r="T85" s="0" t="str">
        <f>_xlfn.TEXTJOIN("_",TRUE,C85,"node_eff",D85,M85,N85)</f>
        <v>s1_node_eff_survival_46_4</v>
      </c>
    </row>
    <row r="86" spans="1:20" x14ac:dyDescent="0.45">
      <c r="A86" s="0" t="str">
        <f>_xlfn.TEXTJOIN("_",TRUE,C86,"node",D86,M86,N86)</f>
        <v>s1_node_survival_47_2</v>
      </c>
      <c r="B86" s="0" t="s">
        <v>0</v>
      </c>
      <c r="C86" s="0" t="s">
        <v>26</v>
      </c>
      <c r="D86" s="0" t="s">
        <v>102</v>
      </c>
      <c r="E86" s="0" t="str">
        <f>"s1_node_"&amp;D86&amp;"_name"</f>
        <v>s1_node_survival_name</v>
      </c>
      <c r="F86" s="10" t="str">
        <f>"s1_node_"&amp;D86&amp;"_desc"</f>
        <v>s1_node_survival_desc</v>
      </c>
      <c r="G86" s="0" t="s">
        <v>136</v>
      </c>
      <c r="H86" s="0">
        <v>3</v>
      </c>
      <c r="I86" s="0" t="s">
        <v>27</v>
      </c>
      <c r="J86" s="0" t="s">
        <v>266</v>
      </c>
      <c r="K86" s="0">
        <v>1680</v>
      </c>
      <c r="L86" s="10">
        <v>3</v>
      </c>
      <c r="M86" s="0">
        <v>47</v>
      </c>
      <c r="N86" s="0">
        <v>2</v>
      </c>
      <c r="O86" s="0" t="s">
        <v>267</v>
      </c>
      <c r="T86" s="0" t="str">
        <f>_xlfn.TEXTJOIN("_",TRUE,C86,"node_eff",D86,M86,N86)</f>
        <v>s1_node_eff_survival_47_2</v>
      </c>
    </row>
    <row r="87" spans="1:20" x14ac:dyDescent="0.45">
      <c r="A87" s="0" t="str">
        <f>_xlfn.TEXTJOIN("_",TRUE,C87,"node",D87,M87,N87)</f>
        <v>s1_node_survival_47_6</v>
      </c>
      <c r="B87" s="0" t="s">
        <v>0</v>
      </c>
      <c r="C87" s="0" t="s">
        <v>26</v>
      </c>
      <c r="D87" s="0" t="s">
        <v>102</v>
      </c>
      <c r="E87" s="0" t="str">
        <f>"s1_node_"&amp;D87&amp;"_name"</f>
        <v>s1_node_survival_name</v>
      </c>
      <c r="F87" s="10" t="str">
        <f>"s1_node_"&amp;D87&amp;"_desc"</f>
        <v>s1_node_survival_desc</v>
      </c>
      <c r="G87" s="0" t="s">
        <v>140</v>
      </c>
      <c r="H87" s="0">
        <v>3</v>
      </c>
      <c r="I87" s="0" t="s">
        <v>27</v>
      </c>
      <c r="J87" s="0" t="s">
        <v>266</v>
      </c>
      <c r="K87" s="0">
        <v>1680</v>
      </c>
      <c r="L87" s="10">
        <v>3</v>
      </c>
      <c r="M87" s="0">
        <v>47</v>
      </c>
      <c r="N87" s="0">
        <v>6</v>
      </c>
      <c r="O87" s="0" t="s">
        <v>267</v>
      </c>
      <c r="T87" s="0" t="str">
        <f>_xlfn.TEXTJOIN("_",TRUE,C87,"node_eff",D87,M87,N87)</f>
        <v>s1_node_eff_survival_47_6</v>
      </c>
    </row>
    <row r="88" spans="1:20" x14ac:dyDescent="0.45">
      <c r="A88" s="0" t="str">
        <f>_xlfn.TEXTJOIN("_",TRUE,C88,"node",D88,M88,N88)</f>
        <v>s1_node_survival_48_2</v>
      </c>
      <c r="B88" s="0" t="s">
        <v>0</v>
      </c>
      <c r="C88" s="0" t="s">
        <v>26</v>
      </c>
      <c r="D88" s="0" t="s">
        <v>102</v>
      </c>
      <c r="E88" s="0" t="str">
        <f>"s1_node_"&amp;D88&amp;"_name"</f>
        <v>s1_node_survival_name</v>
      </c>
      <c r="F88" s="10" t="str">
        <f>"s1_node_"&amp;D88&amp;"_desc"</f>
        <v>s1_node_survival_desc</v>
      </c>
      <c r="G88" s="0" t="s">
        <v>140</v>
      </c>
      <c r="H88" s="0">
        <v>3</v>
      </c>
      <c r="I88" s="0" t="s">
        <v>27</v>
      </c>
      <c r="J88" s="0" t="s">
        <v>268</v>
      </c>
      <c r="K88" s="0">
        <v>1710</v>
      </c>
      <c r="L88" s="10">
        <v>3</v>
      </c>
      <c r="M88" s="0">
        <v>48</v>
      </c>
      <c r="N88" s="0">
        <v>2</v>
      </c>
      <c r="O88" s="0" t="s">
        <v>269</v>
      </c>
      <c r="T88" s="0" t="str">
        <f>_xlfn.TEXTJOIN("_",TRUE,C88,"node_eff",D88,M88,N88)</f>
        <v>s1_node_eff_survival_48_2</v>
      </c>
    </row>
    <row r="89" spans="1:20" x14ac:dyDescent="0.45">
      <c r="A89" s="0" t="str">
        <f>_xlfn.TEXTJOIN("_",TRUE,C89,"node",D89,M89,N89)</f>
        <v>s1_node_survival_48_6</v>
      </c>
      <c r="B89" s="0" t="s">
        <v>0</v>
      </c>
      <c r="C89" s="0" t="s">
        <v>26</v>
      </c>
      <c r="D89" s="0" t="s">
        <v>102</v>
      </c>
      <c r="E89" s="0" t="str">
        <f>"s1_node_"&amp;D89&amp;"_name"</f>
        <v>s1_node_survival_name</v>
      </c>
      <c r="F89" s="10" t="str">
        <f>"s1_node_"&amp;D89&amp;"_desc"</f>
        <v>s1_node_survival_desc</v>
      </c>
      <c r="G89" s="0" t="s">
        <v>136</v>
      </c>
      <c r="H89" s="0">
        <v>3</v>
      </c>
      <c r="I89" s="0" t="s">
        <v>27</v>
      </c>
      <c r="J89" s="0" t="s">
        <v>268</v>
      </c>
      <c r="K89" s="0">
        <v>1710</v>
      </c>
      <c r="L89" s="10">
        <v>3</v>
      </c>
      <c r="M89" s="0">
        <v>48</v>
      </c>
      <c r="N89" s="0">
        <v>6</v>
      </c>
      <c r="O89" s="0" t="s">
        <v>270</v>
      </c>
      <c r="T89" s="0" t="str">
        <f>_xlfn.TEXTJOIN("_",TRUE,C89,"node_eff",D89,M89,N89)</f>
        <v>s1_node_eff_survival_48_6</v>
      </c>
    </row>
    <row r="90" spans="1:20" x14ac:dyDescent="0.45">
      <c r="A90" s="0" t="str">
        <f>_xlfn.TEXTJOIN("_",TRUE,C90,"node",D90,M90,N90)</f>
        <v>s1_node_survival_49_2</v>
      </c>
      <c r="B90" s="0" t="s">
        <v>0</v>
      </c>
      <c r="C90" s="0" t="s">
        <v>26</v>
      </c>
      <c r="D90" s="0" t="s">
        <v>102</v>
      </c>
      <c r="E90" s="0" t="str">
        <f>"s1_node_"&amp;D90&amp;"_name"</f>
        <v>s1_node_survival_name</v>
      </c>
      <c r="F90" s="10" t="str">
        <f>"s1_node_"&amp;D90&amp;"_desc"</f>
        <v>s1_node_survival_desc</v>
      </c>
      <c r="G90" s="0" t="s">
        <v>136</v>
      </c>
      <c r="H90" s="0">
        <v>3</v>
      </c>
      <c r="I90" s="0" t="s">
        <v>27</v>
      </c>
      <c r="J90" s="0" t="s">
        <v>271</v>
      </c>
      <c r="K90" s="0">
        <v>1750</v>
      </c>
      <c r="L90" s="10">
        <v>3</v>
      </c>
      <c r="M90" s="0">
        <v>49</v>
      </c>
      <c r="N90" s="0">
        <v>2</v>
      </c>
      <c r="O90" s="0" t="s">
        <v>272</v>
      </c>
      <c r="T90" s="0" t="str">
        <f>_xlfn.TEXTJOIN("_",TRUE,C90,"node_eff",D90,M90,N90)</f>
        <v>s1_node_eff_survival_49_2</v>
      </c>
    </row>
    <row r="91" spans="1:20" x14ac:dyDescent="0.45">
      <c r="A91" s="0" t="str">
        <f>_xlfn.TEXTJOIN("_",TRUE,C91,"node",D91,M91,N91)</f>
        <v>s1_node_survival_49_6</v>
      </c>
      <c r="B91" s="0" t="s">
        <v>0</v>
      </c>
      <c r="C91" s="0" t="s">
        <v>26</v>
      </c>
      <c r="D91" s="0" t="s">
        <v>102</v>
      </c>
      <c r="E91" s="0" t="str">
        <f>"s1_node_"&amp;D91&amp;"_name"</f>
        <v>s1_node_survival_name</v>
      </c>
      <c r="F91" s="10" t="str">
        <f>"s1_node_"&amp;D91&amp;"_desc"</f>
        <v>s1_node_survival_desc</v>
      </c>
      <c r="G91" s="0" t="s">
        <v>136</v>
      </c>
      <c r="H91" s="0">
        <v>3</v>
      </c>
      <c r="I91" s="0" t="s">
        <v>27</v>
      </c>
      <c r="J91" s="0" t="s">
        <v>271</v>
      </c>
      <c r="K91" s="0">
        <v>1750</v>
      </c>
      <c r="L91" s="10">
        <v>3</v>
      </c>
      <c r="M91" s="0">
        <v>49</v>
      </c>
      <c r="N91" s="0">
        <v>6</v>
      </c>
      <c r="O91" s="0" t="s">
        <v>273</v>
      </c>
      <c r="T91" s="0" t="str">
        <f>_xlfn.TEXTJOIN("_",TRUE,C91,"node_eff",D91,M91,N91)</f>
        <v>s1_node_eff_survival_49_6</v>
      </c>
    </row>
    <row r="92" spans="1:20" x14ac:dyDescent="0.45">
      <c r="A92" s="0" t="str">
        <f>_xlfn.TEXTJOIN("_",TRUE,C92,"node",D92,M92,N92)</f>
        <v>s1_node_survival_50_2</v>
      </c>
      <c r="B92" s="0" t="s">
        <v>0</v>
      </c>
      <c r="C92" s="0" t="s">
        <v>26</v>
      </c>
      <c r="D92" s="0" t="s">
        <v>102</v>
      </c>
      <c r="E92" s="0" t="str">
        <f>"s1_node_"&amp;D92&amp;"_name"</f>
        <v>s1_node_survival_name</v>
      </c>
      <c r="F92" s="10" t="str">
        <f>"s1_node_"&amp;D92&amp;"_desc"</f>
        <v>s1_node_survival_desc</v>
      </c>
      <c r="G92" s="0" t="s">
        <v>147</v>
      </c>
      <c r="H92" s="0">
        <v>3</v>
      </c>
      <c r="I92" s="0" t="s">
        <v>27</v>
      </c>
      <c r="J92" s="0" t="s">
        <v>274</v>
      </c>
      <c r="K92" s="0">
        <v>1780</v>
      </c>
      <c r="L92" s="10">
        <v>3</v>
      </c>
      <c r="M92" s="0">
        <v>50</v>
      </c>
      <c r="N92" s="0">
        <v>2</v>
      </c>
      <c r="O92" s="0" t="s">
        <v>275</v>
      </c>
      <c r="T92" s="0" t="str">
        <f>_xlfn.TEXTJOIN("_",TRUE,C92,"node_eff",D92,M92,N92)</f>
        <v>s1_node_eff_survival_50_2</v>
      </c>
    </row>
    <row r="93" spans="1:20" x14ac:dyDescent="0.45">
      <c r="A93" s="0" t="str">
        <f>_xlfn.TEXTJOIN("_",TRUE,C93,"node",D93,M93,N93)</f>
        <v>s1_node_survival_50_6</v>
      </c>
      <c r="B93" s="0" t="s">
        <v>0</v>
      </c>
      <c r="C93" s="0" t="s">
        <v>26</v>
      </c>
      <c r="D93" s="0" t="s">
        <v>102</v>
      </c>
      <c r="E93" s="0" t="str">
        <f>"s1_node_"&amp;D93&amp;"_name"</f>
        <v>s1_node_survival_name</v>
      </c>
      <c r="F93" s="10" t="str">
        <f>"s1_node_"&amp;D93&amp;"_desc"</f>
        <v>s1_node_survival_desc</v>
      </c>
      <c r="G93" s="0" t="s">
        <v>147</v>
      </c>
      <c r="H93" s="0">
        <v>3</v>
      </c>
      <c r="I93" s="0" t="s">
        <v>27</v>
      </c>
      <c r="J93" s="0" t="s">
        <v>274</v>
      </c>
      <c r="K93" s="0">
        <v>1780</v>
      </c>
      <c r="L93" s="10">
        <v>3</v>
      </c>
      <c r="M93" s="0">
        <v>50</v>
      </c>
      <c r="N93" s="0">
        <v>6</v>
      </c>
      <c r="O93" s="0" t="s">
        <v>276</v>
      </c>
      <c r="T93" s="0" t="str">
        <f>_xlfn.TEXTJOIN("_",TRUE,C93,"node_eff",D93,M93,N93)</f>
        <v>s1_node_eff_survival_50_6</v>
      </c>
    </row>
    <row r="94" spans="1:20" x14ac:dyDescent="0.45">
      <c r="A94" s="0" t="str">
        <f>_xlfn.TEXTJOIN("_",TRUE,C94,"node",D94,M94,N94)</f>
        <v>s1_node_survival_51_4</v>
      </c>
      <c r="B94" s="0" t="s">
        <v>0</v>
      </c>
      <c r="C94" s="0" t="s">
        <v>26</v>
      </c>
      <c r="D94" s="0" t="s">
        <v>102</v>
      </c>
      <c r="E94" s="0" t="str">
        <f>"s1_node_"&amp;D94&amp;"_name"</f>
        <v>s1_node_survival_name</v>
      </c>
      <c r="F94" s="10" t="str">
        <f>"s1_node_"&amp;D94&amp;"_desc"</f>
        <v>s1_node_survival_desc</v>
      </c>
      <c r="G94" s="0" t="s">
        <v>136</v>
      </c>
      <c r="H94" s="0">
        <v>3</v>
      </c>
      <c r="I94" s="0" t="s">
        <v>27</v>
      </c>
      <c r="J94" s="0" t="s">
        <v>277</v>
      </c>
      <c r="K94" s="0">
        <v>1820</v>
      </c>
      <c r="L94" s="10">
        <v>3</v>
      </c>
      <c r="M94" s="0">
        <v>51</v>
      </c>
      <c r="N94" s="0">
        <v>4</v>
      </c>
      <c r="O94" s="0" t="s">
        <v>278</v>
      </c>
      <c r="P94" s="0" t="s">
        <v>279</v>
      </c>
      <c r="T94" s="0" t="str">
        <f>_xlfn.TEXTJOIN("_",TRUE,C94,"node_eff",D94,M94,N94)</f>
        <v>s1_node_eff_survival_51_4</v>
      </c>
    </row>
    <row r="95" spans="1:20" x14ac:dyDescent="0.45">
      <c r="A95" s="0" t="str">
        <f>_xlfn.TEXTJOIN("_",TRUE,C95,"node",D95,M95,N95)</f>
        <v>s1_node_survival_52_2</v>
      </c>
      <c r="B95" s="0" t="s">
        <v>0</v>
      </c>
      <c r="C95" s="0" t="s">
        <v>26</v>
      </c>
      <c r="D95" s="0" t="s">
        <v>102</v>
      </c>
      <c r="E95" s="0" t="str">
        <f>"s1_node_"&amp;D95&amp;"_name"</f>
        <v>s1_node_survival_name</v>
      </c>
      <c r="F95" s="10" t="str">
        <f>"s1_node_"&amp;D95&amp;"_desc"</f>
        <v>s1_node_survival_desc</v>
      </c>
      <c r="G95" s="0" t="s">
        <v>136</v>
      </c>
      <c r="H95" s="0">
        <v>3</v>
      </c>
      <c r="I95" s="0" t="s">
        <v>27</v>
      </c>
      <c r="J95" s="0" t="s">
        <v>280</v>
      </c>
      <c r="K95" s="0">
        <v>1850</v>
      </c>
      <c r="L95" s="10">
        <v>3</v>
      </c>
      <c r="M95" s="0">
        <v>52</v>
      </c>
      <c r="N95" s="0">
        <v>2</v>
      </c>
      <c r="O95" s="0" t="s">
        <v>281</v>
      </c>
      <c r="T95" s="0" t="str">
        <f>_xlfn.TEXTJOIN("_",TRUE,C95,"node_eff",D95,M95,N95)</f>
        <v>s1_node_eff_survival_52_2</v>
      </c>
    </row>
    <row r="96" spans="1:20" x14ac:dyDescent="0.45">
      <c r="A96" s="0" t="str">
        <f>_xlfn.TEXTJOIN("_",TRUE,C96,"node",D96,M96,N96)</f>
        <v>s1_node_survival_52_6</v>
      </c>
      <c r="B96" s="0" t="s">
        <v>0</v>
      </c>
      <c r="C96" s="0" t="s">
        <v>26</v>
      </c>
      <c r="D96" s="0" t="s">
        <v>102</v>
      </c>
      <c r="E96" s="0" t="str">
        <f>"s1_node_"&amp;D96&amp;"_name"</f>
        <v>s1_node_survival_name</v>
      </c>
      <c r="F96" s="10" t="str">
        <f>"s1_node_"&amp;D96&amp;"_desc"</f>
        <v>s1_node_survival_desc</v>
      </c>
      <c r="G96" s="0" t="s">
        <v>140</v>
      </c>
      <c r="H96" s="0">
        <v>3</v>
      </c>
      <c r="I96" s="0" t="s">
        <v>27</v>
      </c>
      <c r="J96" s="0" t="s">
        <v>280</v>
      </c>
      <c r="K96" s="0">
        <v>1850</v>
      </c>
      <c r="L96" s="10">
        <v>3</v>
      </c>
      <c r="M96" s="0">
        <v>52</v>
      </c>
      <c r="N96" s="0">
        <v>6</v>
      </c>
      <c r="O96" s="0" t="s">
        <v>281</v>
      </c>
      <c r="T96" s="0" t="str">
        <f>_xlfn.TEXTJOIN("_",TRUE,C96,"node_eff",D96,M96,N96)</f>
        <v>s1_node_eff_survival_52_6</v>
      </c>
    </row>
    <row r="97" spans="1:20" x14ac:dyDescent="0.45">
      <c r="A97" s="0" t="str">
        <f>_xlfn.TEXTJOIN("_",TRUE,C97,"node",D97,M97,N97)</f>
        <v>s1_node_survival_53_2</v>
      </c>
      <c r="B97" s="0" t="s">
        <v>0</v>
      </c>
      <c r="C97" s="0" t="s">
        <v>26</v>
      </c>
      <c r="D97" s="0" t="s">
        <v>102</v>
      </c>
      <c r="E97" s="0" t="str">
        <f>"s1_node_"&amp;D97&amp;"_name"</f>
        <v>s1_node_survival_name</v>
      </c>
      <c r="F97" s="10" t="str">
        <f>"s1_node_"&amp;D97&amp;"_desc"</f>
        <v>s1_node_survival_desc</v>
      </c>
      <c r="G97" s="0" t="s">
        <v>140</v>
      </c>
      <c r="H97" s="0">
        <v>3</v>
      </c>
      <c r="I97" s="0" t="s">
        <v>27</v>
      </c>
      <c r="J97" s="0" t="s">
        <v>282</v>
      </c>
      <c r="K97" s="0">
        <v>1890</v>
      </c>
      <c r="L97" s="10">
        <v>3</v>
      </c>
      <c r="M97" s="0">
        <v>53</v>
      </c>
      <c r="N97" s="0">
        <v>2</v>
      </c>
      <c r="O97" s="0" t="s">
        <v>283</v>
      </c>
      <c r="T97" s="0" t="str">
        <f>_xlfn.TEXTJOIN("_",TRUE,C97,"node_eff",D97,M97,N97)</f>
        <v>s1_node_eff_survival_53_2</v>
      </c>
    </row>
    <row r="98" spans="1:20" x14ac:dyDescent="0.45">
      <c r="A98" s="0" t="str">
        <f>_xlfn.TEXTJOIN("_",TRUE,C98,"node",D98,M98,N98)</f>
        <v>s1_node_survival_53_6</v>
      </c>
      <c r="B98" s="0" t="s">
        <v>0</v>
      </c>
      <c r="C98" s="0" t="s">
        <v>26</v>
      </c>
      <c r="D98" s="0" t="s">
        <v>102</v>
      </c>
      <c r="E98" s="0" t="str">
        <f>"s1_node_"&amp;D98&amp;"_name"</f>
        <v>s1_node_survival_name</v>
      </c>
      <c r="F98" s="10" t="str">
        <f>"s1_node_"&amp;D98&amp;"_desc"</f>
        <v>s1_node_survival_desc</v>
      </c>
      <c r="G98" s="0" t="s">
        <v>136</v>
      </c>
      <c r="H98" s="0">
        <v>3</v>
      </c>
      <c r="I98" s="0" t="s">
        <v>27</v>
      </c>
      <c r="J98" s="0" t="s">
        <v>282</v>
      </c>
      <c r="K98" s="0">
        <v>1890</v>
      </c>
      <c r="L98" s="10">
        <v>3</v>
      </c>
      <c r="M98" s="0">
        <v>53</v>
      </c>
      <c r="N98" s="0">
        <v>6</v>
      </c>
      <c r="O98" s="0" t="s">
        <v>284</v>
      </c>
      <c r="T98" s="0" t="str">
        <f>_xlfn.TEXTJOIN("_",TRUE,C98,"node_eff",D98,M98,N98)</f>
        <v>s1_node_eff_survival_53_6</v>
      </c>
    </row>
    <row r="99" spans="1:20" x14ac:dyDescent="0.45">
      <c r="A99" s="0" t="str">
        <f>_xlfn.TEXTJOIN("_",TRUE,C99,"node",D99,M99,N99)</f>
        <v>s1_node_survival_54_2</v>
      </c>
      <c r="B99" s="0" t="s">
        <v>0</v>
      </c>
      <c r="C99" s="0" t="s">
        <v>26</v>
      </c>
      <c r="D99" s="0" t="s">
        <v>102</v>
      </c>
      <c r="E99" s="0" t="str">
        <f>"s1_node_"&amp;D99&amp;"_name"</f>
        <v>s1_node_survival_name</v>
      </c>
      <c r="F99" s="10" t="str">
        <f>"s1_node_"&amp;D99&amp;"_desc"</f>
        <v>s1_node_survival_desc</v>
      </c>
      <c r="G99" s="0" t="s">
        <v>136</v>
      </c>
      <c r="H99" s="0">
        <v>3</v>
      </c>
      <c r="I99" s="0" t="s">
        <v>27</v>
      </c>
      <c r="J99" s="0" t="s">
        <v>285</v>
      </c>
      <c r="K99" s="0">
        <v>1920</v>
      </c>
      <c r="L99" s="10">
        <v>3</v>
      </c>
      <c r="M99" s="0">
        <v>54</v>
      </c>
      <c r="N99" s="0">
        <v>2</v>
      </c>
      <c r="O99" s="0" t="s">
        <v>286</v>
      </c>
      <c r="T99" s="0" t="str">
        <f>_xlfn.TEXTJOIN("_",TRUE,C99,"node_eff",D99,M99,N99)</f>
        <v>s1_node_eff_survival_54_2</v>
      </c>
    </row>
    <row r="100" spans="1:20" x14ac:dyDescent="0.45">
      <c r="A100" s="0" t="str">
        <f>_xlfn.TEXTJOIN("_",TRUE,C100,"node",D100,M100,N100)</f>
        <v>s1_node_survival_54_6</v>
      </c>
      <c r="B100" s="0" t="s">
        <v>0</v>
      </c>
      <c r="C100" s="0" t="s">
        <v>26</v>
      </c>
      <c r="D100" s="0" t="s">
        <v>102</v>
      </c>
      <c r="E100" s="0" t="str">
        <f>"s1_node_"&amp;D100&amp;"_name"</f>
        <v>s1_node_survival_name</v>
      </c>
      <c r="F100" s="10" t="str">
        <f>"s1_node_"&amp;D100&amp;"_desc"</f>
        <v>s1_node_survival_desc</v>
      </c>
      <c r="G100" s="0" t="s">
        <v>136</v>
      </c>
      <c r="H100" s="0">
        <v>3</v>
      </c>
      <c r="I100" s="0" t="s">
        <v>27</v>
      </c>
      <c r="J100" s="0" t="s">
        <v>285</v>
      </c>
      <c r="K100" s="0">
        <v>1920</v>
      </c>
      <c r="L100" s="10">
        <v>3</v>
      </c>
      <c r="M100" s="0">
        <v>54</v>
      </c>
      <c r="N100" s="0">
        <v>6</v>
      </c>
      <c r="O100" s="0" t="s">
        <v>287</v>
      </c>
      <c r="T100" s="0" t="str">
        <f>_xlfn.TEXTJOIN("_",TRUE,C100,"node_eff",D100,M100,N100)</f>
        <v>s1_node_eff_survival_54_6</v>
      </c>
    </row>
    <row r="101" spans="1:20" x14ac:dyDescent="0.45">
      <c r="A101" s="0" t="str">
        <f>_xlfn.TEXTJOIN("_",TRUE,C101,"node",D101,M101,N101)</f>
        <v>s1_node_survival_55_2</v>
      </c>
      <c r="B101" s="0" t="s">
        <v>0</v>
      </c>
      <c r="C101" s="0" t="s">
        <v>26</v>
      </c>
      <c r="D101" s="0" t="s">
        <v>102</v>
      </c>
      <c r="E101" s="0" t="str">
        <f>"s1_node_"&amp;D101&amp;"_name"</f>
        <v>s1_node_survival_name</v>
      </c>
      <c r="F101" s="10" t="str">
        <f>"s1_node_"&amp;D101&amp;"_desc"</f>
        <v>s1_node_survival_desc</v>
      </c>
      <c r="G101" s="0" t="s">
        <v>147</v>
      </c>
      <c r="H101" s="0">
        <v>3</v>
      </c>
      <c r="I101" s="0" t="s">
        <v>27</v>
      </c>
      <c r="J101" s="0" t="s">
        <v>288</v>
      </c>
      <c r="K101" s="0">
        <v>1960</v>
      </c>
      <c r="L101" s="10">
        <v>3</v>
      </c>
      <c r="M101" s="0">
        <v>55</v>
      </c>
      <c r="N101" s="0">
        <v>2</v>
      </c>
      <c r="O101" s="0" t="s">
        <v>289</v>
      </c>
      <c r="T101" s="0" t="str">
        <f>_xlfn.TEXTJOIN("_",TRUE,C101,"node_eff",D101,M101,N101)</f>
        <v>s1_node_eff_survival_55_2</v>
      </c>
    </row>
    <row r="102" spans="1:20" x14ac:dyDescent="0.45">
      <c r="A102" s="0" t="str">
        <f>_xlfn.TEXTJOIN("_",TRUE,C102,"node",D102,M102,N102)</f>
        <v>s1_node_survival_55_6</v>
      </c>
      <c r="B102" s="0" t="s">
        <v>0</v>
      </c>
      <c r="C102" s="0" t="s">
        <v>26</v>
      </c>
      <c r="D102" s="0" t="s">
        <v>102</v>
      </c>
      <c r="E102" s="0" t="str">
        <f>"s1_node_"&amp;D102&amp;"_name"</f>
        <v>s1_node_survival_name</v>
      </c>
      <c r="F102" s="10" t="str">
        <f>"s1_node_"&amp;D102&amp;"_desc"</f>
        <v>s1_node_survival_desc</v>
      </c>
      <c r="G102" s="0" t="s">
        <v>147</v>
      </c>
      <c r="H102" s="0">
        <v>3</v>
      </c>
      <c r="I102" s="0" t="s">
        <v>27</v>
      </c>
      <c r="J102" s="0" t="s">
        <v>288</v>
      </c>
      <c r="K102" s="0">
        <v>1960</v>
      </c>
      <c r="L102" s="10">
        <v>3</v>
      </c>
      <c r="M102" s="0">
        <v>55</v>
      </c>
      <c r="N102" s="0">
        <v>6</v>
      </c>
      <c r="O102" s="0" t="s">
        <v>290</v>
      </c>
      <c r="T102" s="0" t="str">
        <f>_xlfn.TEXTJOIN("_",TRUE,C102,"node_eff",D102,M102,N102)</f>
        <v>s1_node_eff_survival_55_6</v>
      </c>
    </row>
    <row r="103" spans="1:20" x14ac:dyDescent="0.45">
      <c r="A103" s="0" t="str">
        <f>_xlfn.TEXTJOIN("_",TRUE,C103,"node",D103,M103,N103)</f>
        <v>s1_node_survival_56_4</v>
      </c>
      <c r="B103" s="0" t="s">
        <v>0</v>
      </c>
      <c r="C103" s="0" t="s">
        <v>26</v>
      </c>
      <c r="D103" s="0" t="s">
        <v>102</v>
      </c>
      <c r="E103" s="0" t="str">
        <f>"s1_node_"&amp;D103&amp;"_name"</f>
        <v>s1_node_survival_name</v>
      </c>
      <c r="F103" s="10" t="str">
        <f>"s1_node_"&amp;D103&amp;"_desc"</f>
        <v>s1_node_survival_desc</v>
      </c>
      <c r="G103" s="0" t="s">
        <v>136</v>
      </c>
      <c r="H103" s="0">
        <v>3</v>
      </c>
      <c r="I103" s="0" t="s">
        <v>27</v>
      </c>
      <c r="J103" s="0" t="s">
        <v>291</v>
      </c>
      <c r="K103" s="0">
        <v>1990</v>
      </c>
      <c r="L103" s="10">
        <v>3</v>
      </c>
      <c r="M103" s="0">
        <v>56</v>
      </c>
      <c r="N103" s="0">
        <v>4</v>
      </c>
      <c r="O103" s="0" t="s">
        <v>292</v>
      </c>
      <c r="P103" s="0" t="s">
        <v>293</v>
      </c>
      <c r="T103" s="0" t="str">
        <f>_xlfn.TEXTJOIN("_",TRUE,C103,"node_eff",D103,M103,N103)</f>
        <v>s1_node_eff_survival_56_4</v>
      </c>
    </row>
    <row r="104" spans="1:20" x14ac:dyDescent="0.45">
      <c r="A104" s="0" t="str">
        <f>_xlfn.TEXTJOIN("_",TRUE,C104,"node",D104,M104,N104)</f>
        <v>s1_node_survival_57_2</v>
      </c>
      <c r="B104" s="0" t="s">
        <v>0</v>
      </c>
      <c r="C104" s="0" t="s">
        <v>26</v>
      </c>
      <c r="D104" s="0" t="s">
        <v>102</v>
      </c>
      <c r="E104" s="0" t="str">
        <f>"s1_node_"&amp;D104&amp;"_name"</f>
        <v>s1_node_survival_name</v>
      </c>
      <c r="F104" s="10" t="str">
        <f>"s1_node_"&amp;D104&amp;"_desc"</f>
        <v>s1_node_survival_desc</v>
      </c>
      <c r="G104" s="0" t="s">
        <v>136</v>
      </c>
      <c r="H104" s="0">
        <v>3</v>
      </c>
      <c r="I104" s="0" t="s">
        <v>27</v>
      </c>
      <c r="J104" s="0" t="s">
        <v>294</v>
      </c>
      <c r="K104" s="0">
        <v>2030</v>
      </c>
      <c r="L104" s="10">
        <v>3</v>
      </c>
      <c r="M104" s="0">
        <v>57</v>
      </c>
      <c r="N104" s="0">
        <v>2</v>
      </c>
      <c r="O104" s="0" t="s">
        <v>295</v>
      </c>
      <c r="T104" s="0" t="str">
        <f>_xlfn.TEXTJOIN("_",TRUE,C104,"node_eff",D104,M104,N104)</f>
        <v>s1_node_eff_survival_57_2</v>
      </c>
    </row>
    <row r="105" spans="1:20" x14ac:dyDescent="0.45">
      <c r="A105" s="0" t="str">
        <f>_xlfn.TEXTJOIN("_",TRUE,C105,"node",D105,M105,N105)</f>
        <v>s1_node_survival_57_6</v>
      </c>
      <c r="B105" s="0" t="s">
        <v>0</v>
      </c>
      <c r="C105" s="0" t="s">
        <v>26</v>
      </c>
      <c r="D105" s="0" t="s">
        <v>102</v>
      </c>
      <c r="E105" s="0" t="str">
        <f>"s1_node_"&amp;D105&amp;"_name"</f>
        <v>s1_node_survival_name</v>
      </c>
      <c r="F105" s="10" t="str">
        <f>"s1_node_"&amp;D105&amp;"_desc"</f>
        <v>s1_node_survival_desc</v>
      </c>
      <c r="G105" s="0" t="s">
        <v>140</v>
      </c>
      <c r="H105" s="0">
        <v>3</v>
      </c>
      <c r="I105" s="0" t="s">
        <v>27</v>
      </c>
      <c r="J105" s="0" t="s">
        <v>294</v>
      </c>
      <c r="K105" s="0">
        <v>2030</v>
      </c>
      <c r="L105" s="10">
        <v>3</v>
      </c>
      <c r="M105" s="0">
        <v>57</v>
      </c>
      <c r="N105" s="0">
        <v>6</v>
      </c>
      <c r="O105" s="0" t="s">
        <v>295</v>
      </c>
      <c r="T105" s="0" t="str">
        <f>_xlfn.TEXTJOIN("_",TRUE,C105,"node_eff",D105,M105,N105)</f>
        <v>s1_node_eff_survival_57_6</v>
      </c>
    </row>
    <row r="106" spans="1:20" x14ac:dyDescent="0.45">
      <c r="A106" s="0" t="str">
        <f>_xlfn.TEXTJOIN("_",TRUE,C106,"node",D106,M106,N106)</f>
        <v>s1_node_survival_58_2</v>
      </c>
      <c r="B106" s="0" t="s">
        <v>0</v>
      </c>
      <c r="C106" s="0" t="s">
        <v>26</v>
      </c>
      <c r="D106" s="0" t="s">
        <v>102</v>
      </c>
      <c r="E106" s="0" t="str">
        <f>"s1_node_"&amp;D106&amp;"_name"</f>
        <v>s1_node_survival_name</v>
      </c>
      <c r="F106" s="10" t="str">
        <f>"s1_node_"&amp;D106&amp;"_desc"</f>
        <v>s1_node_survival_desc</v>
      </c>
      <c r="G106" s="0" t="s">
        <v>140</v>
      </c>
      <c r="H106" s="0">
        <v>3</v>
      </c>
      <c r="I106" s="0" t="s">
        <v>27</v>
      </c>
      <c r="J106" s="0" t="s">
        <v>296</v>
      </c>
      <c r="K106" s="0">
        <v>2060</v>
      </c>
      <c r="L106" s="10">
        <v>3</v>
      </c>
      <c r="M106" s="0">
        <v>58</v>
      </c>
      <c r="N106" s="0">
        <v>2</v>
      </c>
      <c r="O106" s="0" t="s">
        <v>297</v>
      </c>
      <c r="T106" s="0" t="str">
        <f>_xlfn.TEXTJOIN("_",TRUE,C106,"node_eff",D106,M106,N106)</f>
        <v>s1_node_eff_survival_58_2</v>
      </c>
    </row>
    <row r="107" spans="1:20" x14ac:dyDescent="0.45">
      <c r="A107" s="0" t="str">
        <f>_xlfn.TEXTJOIN("_",TRUE,C107,"node",D107,M107,N107)</f>
        <v>s1_node_survival_58_6</v>
      </c>
      <c r="B107" s="0" t="s">
        <v>0</v>
      </c>
      <c r="C107" s="0" t="s">
        <v>26</v>
      </c>
      <c r="D107" s="0" t="s">
        <v>102</v>
      </c>
      <c r="E107" s="0" t="str">
        <f>"s1_node_"&amp;D107&amp;"_name"</f>
        <v>s1_node_survival_name</v>
      </c>
      <c r="F107" s="10" t="str">
        <f>"s1_node_"&amp;D107&amp;"_desc"</f>
        <v>s1_node_survival_desc</v>
      </c>
      <c r="G107" s="0" t="s">
        <v>136</v>
      </c>
      <c r="H107" s="0">
        <v>3</v>
      </c>
      <c r="I107" s="0" t="s">
        <v>27</v>
      </c>
      <c r="J107" s="0" t="s">
        <v>296</v>
      </c>
      <c r="K107" s="0">
        <v>2060</v>
      </c>
      <c r="L107" s="10">
        <v>3</v>
      </c>
      <c r="M107" s="0">
        <v>58</v>
      </c>
      <c r="N107" s="0">
        <v>6</v>
      </c>
      <c r="O107" s="0" t="s">
        <v>298</v>
      </c>
      <c r="T107" s="0" t="str">
        <f>_xlfn.TEXTJOIN("_",TRUE,C107,"node_eff",D107,M107,N107)</f>
        <v>s1_node_eff_survival_58_6</v>
      </c>
    </row>
    <row r="108" spans="1:20" x14ac:dyDescent="0.45">
      <c r="A108" s="0" t="str">
        <f>_xlfn.TEXTJOIN("_",TRUE,C108,"node",D108,M108,N108)</f>
        <v>s1_node_survival_59_2</v>
      </c>
      <c r="B108" s="0" t="s">
        <v>0</v>
      </c>
      <c r="C108" s="0" t="s">
        <v>26</v>
      </c>
      <c r="D108" s="0" t="s">
        <v>102</v>
      </c>
      <c r="E108" s="0" t="str">
        <f>"s1_node_"&amp;D108&amp;"_name"</f>
        <v>s1_node_survival_name</v>
      </c>
      <c r="F108" s="10" t="str">
        <f>"s1_node_"&amp;D108&amp;"_desc"</f>
        <v>s1_node_survival_desc</v>
      </c>
      <c r="G108" s="0" t="s">
        <v>136</v>
      </c>
      <c r="H108" s="0">
        <v>3</v>
      </c>
      <c r="I108" s="0" t="s">
        <v>27</v>
      </c>
      <c r="J108" s="0" t="s">
        <v>299</v>
      </c>
      <c r="K108" s="0">
        <v>2100</v>
      </c>
      <c r="L108" s="10">
        <v>3</v>
      </c>
      <c r="M108" s="0">
        <v>59</v>
      </c>
      <c r="N108" s="0">
        <v>2</v>
      </c>
      <c r="O108" s="0" t="s">
        <v>300</v>
      </c>
      <c r="T108" s="0" t="str">
        <f>_xlfn.TEXTJOIN("_",TRUE,C108,"node_eff",D108,M108,N108)</f>
        <v>s1_node_eff_survival_59_2</v>
      </c>
    </row>
    <row r="109" spans="1:20" x14ac:dyDescent="0.45">
      <c r="A109" s="0" t="str">
        <f>_xlfn.TEXTJOIN("_",TRUE,C109,"node",D109,M109,N109)</f>
        <v>s1_node_survival_59_6</v>
      </c>
      <c r="B109" s="0" t="s">
        <v>0</v>
      </c>
      <c r="C109" s="0" t="s">
        <v>26</v>
      </c>
      <c r="D109" s="0" t="s">
        <v>102</v>
      </c>
      <c r="E109" s="0" t="str">
        <f>"s1_node_"&amp;D109&amp;"_name"</f>
        <v>s1_node_survival_name</v>
      </c>
      <c r="F109" s="10" t="str">
        <f>"s1_node_"&amp;D109&amp;"_desc"</f>
        <v>s1_node_survival_desc</v>
      </c>
      <c r="G109" s="0" t="s">
        <v>136</v>
      </c>
      <c r="H109" s="0">
        <v>3</v>
      </c>
      <c r="I109" s="0" t="s">
        <v>27</v>
      </c>
      <c r="J109" s="0" t="s">
        <v>299</v>
      </c>
      <c r="K109" s="0">
        <v>2100</v>
      </c>
      <c r="L109" s="10">
        <v>3</v>
      </c>
      <c r="M109" s="0">
        <v>59</v>
      </c>
      <c r="N109" s="0">
        <v>6</v>
      </c>
      <c r="O109" s="0" t="s">
        <v>301</v>
      </c>
      <c r="T109" s="0" t="str">
        <f>_xlfn.TEXTJOIN("_",TRUE,C109,"node_eff",D109,M109,N109)</f>
        <v>s1_node_eff_survival_59_6</v>
      </c>
    </row>
    <row r="110" spans="1:20" x14ac:dyDescent="0.45">
      <c r="A110" s="0" t="str">
        <f>_xlfn.TEXTJOIN("_",TRUE,C110,"node",D110,M110,N110)</f>
        <v>s1_node_survival_60_2</v>
      </c>
      <c r="B110" s="0" t="s">
        <v>0</v>
      </c>
      <c r="C110" s="0" t="s">
        <v>26</v>
      </c>
      <c r="D110" s="0" t="s">
        <v>102</v>
      </c>
      <c r="E110" s="0" t="str">
        <f>"s1_node_"&amp;D110&amp;"_name"</f>
        <v>s1_node_survival_name</v>
      </c>
      <c r="F110" s="10" t="str">
        <f>"s1_node_"&amp;D110&amp;"_desc"</f>
        <v>s1_node_survival_desc</v>
      </c>
      <c r="G110" s="0" t="s">
        <v>147</v>
      </c>
      <c r="H110" s="0">
        <v>3</v>
      </c>
      <c r="I110" s="0" t="s">
        <v>27</v>
      </c>
      <c r="J110" s="0" t="s">
        <v>302</v>
      </c>
      <c r="K110" s="0">
        <v>2130</v>
      </c>
      <c r="L110" s="10">
        <v>3</v>
      </c>
      <c r="M110" s="0">
        <v>60</v>
      </c>
      <c r="N110" s="0">
        <v>2</v>
      </c>
      <c r="O110" s="0" t="s">
        <v>303</v>
      </c>
      <c r="T110" s="0" t="str">
        <f>_xlfn.TEXTJOIN("_",TRUE,C110,"node_eff",D110,M110,N110)</f>
        <v>s1_node_eff_survival_60_2</v>
      </c>
    </row>
    <row r="111" spans="1:20" x14ac:dyDescent="0.45">
      <c r="A111" s="0" t="str">
        <f>_xlfn.TEXTJOIN("_",TRUE,C111,"node",D111,M111,N111)</f>
        <v>s1_node_survival_60_6</v>
      </c>
      <c r="B111" s="0" t="s">
        <v>0</v>
      </c>
      <c r="C111" s="0" t="s">
        <v>26</v>
      </c>
      <c r="D111" s="0" t="s">
        <v>102</v>
      </c>
      <c r="E111" s="0" t="str">
        <f>"s1_node_"&amp;D111&amp;"_name"</f>
        <v>s1_node_survival_name</v>
      </c>
      <c r="F111" s="10" t="str">
        <f>"s1_node_"&amp;D111&amp;"_desc"</f>
        <v>s1_node_survival_desc</v>
      </c>
      <c r="G111" s="0" t="s">
        <v>147</v>
      </c>
      <c r="H111" s="0">
        <v>3</v>
      </c>
      <c r="I111" s="0" t="s">
        <v>27</v>
      </c>
      <c r="J111" s="0" t="s">
        <v>302</v>
      </c>
      <c r="K111" s="0">
        <v>2130</v>
      </c>
      <c r="L111" s="10">
        <v>3</v>
      </c>
      <c r="M111" s="0">
        <v>60</v>
      </c>
      <c r="N111" s="0">
        <v>6</v>
      </c>
      <c r="O111" s="0" t="s">
        <v>304</v>
      </c>
      <c r="T111" s="0" t="str">
        <f>_xlfn.TEXTJOIN("_",TRUE,C111,"node_eff",D111,M111,N111)</f>
        <v>s1_node_eff_survival_60_6</v>
      </c>
    </row>
    <row r="112" spans="1:20" x14ac:dyDescent="0.45">
      <c r="A112" s="0" t="str">
        <f>_xlfn.TEXTJOIN("_",TRUE,C112,"node",D112,M112,N112)</f>
        <v>s1_node_survival_61_4</v>
      </c>
      <c r="B112" s="0" t="s">
        <v>0</v>
      </c>
      <c r="C112" s="0" t="s">
        <v>26</v>
      </c>
      <c r="D112" s="0" t="s">
        <v>102</v>
      </c>
      <c r="E112" s="0" t="str">
        <f>"s1_node_"&amp;D112&amp;"_name"</f>
        <v>s1_node_survival_name</v>
      </c>
      <c r="F112" s="10" t="str">
        <f>"s1_node_"&amp;D112&amp;"_desc"</f>
        <v>s1_node_survival_desc</v>
      </c>
      <c r="G112" s="0" t="s">
        <v>136</v>
      </c>
      <c r="H112" s="0">
        <v>4</v>
      </c>
      <c r="I112" s="0" t="s">
        <v>27</v>
      </c>
      <c r="J112" s="0" t="s">
        <v>305</v>
      </c>
      <c r="K112" s="0">
        <v>2170</v>
      </c>
      <c r="L112" s="10">
        <v>3</v>
      </c>
      <c r="M112" s="0">
        <v>61</v>
      </c>
      <c r="N112" s="0">
        <v>4</v>
      </c>
      <c r="O112" s="0" t="s">
        <v>306</v>
      </c>
      <c r="P112" s="0" t="s">
        <v>307</v>
      </c>
      <c r="T112" s="0" t="str">
        <f>_xlfn.TEXTJOIN("_",TRUE,C112,"node_eff",D112,M112,N112)</f>
        <v>s1_node_eff_survival_61_4</v>
      </c>
    </row>
    <row r="113" spans="1:20" x14ac:dyDescent="0.45">
      <c r="A113" s="0" t="str">
        <f>_xlfn.TEXTJOIN("_",TRUE,C113,"node",D113,M113,N113)</f>
        <v>s1_node_survival_62_2</v>
      </c>
      <c r="B113" s="0" t="s">
        <v>0</v>
      </c>
      <c r="C113" s="0" t="s">
        <v>26</v>
      </c>
      <c r="D113" s="0" t="s">
        <v>102</v>
      </c>
      <c r="E113" s="0" t="str">
        <f>"s1_node_"&amp;D113&amp;"_name"</f>
        <v>s1_node_survival_name</v>
      </c>
      <c r="F113" s="10" t="str">
        <f>"s1_node_"&amp;D113&amp;"_desc"</f>
        <v>s1_node_survival_desc</v>
      </c>
      <c r="G113" s="0" t="s">
        <v>136</v>
      </c>
      <c r="H113" s="0">
        <v>4</v>
      </c>
      <c r="I113" s="0" t="s">
        <v>27</v>
      </c>
      <c r="J113" s="0" t="s">
        <v>308</v>
      </c>
      <c r="K113" s="0">
        <v>2200</v>
      </c>
      <c r="L113" s="10">
        <v>3</v>
      </c>
      <c r="M113" s="0">
        <v>62</v>
      </c>
      <c r="N113" s="0">
        <v>2</v>
      </c>
      <c r="O113" s="0" t="s">
        <v>309</v>
      </c>
      <c r="T113" s="0" t="str">
        <f>_xlfn.TEXTJOIN("_",TRUE,C113,"node_eff",D113,M113,N113)</f>
        <v>s1_node_eff_survival_62_2</v>
      </c>
    </row>
    <row r="114" spans="1:20" x14ac:dyDescent="0.45">
      <c r="A114" s="0" t="str">
        <f>_xlfn.TEXTJOIN("_",TRUE,C114,"node",D114,M114,N114)</f>
        <v>s1_node_survival_62_6</v>
      </c>
      <c r="B114" s="0" t="s">
        <v>0</v>
      </c>
      <c r="C114" s="0" t="s">
        <v>26</v>
      </c>
      <c r="D114" s="0" t="s">
        <v>102</v>
      </c>
      <c r="E114" s="0" t="str">
        <f>"s1_node_"&amp;D114&amp;"_name"</f>
        <v>s1_node_survival_name</v>
      </c>
      <c r="F114" s="10" t="str">
        <f>"s1_node_"&amp;D114&amp;"_desc"</f>
        <v>s1_node_survival_desc</v>
      </c>
      <c r="G114" s="0" t="s">
        <v>140</v>
      </c>
      <c r="H114" s="0">
        <v>4</v>
      </c>
      <c r="I114" s="0" t="s">
        <v>27</v>
      </c>
      <c r="J114" s="0" t="s">
        <v>308</v>
      </c>
      <c r="K114" s="0">
        <v>2200</v>
      </c>
      <c r="L114" s="10">
        <v>3</v>
      </c>
      <c r="M114" s="0">
        <v>62</v>
      </c>
      <c r="N114" s="0">
        <v>6</v>
      </c>
      <c r="O114" s="0" t="s">
        <v>309</v>
      </c>
      <c r="T114" s="0" t="str">
        <f>_xlfn.TEXTJOIN("_",TRUE,C114,"node_eff",D114,M114,N114)</f>
        <v>s1_node_eff_survival_62_6</v>
      </c>
    </row>
    <row r="115" spans="1:20" x14ac:dyDescent="0.45">
      <c r="A115" s="0" t="str">
        <f>_xlfn.TEXTJOIN("_",TRUE,C115,"node",D115,M115,N115)</f>
        <v>s1_node_survival_63_2</v>
      </c>
      <c r="B115" s="0" t="s">
        <v>0</v>
      </c>
      <c r="C115" s="0" t="s">
        <v>26</v>
      </c>
      <c r="D115" s="0" t="s">
        <v>102</v>
      </c>
      <c r="E115" s="0" t="str">
        <f>"s1_node_"&amp;D115&amp;"_name"</f>
        <v>s1_node_survival_name</v>
      </c>
      <c r="F115" s="10" t="str">
        <f>"s1_node_"&amp;D115&amp;"_desc"</f>
        <v>s1_node_survival_desc</v>
      </c>
      <c r="G115" s="0" t="s">
        <v>140</v>
      </c>
      <c r="H115" s="0">
        <v>4</v>
      </c>
      <c r="I115" s="0" t="s">
        <v>27</v>
      </c>
      <c r="J115" s="0" t="s">
        <v>310</v>
      </c>
      <c r="K115" s="0">
        <v>2230</v>
      </c>
      <c r="L115" s="10">
        <v>3</v>
      </c>
      <c r="M115" s="0">
        <v>63</v>
      </c>
      <c r="N115" s="0">
        <v>2</v>
      </c>
      <c r="O115" s="0" t="s">
        <v>311</v>
      </c>
      <c r="T115" s="0" t="str">
        <f>_xlfn.TEXTJOIN("_",TRUE,C115,"node_eff",D115,M115,N115)</f>
        <v>s1_node_eff_survival_63_2</v>
      </c>
    </row>
    <row r="116" spans="1:20" x14ac:dyDescent="0.45">
      <c r="A116" s="0" t="str">
        <f>_xlfn.TEXTJOIN("_",TRUE,C116,"node",D116,M116,N116)</f>
        <v>s1_node_survival_63_6</v>
      </c>
      <c r="B116" s="0" t="s">
        <v>0</v>
      </c>
      <c r="C116" s="0" t="s">
        <v>26</v>
      </c>
      <c r="D116" s="0" t="s">
        <v>102</v>
      </c>
      <c r="E116" s="0" t="str">
        <f>"s1_node_"&amp;D116&amp;"_name"</f>
        <v>s1_node_survival_name</v>
      </c>
      <c r="F116" s="10" t="str">
        <f>"s1_node_"&amp;D116&amp;"_desc"</f>
        <v>s1_node_survival_desc</v>
      </c>
      <c r="G116" s="0" t="s">
        <v>136</v>
      </c>
      <c r="H116" s="0">
        <v>4</v>
      </c>
      <c r="I116" s="0" t="s">
        <v>27</v>
      </c>
      <c r="J116" s="0" t="s">
        <v>310</v>
      </c>
      <c r="K116" s="0">
        <v>2230</v>
      </c>
      <c r="L116" s="10">
        <v>3</v>
      </c>
      <c r="M116" s="0">
        <v>63</v>
      </c>
      <c r="N116" s="0">
        <v>6</v>
      </c>
      <c r="O116" s="0" t="s">
        <v>312</v>
      </c>
      <c r="T116" s="0" t="str">
        <f>_xlfn.TEXTJOIN("_",TRUE,C116,"node_eff",D116,M116,N116)</f>
        <v>s1_node_eff_survival_63_6</v>
      </c>
    </row>
    <row r="117" spans="1:20" x14ac:dyDescent="0.45">
      <c r="A117" s="0" t="str">
        <f>_xlfn.TEXTJOIN("_",TRUE,C117,"node",D117,M117,N117)</f>
        <v>s1_node_survival_64_2</v>
      </c>
      <c r="B117" s="0" t="s">
        <v>0</v>
      </c>
      <c r="C117" s="0" t="s">
        <v>26</v>
      </c>
      <c r="D117" s="0" t="s">
        <v>102</v>
      </c>
      <c r="E117" s="0" t="str">
        <f>"s1_node_"&amp;D117&amp;"_name"</f>
        <v>s1_node_survival_name</v>
      </c>
      <c r="F117" s="10" t="str">
        <f>"s1_node_"&amp;D117&amp;"_desc"</f>
        <v>s1_node_survival_desc</v>
      </c>
      <c r="G117" s="0" t="s">
        <v>136</v>
      </c>
      <c r="H117" s="0">
        <v>4</v>
      </c>
      <c r="I117" s="0" t="s">
        <v>27</v>
      </c>
      <c r="J117" s="0" t="s">
        <v>313</v>
      </c>
      <c r="K117" s="0">
        <v>2270</v>
      </c>
      <c r="L117" s="10">
        <v>3</v>
      </c>
      <c r="M117" s="0">
        <v>64</v>
      </c>
      <c r="N117" s="0">
        <v>2</v>
      </c>
      <c r="O117" s="0" t="s">
        <v>314</v>
      </c>
      <c r="T117" s="0" t="str">
        <f>_xlfn.TEXTJOIN("_",TRUE,C117,"node_eff",D117,M117,N117)</f>
        <v>s1_node_eff_survival_64_2</v>
      </c>
    </row>
    <row r="118" spans="1:20" x14ac:dyDescent="0.45">
      <c r="A118" s="0" t="str">
        <f>_xlfn.TEXTJOIN("_",TRUE,C118,"node",D118,M118,N118)</f>
        <v>s1_node_survival_64_6</v>
      </c>
      <c r="B118" s="0" t="s">
        <v>0</v>
      </c>
      <c r="C118" s="0" t="s">
        <v>26</v>
      </c>
      <c r="D118" s="0" t="s">
        <v>102</v>
      </c>
      <c r="E118" s="0" t="str">
        <f>"s1_node_"&amp;D118&amp;"_name"</f>
        <v>s1_node_survival_name</v>
      </c>
      <c r="F118" s="10" t="str">
        <f>"s1_node_"&amp;D118&amp;"_desc"</f>
        <v>s1_node_survival_desc</v>
      </c>
      <c r="G118" s="0" t="s">
        <v>136</v>
      </c>
      <c r="H118" s="0">
        <v>4</v>
      </c>
      <c r="I118" s="0" t="s">
        <v>27</v>
      </c>
      <c r="J118" s="0" t="s">
        <v>313</v>
      </c>
      <c r="K118" s="0">
        <v>2270</v>
      </c>
      <c r="L118" s="10">
        <v>3</v>
      </c>
      <c r="M118" s="0">
        <v>64</v>
      </c>
      <c r="N118" s="0">
        <v>6</v>
      </c>
      <c r="O118" s="0" t="s">
        <v>315</v>
      </c>
      <c r="T118" s="0" t="str">
        <f>_xlfn.TEXTJOIN("_",TRUE,C118,"node_eff",D118,M118,N118)</f>
        <v>s1_node_eff_survival_64_6</v>
      </c>
    </row>
    <row r="119" spans="1:20" x14ac:dyDescent="0.45">
      <c r="A119" s="0" t="str">
        <f>_xlfn.TEXTJOIN("_",TRUE,C119,"node",D119,M119,N119)</f>
        <v>s1_node_survival_65_2</v>
      </c>
      <c r="B119" s="0" t="s">
        <v>0</v>
      </c>
      <c r="C119" s="0" t="s">
        <v>26</v>
      </c>
      <c r="D119" s="0" t="s">
        <v>102</v>
      </c>
      <c r="E119" s="0" t="str">
        <f>"s1_node_"&amp;D119&amp;"_name"</f>
        <v>s1_node_survival_name</v>
      </c>
      <c r="F119" s="10" t="str">
        <f>"s1_node_"&amp;D119&amp;"_desc"</f>
        <v>s1_node_survival_desc</v>
      </c>
      <c r="G119" s="0" t="s">
        <v>147</v>
      </c>
      <c r="H119" s="0">
        <v>4</v>
      </c>
      <c r="I119" s="0" t="s">
        <v>27</v>
      </c>
      <c r="J119" s="0" t="s">
        <v>316</v>
      </c>
      <c r="K119" s="0">
        <v>2300</v>
      </c>
      <c r="L119" s="10">
        <v>3</v>
      </c>
      <c r="M119" s="0">
        <v>65</v>
      </c>
      <c r="N119" s="0">
        <v>2</v>
      </c>
      <c r="O119" s="0" t="s">
        <v>317</v>
      </c>
      <c r="T119" s="0" t="str">
        <f>_xlfn.TEXTJOIN("_",TRUE,C119,"node_eff",D119,M119,N119)</f>
        <v>s1_node_eff_survival_65_2</v>
      </c>
    </row>
    <row r="120" spans="1:20" x14ac:dyDescent="0.45">
      <c r="A120" s="0" t="str">
        <f>_xlfn.TEXTJOIN("_",TRUE,C120,"node",D120,M120,N120)</f>
        <v>s1_node_survival_65_6</v>
      </c>
      <c r="B120" s="0" t="s">
        <v>0</v>
      </c>
      <c r="C120" s="0" t="s">
        <v>26</v>
      </c>
      <c r="D120" s="0" t="s">
        <v>102</v>
      </c>
      <c r="E120" s="0" t="str">
        <f>"s1_node_"&amp;D120&amp;"_name"</f>
        <v>s1_node_survival_name</v>
      </c>
      <c r="F120" s="10" t="str">
        <f>"s1_node_"&amp;D120&amp;"_desc"</f>
        <v>s1_node_survival_desc</v>
      </c>
      <c r="G120" s="0" t="s">
        <v>147</v>
      </c>
      <c r="H120" s="0">
        <v>4</v>
      </c>
      <c r="I120" s="0" t="s">
        <v>27</v>
      </c>
      <c r="J120" s="0" t="s">
        <v>316</v>
      </c>
      <c r="K120" s="0">
        <v>2300</v>
      </c>
      <c r="L120" s="10">
        <v>3</v>
      </c>
      <c r="M120" s="0">
        <v>65</v>
      </c>
      <c r="N120" s="0">
        <v>6</v>
      </c>
      <c r="O120" s="0" t="s">
        <v>318</v>
      </c>
      <c r="T120" s="0" t="str">
        <f>_xlfn.TEXTJOIN("_",TRUE,C120,"node_eff",D120,M120,N120)</f>
        <v>s1_node_eff_survival_65_6</v>
      </c>
    </row>
    <row r="121" spans="1:20" x14ac:dyDescent="0.45">
      <c r="A121" s="0" t="str">
        <f>_xlfn.TEXTJOIN("_",TRUE,C121,"node",D121,M121,N121)</f>
        <v>s1_node_survival_66_4</v>
      </c>
      <c r="B121" s="0" t="s">
        <v>0</v>
      </c>
      <c r="C121" s="0" t="s">
        <v>26</v>
      </c>
      <c r="D121" s="0" t="s">
        <v>102</v>
      </c>
      <c r="E121" s="0" t="str">
        <f>"s1_node_"&amp;D121&amp;"_name"</f>
        <v>s1_node_survival_name</v>
      </c>
      <c r="F121" s="10" t="str">
        <f>"s1_node_"&amp;D121&amp;"_desc"</f>
        <v>s1_node_survival_desc</v>
      </c>
      <c r="G121" s="0" t="s">
        <v>136</v>
      </c>
      <c r="H121" s="0">
        <v>4</v>
      </c>
      <c r="I121" s="0" t="s">
        <v>27</v>
      </c>
      <c r="J121" s="0" t="s">
        <v>319</v>
      </c>
      <c r="K121" s="0">
        <v>2340</v>
      </c>
      <c r="L121" s="10">
        <v>3</v>
      </c>
      <c r="M121" s="0">
        <v>66</v>
      </c>
      <c r="N121" s="0">
        <v>4</v>
      </c>
      <c r="O121" s="0" t="s">
        <v>320</v>
      </c>
      <c r="P121" s="0" t="s">
        <v>321</v>
      </c>
      <c r="T121" s="0" t="str">
        <f>_xlfn.TEXTJOIN("_",TRUE,C121,"node_eff",D121,M121,N121)</f>
        <v>s1_node_eff_survival_66_4</v>
      </c>
    </row>
    <row r="122" spans="1:20" x14ac:dyDescent="0.45">
      <c r="A122" s="0" t="str">
        <f>_xlfn.TEXTJOIN("_",TRUE,C122,"node",D122,M122,N122)</f>
        <v>s1_node_survival_67_2</v>
      </c>
      <c r="B122" s="0" t="s">
        <v>0</v>
      </c>
      <c r="C122" s="0" t="s">
        <v>26</v>
      </c>
      <c r="D122" s="0" t="s">
        <v>102</v>
      </c>
      <c r="E122" s="0" t="str">
        <f>"s1_node_"&amp;D122&amp;"_name"</f>
        <v>s1_node_survival_name</v>
      </c>
      <c r="F122" s="10" t="str">
        <f>"s1_node_"&amp;D122&amp;"_desc"</f>
        <v>s1_node_survival_desc</v>
      </c>
      <c r="G122" s="0" t="s">
        <v>136</v>
      </c>
      <c r="H122" s="0">
        <v>4</v>
      </c>
      <c r="I122" s="0" t="s">
        <v>27</v>
      </c>
      <c r="J122" s="0" t="s">
        <v>322</v>
      </c>
      <c r="K122" s="0">
        <v>2370</v>
      </c>
      <c r="L122" s="10">
        <v>3</v>
      </c>
      <c r="M122" s="0">
        <v>67</v>
      </c>
      <c r="N122" s="0">
        <v>2</v>
      </c>
      <c r="O122" s="0" t="s">
        <v>323</v>
      </c>
      <c r="T122" s="0" t="str">
        <f>_xlfn.TEXTJOIN("_",TRUE,C122,"node_eff",D122,M122,N122)</f>
        <v>s1_node_eff_survival_67_2</v>
      </c>
    </row>
    <row r="123" spans="1:20" x14ac:dyDescent="0.45">
      <c r="A123" s="0" t="str">
        <f>_xlfn.TEXTJOIN("_",TRUE,C123,"node",D123,M123,N123)</f>
        <v>s1_node_survival_67_6</v>
      </c>
      <c r="B123" s="0" t="s">
        <v>0</v>
      </c>
      <c r="C123" s="0" t="s">
        <v>26</v>
      </c>
      <c r="D123" s="0" t="s">
        <v>102</v>
      </c>
      <c r="E123" s="0" t="str">
        <f>"s1_node_"&amp;D123&amp;"_name"</f>
        <v>s1_node_survival_name</v>
      </c>
      <c r="F123" s="10" t="str">
        <f>"s1_node_"&amp;D123&amp;"_desc"</f>
        <v>s1_node_survival_desc</v>
      </c>
      <c r="G123" s="0" t="s">
        <v>140</v>
      </c>
      <c r="H123" s="0">
        <v>4</v>
      </c>
      <c r="I123" s="0" t="s">
        <v>27</v>
      </c>
      <c r="J123" s="0" t="s">
        <v>322</v>
      </c>
      <c r="K123" s="0">
        <v>2370</v>
      </c>
      <c r="L123" s="10">
        <v>3</v>
      </c>
      <c r="M123" s="0">
        <v>67</v>
      </c>
      <c r="N123" s="0">
        <v>6</v>
      </c>
      <c r="O123" s="0" t="s">
        <v>323</v>
      </c>
      <c r="T123" s="0" t="str">
        <f>_xlfn.TEXTJOIN("_",TRUE,C123,"node_eff",D123,M123,N123)</f>
        <v>s1_node_eff_survival_67_6</v>
      </c>
    </row>
    <row r="124" spans="1:20" x14ac:dyDescent="0.45">
      <c r="A124" s="0" t="str">
        <f>_xlfn.TEXTJOIN("_",TRUE,C124,"node",D124,M124,N124)</f>
        <v>s1_node_survival_68_2</v>
      </c>
      <c r="B124" s="0" t="s">
        <v>0</v>
      </c>
      <c r="C124" s="0" t="s">
        <v>26</v>
      </c>
      <c r="D124" s="0" t="s">
        <v>102</v>
      </c>
      <c r="E124" s="0" t="str">
        <f>"s1_node_"&amp;D124&amp;"_name"</f>
        <v>s1_node_survival_name</v>
      </c>
      <c r="F124" s="10" t="str">
        <f>"s1_node_"&amp;D124&amp;"_desc"</f>
        <v>s1_node_survival_desc</v>
      </c>
      <c r="G124" s="0" t="s">
        <v>140</v>
      </c>
      <c r="H124" s="0">
        <v>4</v>
      </c>
      <c r="I124" s="0" t="s">
        <v>27</v>
      </c>
      <c r="J124" s="0" t="s">
        <v>324</v>
      </c>
      <c r="K124" s="0">
        <v>2410</v>
      </c>
      <c r="L124" s="10">
        <v>3</v>
      </c>
      <c r="M124" s="0">
        <v>68</v>
      </c>
      <c r="N124" s="0">
        <v>2</v>
      </c>
      <c r="O124" s="0" t="s">
        <v>325</v>
      </c>
      <c r="T124" s="0" t="str">
        <f>_xlfn.TEXTJOIN("_",TRUE,C124,"node_eff",D124,M124,N124)</f>
        <v>s1_node_eff_survival_68_2</v>
      </c>
    </row>
    <row r="125" spans="1:20" x14ac:dyDescent="0.45">
      <c r="A125" s="0" t="str">
        <f>_xlfn.TEXTJOIN("_",TRUE,C125,"node",D125,M125,N125)</f>
        <v>s1_node_survival_68_6</v>
      </c>
      <c r="B125" s="0" t="s">
        <v>0</v>
      </c>
      <c r="C125" s="0" t="s">
        <v>26</v>
      </c>
      <c r="D125" s="0" t="s">
        <v>102</v>
      </c>
      <c r="E125" s="0" t="str">
        <f>"s1_node_"&amp;D125&amp;"_name"</f>
        <v>s1_node_survival_name</v>
      </c>
      <c r="F125" s="10" t="str">
        <f>"s1_node_"&amp;D125&amp;"_desc"</f>
        <v>s1_node_survival_desc</v>
      </c>
      <c r="G125" s="0" t="s">
        <v>136</v>
      </c>
      <c r="H125" s="0">
        <v>4</v>
      </c>
      <c r="I125" s="0" t="s">
        <v>27</v>
      </c>
      <c r="J125" s="0" t="s">
        <v>324</v>
      </c>
      <c r="K125" s="0">
        <v>2410</v>
      </c>
      <c r="L125" s="10">
        <v>3</v>
      </c>
      <c r="M125" s="0">
        <v>68</v>
      </c>
      <c r="N125" s="0">
        <v>6</v>
      </c>
      <c r="O125" s="0" t="s">
        <v>326</v>
      </c>
      <c r="T125" s="0" t="str">
        <f>_xlfn.TEXTJOIN("_",TRUE,C125,"node_eff",D125,M125,N125)</f>
        <v>s1_node_eff_survival_68_6</v>
      </c>
    </row>
    <row r="126" spans="1:20" x14ac:dyDescent="0.45">
      <c r="A126" s="0" t="str">
        <f>_xlfn.TEXTJOIN("_",TRUE,C126,"node",D126,M126,N126)</f>
        <v>s1_node_survival_69_2</v>
      </c>
      <c r="B126" s="0" t="s">
        <v>0</v>
      </c>
      <c r="C126" s="0" t="s">
        <v>26</v>
      </c>
      <c r="D126" s="0" t="s">
        <v>102</v>
      </c>
      <c r="E126" s="0" t="str">
        <f>"s1_node_"&amp;D126&amp;"_name"</f>
        <v>s1_node_survival_name</v>
      </c>
      <c r="F126" s="10" t="str">
        <f>"s1_node_"&amp;D126&amp;"_desc"</f>
        <v>s1_node_survival_desc</v>
      </c>
      <c r="G126" s="0" t="s">
        <v>136</v>
      </c>
      <c r="H126" s="0">
        <v>4</v>
      </c>
      <c r="I126" s="0" t="s">
        <v>27</v>
      </c>
      <c r="J126" s="0" t="s">
        <v>327</v>
      </c>
      <c r="K126" s="0">
        <v>2440</v>
      </c>
      <c r="L126" s="10">
        <v>3</v>
      </c>
      <c r="M126" s="0">
        <v>69</v>
      </c>
      <c r="N126" s="0">
        <v>2</v>
      </c>
      <c r="O126" s="0" t="s">
        <v>328</v>
      </c>
      <c r="T126" s="0" t="str">
        <f>_xlfn.TEXTJOIN("_",TRUE,C126,"node_eff",D126,M126,N126)</f>
        <v>s1_node_eff_survival_69_2</v>
      </c>
    </row>
    <row r="127" spans="1:20" x14ac:dyDescent="0.45">
      <c r="A127" s="0" t="str">
        <f>_xlfn.TEXTJOIN("_",TRUE,C127,"node",D127,M127,N127)</f>
        <v>s1_node_survival_69_6</v>
      </c>
      <c r="B127" s="0" t="s">
        <v>0</v>
      </c>
      <c r="C127" s="0" t="s">
        <v>26</v>
      </c>
      <c r="D127" s="0" t="s">
        <v>102</v>
      </c>
      <c r="E127" s="0" t="str">
        <f>"s1_node_"&amp;D127&amp;"_name"</f>
        <v>s1_node_survival_name</v>
      </c>
      <c r="F127" s="10" t="str">
        <f>"s1_node_"&amp;D127&amp;"_desc"</f>
        <v>s1_node_survival_desc</v>
      </c>
      <c r="G127" s="0" t="s">
        <v>136</v>
      </c>
      <c r="H127" s="0">
        <v>4</v>
      </c>
      <c r="I127" s="0" t="s">
        <v>27</v>
      </c>
      <c r="J127" s="0" t="s">
        <v>327</v>
      </c>
      <c r="K127" s="0">
        <v>2440</v>
      </c>
      <c r="L127" s="10">
        <v>3</v>
      </c>
      <c r="M127" s="0">
        <v>69</v>
      </c>
      <c r="N127" s="0">
        <v>6</v>
      </c>
      <c r="O127" s="0" t="s">
        <v>329</v>
      </c>
      <c r="T127" s="0" t="str">
        <f>_xlfn.TEXTJOIN("_",TRUE,C127,"node_eff",D127,M127,N127)</f>
        <v>s1_node_eff_survival_69_6</v>
      </c>
    </row>
    <row r="128" spans="1:20" x14ac:dyDescent="0.45">
      <c r="A128" s="0" t="str">
        <f>_xlfn.TEXTJOIN("_",TRUE,C128,"node",D128,M128,N128)</f>
        <v>s1_node_survival_70_2</v>
      </c>
      <c r="B128" s="0" t="s">
        <v>0</v>
      </c>
      <c r="C128" s="0" t="s">
        <v>26</v>
      </c>
      <c r="D128" s="0" t="s">
        <v>102</v>
      </c>
      <c r="E128" s="0" t="str">
        <f>"s1_node_"&amp;D128&amp;"_name"</f>
        <v>s1_node_survival_name</v>
      </c>
      <c r="F128" s="10" t="str">
        <f>"s1_node_"&amp;D128&amp;"_desc"</f>
        <v>s1_node_survival_desc</v>
      </c>
      <c r="G128" s="0" t="s">
        <v>147</v>
      </c>
      <c r="H128" s="0">
        <v>4</v>
      </c>
      <c r="I128" s="0" t="s">
        <v>27</v>
      </c>
      <c r="J128" s="0" t="s">
        <v>330</v>
      </c>
      <c r="K128" s="0">
        <v>2480</v>
      </c>
      <c r="L128" s="10">
        <v>3</v>
      </c>
      <c r="M128" s="0">
        <v>70</v>
      </c>
      <c r="N128" s="0">
        <v>2</v>
      </c>
      <c r="O128" s="0" t="s">
        <v>331</v>
      </c>
      <c r="T128" s="0" t="str">
        <f>_xlfn.TEXTJOIN("_",TRUE,C128,"node_eff",D128,M128,N128)</f>
        <v>s1_node_eff_survival_70_2</v>
      </c>
    </row>
    <row r="129" spans="1:20" x14ac:dyDescent="0.45">
      <c r="A129" s="0" t="str">
        <f>_xlfn.TEXTJOIN("_",TRUE,C129,"node",D129,M129,N129)</f>
        <v>s1_node_survival_70_6</v>
      </c>
      <c r="B129" s="0" t="s">
        <v>0</v>
      </c>
      <c r="C129" s="0" t="s">
        <v>26</v>
      </c>
      <c r="D129" s="0" t="s">
        <v>102</v>
      </c>
      <c r="E129" s="0" t="str">
        <f>"s1_node_"&amp;D129&amp;"_name"</f>
        <v>s1_node_survival_name</v>
      </c>
      <c r="F129" s="10" t="str">
        <f>"s1_node_"&amp;D129&amp;"_desc"</f>
        <v>s1_node_survival_desc</v>
      </c>
      <c r="G129" s="0" t="s">
        <v>147</v>
      </c>
      <c r="H129" s="0">
        <v>4</v>
      </c>
      <c r="I129" s="0" t="s">
        <v>27</v>
      </c>
      <c r="J129" s="0" t="s">
        <v>330</v>
      </c>
      <c r="K129" s="0">
        <v>2480</v>
      </c>
      <c r="L129" s="10">
        <v>3</v>
      </c>
      <c r="M129" s="0">
        <v>70</v>
      </c>
      <c r="N129" s="0">
        <v>6</v>
      </c>
      <c r="O129" s="0" t="s">
        <v>332</v>
      </c>
      <c r="T129" s="0" t="str">
        <f>_xlfn.TEXTJOIN("_",TRUE,C129,"node_eff",D129,M129,N129)</f>
        <v>s1_node_eff_survival_70_6</v>
      </c>
    </row>
    <row r="130" spans="1:20" x14ac:dyDescent="0.45">
      <c r="A130" s="0" t="str">
        <f>_xlfn.TEXTJOIN("_",TRUE,C130,"node",D130,M130,N130)</f>
        <v>s1_node_survival_71_4</v>
      </c>
      <c r="B130" s="0" t="s">
        <v>0</v>
      </c>
      <c r="C130" s="0" t="s">
        <v>26</v>
      </c>
      <c r="D130" s="0" t="s">
        <v>102</v>
      </c>
      <c r="E130" s="0" t="str">
        <f>"s1_node_"&amp;D130&amp;"_name"</f>
        <v>s1_node_survival_name</v>
      </c>
      <c r="F130" s="10" t="str">
        <f>"s1_node_"&amp;D130&amp;"_desc"</f>
        <v>s1_node_survival_desc</v>
      </c>
      <c r="G130" s="0" t="s">
        <v>136</v>
      </c>
      <c r="H130" s="0">
        <v>4</v>
      </c>
      <c r="I130" s="0" t="s">
        <v>27</v>
      </c>
      <c r="J130" s="0" t="s">
        <v>333</v>
      </c>
      <c r="K130" s="0">
        <v>2510</v>
      </c>
      <c r="L130" s="10">
        <v>3</v>
      </c>
      <c r="M130" s="0">
        <v>71</v>
      </c>
      <c r="N130" s="0">
        <v>4</v>
      </c>
      <c r="O130" s="0" t="s">
        <v>334</v>
      </c>
      <c r="P130" s="0" t="s">
        <v>335</v>
      </c>
      <c r="T130" s="0" t="str">
        <f>_xlfn.TEXTJOIN("_",TRUE,C130,"node_eff",D130,M130,N130)</f>
        <v>s1_node_eff_survival_71_4</v>
      </c>
    </row>
    <row r="131" spans="1:20" x14ac:dyDescent="0.45">
      <c r="A131" s="0" t="str">
        <f>_xlfn.TEXTJOIN("_",TRUE,C131,"node",D131,M131,N131)</f>
        <v>s1_node_survival_72_2</v>
      </c>
      <c r="B131" s="0" t="s">
        <v>0</v>
      </c>
      <c r="C131" s="0" t="s">
        <v>26</v>
      </c>
      <c r="D131" s="0" t="s">
        <v>102</v>
      </c>
      <c r="E131" s="0" t="str">
        <f>"s1_node_"&amp;D131&amp;"_name"</f>
        <v>s1_node_survival_name</v>
      </c>
      <c r="F131" s="10" t="str">
        <f>"s1_node_"&amp;D131&amp;"_desc"</f>
        <v>s1_node_survival_desc</v>
      </c>
      <c r="G131" s="0" t="s">
        <v>136</v>
      </c>
      <c r="H131" s="0">
        <v>4</v>
      </c>
      <c r="I131" s="0" t="s">
        <v>27</v>
      </c>
      <c r="J131" s="0" t="s">
        <v>336</v>
      </c>
      <c r="K131" s="0">
        <v>2550</v>
      </c>
      <c r="L131" s="10">
        <v>3</v>
      </c>
      <c r="M131" s="0">
        <v>72</v>
      </c>
      <c r="N131" s="0">
        <v>2</v>
      </c>
      <c r="O131" s="0" t="s">
        <v>337</v>
      </c>
      <c r="T131" s="0" t="str">
        <f>_xlfn.TEXTJOIN("_",TRUE,C131,"node_eff",D131,M131,N131)</f>
        <v>s1_node_eff_survival_72_2</v>
      </c>
    </row>
    <row r="132" spans="1:20" x14ac:dyDescent="0.45">
      <c r="A132" s="0" t="str">
        <f>_xlfn.TEXTJOIN("_",TRUE,C132,"node",D132,M132,N132)</f>
        <v>s1_node_survival_72_6</v>
      </c>
      <c r="B132" s="0" t="s">
        <v>0</v>
      </c>
      <c r="C132" s="0" t="s">
        <v>26</v>
      </c>
      <c r="D132" s="0" t="s">
        <v>102</v>
      </c>
      <c r="E132" s="0" t="str">
        <f>"s1_node_"&amp;D132&amp;"_name"</f>
        <v>s1_node_survival_name</v>
      </c>
      <c r="F132" s="10" t="str">
        <f>"s1_node_"&amp;D132&amp;"_desc"</f>
        <v>s1_node_survival_desc</v>
      </c>
      <c r="G132" s="0" t="s">
        <v>140</v>
      </c>
      <c r="H132" s="0">
        <v>4</v>
      </c>
      <c r="I132" s="0" t="s">
        <v>27</v>
      </c>
      <c r="J132" s="0" t="s">
        <v>336</v>
      </c>
      <c r="K132" s="0">
        <v>2550</v>
      </c>
      <c r="L132" s="10">
        <v>3</v>
      </c>
      <c r="M132" s="0">
        <v>72</v>
      </c>
      <c r="N132" s="0">
        <v>6</v>
      </c>
      <c r="O132" s="0" t="s">
        <v>337</v>
      </c>
      <c r="T132" s="0" t="str">
        <f>_xlfn.TEXTJOIN("_",TRUE,C132,"node_eff",D132,M132,N132)</f>
        <v>s1_node_eff_survival_72_6</v>
      </c>
    </row>
    <row r="133" spans="1:20" x14ac:dyDescent="0.45">
      <c r="A133" s="0" t="str">
        <f>_xlfn.TEXTJOIN("_",TRUE,C133,"node",D133,M133,N133)</f>
        <v>s1_node_survival_73_2</v>
      </c>
      <c r="B133" s="0" t="s">
        <v>0</v>
      </c>
      <c r="C133" s="0" t="s">
        <v>26</v>
      </c>
      <c r="D133" s="0" t="s">
        <v>102</v>
      </c>
      <c r="E133" s="0" t="str">
        <f>"s1_node_"&amp;D133&amp;"_name"</f>
        <v>s1_node_survival_name</v>
      </c>
      <c r="F133" s="10" t="str">
        <f>"s1_node_"&amp;D133&amp;"_desc"</f>
        <v>s1_node_survival_desc</v>
      </c>
      <c r="G133" s="0" t="s">
        <v>140</v>
      </c>
      <c r="H133" s="0">
        <v>4</v>
      </c>
      <c r="I133" s="0" t="s">
        <v>27</v>
      </c>
      <c r="J133" s="0" t="s">
        <v>338</v>
      </c>
      <c r="K133" s="0">
        <v>2580</v>
      </c>
      <c r="L133" s="10">
        <v>3</v>
      </c>
      <c r="M133" s="0">
        <v>73</v>
      </c>
      <c r="N133" s="0">
        <v>2</v>
      </c>
      <c r="O133" s="0" t="s">
        <v>339</v>
      </c>
      <c r="T133" s="0" t="str">
        <f>_xlfn.TEXTJOIN("_",TRUE,C133,"node_eff",D133,M133,N133)</f>
        <v>s1_node_eff_survival_73_2</v>
      </c>
    </row>
    <row r="134" spans="1:20" x14ac:dyDescent="0.45">
      <c r="A134" s="0" t="str">
        <f>_xlfn.TEXTJOIN("_",TRUE,C134,"node",D134,M134,N134)</f>
        <v>s1_node_survival_73_6</v>
      </c>
      <c r="B134" s="0" t="s">
        <v>0</v>
      </c>
      <c r="C134" s="0" t="s">
        <v>26</v>
      </c>
      <c r="D134" s="0" t="s">
        <v>102</v>
      </c>
      <c r="E134" s="0" t="str">
        <f>"s1_node_"&amp;D134&amp;"_name"</f>
        <v>s1_node_survival_name</v>
      </c>
      <c r="F134" s="10" t="str">
        <f>"s1_node_"&amp;D134&amp;"_desc"</f>
        <v>s1_node_survival_desc</v>
      </c>
      <c r="G134" s="0" t="s">
        <v>136</v>
      </c>
      <c r="H134" s="0">
        <v>4</v>
      </c>
      <c r="I134" s="0" t="s">
        <v>27</v>
      </c>
      <c r="J134" s="0" t="s">
        <v>338</v>
      </c>
      <c r="K134" s="0">
        <v>2580</v>
      </c>
      <c r="L134" s="10">
        <v>3</v>
      </c>
      <c r="M134" s="0">
        <v>73</v>
      </c>
      <c r="N134" s="0">
        <v>6</v>
      </c>
      <c r="O134" s="0" t="s">
        <v>340</v>
      </c>
      <c r="T134" s="0" t="str">
        <f>_xlfn.TEXTJOIN("_",TRUE,C134,"node_eff",D134,M134,N134)</f>
        <v>s1_node_eff_survival_73_6</v>
      </c>
    </row>
    <row r="135" spans="1:20" x14ac:dyDescent="0.45">
      <c r="A135" s="0" t="str">
        <f>_xlfn.TEXTJOIN("_",TRUE,C135,"node",D135,M135,N135)</f>
        <v>s1_node_survival_74_2</v>
      </c>
      <c r="B135" s="0" t="s">
        <v>0</v>
      </c>
      <c r="C135" s="0" t="s">
        <v>26</v>
      </c>
      <c r="D135" s="0" t="s">
        <v>102</v>
      </c>
      <c r="E135" s="0" t="str">
        <f>"s1_node_"&amp;D135&amp;"_name"</f>
        <v>s1_node_survival_name</v>
      </c>
      <c r="F135" s="10" t="str">
        <f>"s1_node_"&amp;D135&amp;"_desc"</f>
        <v>s1_node_survival_desc</v>
      </c>
      <c r="G135" s="0" t="s">
        <v>136</v>
      </c>
      <c r="H135" s="0">
        <v>4</v>
      </c>
      <c r="I135" s="0" t="s">
        <v>27</v>
      </c>
      <c r="J135" s="0" t="s">
        <v>341</v>
      </c>
      <c r="K135" s="0">
        <v>2620</v>
      </c>
      <c r="L135" s="10">
        <v>3</v>
      </c>
      <c r="M135" s="0">
        <v>74</v>
      </c>
      <c r="N135" s="0">
        <v>2</v>
      </c>
      <c r="O135" s="0" t="s">
        <v>342</v>
      </c>
      <c r="T135" s="0" t="str">
        <f>_xlfn.TEXTJOIN("_",TRUE,C135,"node_eff",D135,M135,N135)</f>
        <v>s1_node_eff_survival_74_2</v>
      </c>
    </row>
    <row r="136" spans="1:20" x14ac:dyDescent="0.45">
      <c r="A136" s="0" t="str">
        <f>_xlfn.TEXTJOIN("_",TRUE,C136,"node",D136,M136,N136)</f>
        <v>s1_node_survival_74_6</v>
      </c>
      <c r="B136" s="0" t="s">
        <v>0</v>
      </c>
      <c r="C136" s="0" t="s">
        <v>26</v>
      </c>
      <c r="D136" s="0" t="s">
        <v>102</v>
      </c>
      <c r="E136" s="0" t="str">
        <f>"s1_node_"&amp;D136&amp;"_name"</f>
        <v>s1_node_survival_name</v>
      </c>
      <c r="F136" s="10" t="str">
        <f>"s1_node_"&amp;D136&amp;"_desc"</f>
        <v>s1_node_survival_desc</v>
      </c>
      <c r="G136" s="0" t="s">
        <v>136</v>
      </c>
      <c r="H136" s="0">
        <v>4</v>
      </c>
      <c r="I136" s="0" t="s">
        <v>27</v>
      </c>
      <c r="J136" s="0" t="s">
        <v>341</v>
      </c>
      <c r="K136" s="0">
        <v>2620</v>
      </c>
      <c r="L136" s="10">
        <v>3</v>
      </c>
      <c r="M136" s="0">
        <v>74</v>
      </c>
      <c r="N136" s="0">
        <v>6</v>
      </c>
      <c r="O136" s="0" t="s">
        <v>343</v>
      </c>
      <c r="T136" s="0" t="str">
        <f>_xlfn.TEXTJOIN("_",TRUE,C136,"node_eff",D136,M136,N136)</f>
        <v>s1_node_eff_survival_74_6</v>
      </c>
    </row>
    <row r="137" spans="1:20" x14ac:dyDescent="0.45">
      <c r="A137" s="0" t="str">
        <f>_xlfn.TEXTJOIN("_",TRUE,C137,"node",D137,M137,N137)</f>
        <v>s1_node_survival_75_2</v>
      </c>
      <c r="B137" s="0" t="s">
        <v>0</v>
      </c>
      <c r="C137" s="0" t="s">
        <v>26</v>
      </c>
      <c r="D137" s="0" t="s">
        <v>102</v>
      </c>
      <c r="E137" s="0" t="str">
        <f>"s1_node_"&amp;D137&amp;"_name"</f>
        <v>s1_node_survival_name</v>
      </c>
      <c r="F137" s="10" t="str">
        <f>"s1_node_"&amp;D137&amp;"_desc"</f>
        <v>s1_node_survival_desc</v>
      </c>
      <c r="G137" s="0" t="s">
        <v>147</v>
      </c>
      <c r="H137" s="0">
        <v>4</v>
      </c>
      <c r="I137" s="0" t="s">
        <v>27</v>
      </c>
      <c r="J137" s="0" t="s">
        <v>344</v>
      </c>
      <c r="K137" s="0">
        <v>2650</v>
      </c>
      <c r="L137" s="10">
        <v>3</v>
      </c>
      <c r="M137" s="0">
        <v>75</v>
      </c>
      <c r="N137" s="0">
        <v>2</v>
      </c>
      <c r="O137" s="0" t="s">
        <v>345</v>
      </c>
      <c r="T137" s="0" t="str">
        <f>_xlfn.TEXTJOIN("_",TRUE,C137,"node_eff",D137,M137,N137)</f>
        <v>s1_node_eff_survival_75_2</v>
      </c>
    </row>
    <row r="138" spans="1:20" x14ac:dyDescent="0.45">
      <c r="A138" s="0" t="str">
        <f>_xlfn.TEXTJOIN("_",TRUE,C138,"node",D138,M138,N138)</f>
        <v>s1_node_survival_75_6</v>
      </c>
      <c r="B138" s="0" t="s">
        <v>0</v>
      </c>
      <c r="C138" s="0" t="s">
        <v>26</v>
      </c>
      <c r="D138" s="0" t="s">
        <v>102</v>
      </c>
      <c r="E138" s="0" t="str">
        <f>"s1_node_"&amp;D138&amp;"_name"</f>
        <v>s1_node_survival_name</v>
      </c>
      <c r="F138" s="10" t="str">
        <f>"s1_node_"&amp;D138&amp;"_desc"</f>
        <v>s1_node_survival_desc</v>
      </c>
      <c r="G138" s="0" t="s">
        <v>147</v>
      </c>
      <c r="H138" s="0">
        <v>4</v>
      </c>
      <c r="I138" s="0" t="s">
        <v>27</v>
      </c>
      <c r="J138" s="0" t="s">
        <v>344</v>
      </c>
      <c r="K138" s="0">
        <v>2650</v>
      </c>
      <c r="L138" s="10">
        <v>3</v>
      </c>
      <c r="M138" s="0">
        <v>75</v>
      </c>
      <c r="N138" s="0">
        <v>6</v>
      </c>
      <c r="O138" s="0" t="s">
        <v>346</v>
      </c>
      <c r="T138" s="0" t="str">
        <f>_xlfn.TEXTJOIN("_",TRUE,C138,"node_eff",D138,M138,N138)</f>
        <v>s1_node_eff_survival_75_6</v>
      </c>
    </row>
    <row r="139" spans="1:20" x14ac:dyDescent="0.45">
      <c r="A139" s="0" t="str">
        <f>_xlfn.TEXTJOIN("_",TRUE,C139,"node",D139,M139,N139)</f>
        <v>s1_node_survival_76_4</v>
      </c>
      <c r="B139" s="0" t="s">
        <v>0</v>
      </c>
      <c r="C139" s="0" t="s">
        <v>26</v>
      </c>
      <c r="D139" s="0" t="s">
        <v>102</v>
      </c>
      <c r="E139" s="0" t="str">
        <f>"s1_node_"&amp;D139&amp;"_name"</f>
        <v>s1_node_survival_name</v>
      </c>
      <c r="F139" s="10" t="str">
        <f>"s1_node_"&amp;D139&amp;"_desc"</f>
        <v>s1_node_survival_desc</v>
      </c>
      <c r="G139" s="0" t="s">
        <v>136</v>
      </c>
      <c r="H139" s="0">
        <v>4</v>
      </c>
      <c r="I139" s="0" t="s">
        <v>27</v>
      </c>
      <c r="J139" s="0" t="s">
        <v>347</v>
      </c>
      <c r="K139" s="0">
        <v>2690</v>
      </c>
      <c r="L139" s="10">
        <v>3</v>
      </c>
      <c r="M139" s="0">
        <v>76</v>
      </c>
      <c r="N139" s="0">
        <v>4</v>
      </c>
      <c r="O139" s="0" t="s">
        <v>348</v>
      </c>
      <c r="P139" s="0" t="s">
        <v>349</v>
      </c>
      <c r="T139" s="0" t="str">
        <f>_xlfn.TEXTJOIN("_",TRUE,C139,"node_eff",D139,M139,N139)</f>
        <v>s1_node_eff_survival_76_4</v>
      </c>
    </row>
    <row r="140" spans="1:20" x14ac:dyDescent="0.45">
      <c r="A140" s="0" t="str">
        <f>_xlfn.TEXTJOIN("_",TRUE,C140,"node",D140,M140,N140)</f>
        <v>s1_node_survival_77_2</v>
      </c>
      <c r="B140" s="0" t="s">
        <v>0</v>
      </c>
      <c r="C140" s="0" t="s">
        <v>26</v>
      </c>
      <c r="D140" s="0" t="s">
        <v>102</v>
      </c>
      <c r="E140" s="0" t="str">
        <f>"s1_node_"&amp;D140&amp;"_name"</f>
        <v>s1_node_survival_name</v>
      </c>
      <c r="F140" s="10" t="str">
        <f>"s1_node_"&amp;D140&amp;"_desc"</f>
        <v>s1_node_survival_desc</v>
      </c>
      <c r="G140" s="0" t="s">
        <v>136</v>
      </c>
      <c r="H140" s="0">
        <v>4</v>
      </c>
      <c r="I140" s="0" t="s">
        <v>27</v>
      </c>
      <c r="J140" s="0" t="s">
        <v>350</v>
      </c>
      <c r="K140" s="0">
        <v>2720</v>
      </c>
      <c r="L140" s="10">
        <v>3</v>
      </c>
      <c r="M140" s="0">
        <v>77</v>
      </c>
      <c r="N140" s="0">
        <v>2</v>
      </c>
      <c r="O140" s="0" t="s">
        <v>351</v>
      </c>
      <c r="T140" s="0" t="str">
        <f>_xlfn.TEXTJOIN("_",TRUE,C140,"node_eff",D140,M140,N140)</f>
        <v>s1_node_eff_survival_77_2</v>
      </c>
    </row>
    <row r="141" spans="1:20" x14ac:dyDescent="0.45">
      <c r="A141" s="0" t="str">
        <f>_xlfn.TEXTJOIN("_",TRUE,C141,"node",D141,M141,N141)</f>
        <v>s1_node_survival_77_6</v>
      </c>
      <c r="B141" s="0" t="s">
        <v>0</v>
      </c>
      <c r="C141" s="0" t="s">
        <v>26</v>
      </c>
      <c r="D141" s="0" t="s">
        <v>102</v>
      </c>
      <c r="E141" s="0" t="str">
        <f>"s1_node_"&amp;D141&amp;"_name"</f>
        <v>s1_node_survival_name</v>
      </c>
      <c r="F141" s="10" t="str">
        <f>"s1_node_"&amp;D141&amp;"_desc"</f>
        <v>s1_node_survival_desc</v>
      </c>
      <c r="G141" s="0" t="s">
        <v>140</v>
      </c>
      <c r="H141" s="0">
        <v>4</v>
      </c>
      <c r="I141" s="0" t="s">
        <v>27</v>
      </c>
      <c r="J141" s="0" t="s">
        <v>350</v>
      </c>
      <c r="K141" s="0">
        <v>2720</v>
      </c>
      <c r="L141" s="10">
        <v>3</v>
      </c>
      <c r="M141" s="0">
        <v>77</v>
      </c>
      <c r="N141" s="0">
        <v>6</v>
      </c>
      <c r="O141" s="0" t="s">
        <v>351</v>
      </c>
      <c r="T141" s="0" t="str">
        <f>_xlfn.TEXTJOIN("_",TRUE,C141,"node_eff",D141,M141,N141)</f>
        <v>s1_node_eff_survival_77_6</v>
      </c>
    </row>
    <row r="142" spans="1:20" x14ac:dyDescent="0.45">
      <c r="A142" s="0" t="str">
        <f>_xlfn.TEXTJOIN("_",TRUE,C142,"node",D142,M142,N142)</f>
        <v>s1_node_survival_78_2</v>
      </c>
      <c r="B142" s="0" t="s">
        <v>0</v>
      </c>
      <c r="C142" s="0" t="s">
        <v>26</v>
      </c>
      <c r="D142" s="0" t="s">
        <v>102</v>
      </c>
      <c r="E142" s="0" t="str">
        <f>"s1_node_"&amp;D142&amp;"_name"</f>
        <v>s1_node_survival_name</v>
      </c>
      <c r="F142" s="10" t="str">
        <f>"s1_node_"&amp;D142&amp;"_desc"</f>
        <v>s1_node_survival_desc</v>
      </c>
      <c r="G142" s="0" t="s">
        <v>140</v>
      </c>
      <c r="H142" s="0">
        <v>4</v>
      </c>
      <c r="I142" s="0" t="s">
        <v>27</v>
      </c>
      <c r="J142" s="0" t="s">
        <v>352</v>
      </c>
      <c r="K142" s="0">
        <v>2760</v>
      </c>
      <c r="L142" s="10">
        <v>3</v>
      </c>
      <c r="M142" s="0">
        <v>78</v>
      </c>
      <c r="N142" s="0">
        <v>2</v>
      </c>
      <c r="O142" s="0" t="s">
        <v>353</v>
      </c>
      <c r="T142" s="0" t="str">
        <f>_xlfn.TEXTJOIN("_",TRUE,C142,"node_eff",D142,M142,N142)</f>
        <v>s1_node_eff_survival_78_2</v>
      </c>
    </row>
    <row r="143" spans="1:20" x14ac:dyDescent="0.45">
      <c r="A143" s="0" t="str">
        <f>_xlfn.TEXTJOIN("_",TRUE,C143,"node",D143,M143,N143)</f>
        <v>s1_node_survival_78_6</v>
      </c>
      <c r="B143" s="0" t="s">
        <v>0</v>
      </c>
      <c r="C143" s="0" t="s">
        <v>26</v>
      </c>
      <c r="D143" s="0" t="s">
        <v>102</v>
      </c>
      <c r="E143" s="0" t="str">
        <f>"s1_node_"&amp;D143&amp;"_name"</f>
        <v>s1_node_survival_name</v>
      </c>
      <c r="F143" s="10" t="str">
        <f>"s1_node_"&amp;D143&amp;"_desc"</f>
        <v>s1_node_survival_desc</v>
      </c>
      <c r="G143" s="0" t="s">
        <v>136</v>
      </c>
      <c r="H143" s="0">
        <v>4</v>
      </c>
      <c r="I143" s="0" t="s">
        <v>27</v>
      </c>
      <c r="J143" s="0" t="s">
        <v>352</v>
      </c>
      <c r="K143" s="0">
        <v>2760</v>
      </c>
      <c r="L143" s="10">
        <v>3</v>
      </c>
      <c r="M143" s="0">
        <v>78</v>
      </c>
      <c r="N143" s="0">
        <v>6</v>
      </c>
      <c r="O143" s="0" t="s">
        <v>354</v>
      </c>
      <c r="T143" s="0" t="str">
        <f>_xlfn.TEXTJOIN("_",TRUE,C143,"node_eff",D143,M143,N143)</f>
        <v>s1_node_eff_survival_78_6</v>
      </c>
    </row>
    <row r="144" spans="1:20" x14ac:dyDescent="0.45">
      <c r="A144" s="0" t="str">
        <f>_xlfn.TEXTJOIN("_",TRUE,C144,"node",D144,M144,N144)</f>
        <v>s1_node_survival_79_2</v>
      </c>
      <c r="B144" s="0" t="s">
        <v>0</v>
      </c>
      <c r="C144" s="0" t="s">
        <v>26</v>
      </c>
      <c r="D144" s="0" t="s">
        <v>102</v>
      </c>
      <c r="E144" s="0" t="str">
        <f>"s1_node_"&amp;D144&amp;"_name"</f>
        <v>s1_node_survival_name</v>
      </c>
      <c r="F144" s="10" t="str">
        <f>"s1_node_"&amp;D144&amp;"_desc"</f>
        <v>s1_node_survival_desc</v>
      </c>
      <c r="G144" s="0" t="s">
        <v>136</v>
      </c>
      <c r="H144" s="0">
        <v>4</v>
      </c>
      <c r="I144" s="0" t="s">
        <v>27</v>
      </c>
      <c r="J144" s="0" t="s">
        <v>355</v>
      </c>
      <c r="K144" s="0">
        <v>2790</v>
      </c>
      <c r="L144" s="10">
        <v>3</v>
      </c>
      <c r="M144" s="0">
        <v>79</v>
      </c>
      <c r="N144" s="0">
        <v>2</v>
      </c>
      <c r="O144" s="0" t="s">
        <v>356</v>
      </c>
      <c r="T144" s="0" t="str">
        <f>_xlfn.TEXTJOIN("_",TRUE,C144,"node_eff",D144,M144,N144)</f>
        <v>s1_node_eff_survival_79_2</v>
      </c>
    </row>
    <row r="145" spans="1:20" x14ac:dyDescent="0.45">
      <c r="A145" s="0" t="str">
        <f>_xlfn.TEXTJOIN("_",TRUE,C145,"node",D145,M145,N145)</f>
        <v>s1_node_survival_79_6</v>
      </c>
      <c r="B145" s="0" t="s">
        <v>0</v>
      </c>
      <c r="C145" s="0" t="s">
        <v>26</v>
      </c>
      <c r="D145" s="0" t="s">
        <v>102</v>
      </c>
      <c r="E145" s="0" t="str">
        <f>"s1_node_"&amp;D145&amp;"_name"</f>
        <v>s1_node_survival_name</v>
      </c>
      <c r="F145" s="10" t="str">
        <f>"s1_node_"&amp;D145&amp;"_desc"</f>
        <v>s1_node_survival_desc</v>
      </c>
      <c r="G145" s="0" t="s">
        <v>136</v>
      </c>
      <c r="H145" s="0">
        <v>4</v>
      </c>
      <c r="I145" s="0" t="s">
        <v>27</v>
      </c>
      <c r="J145" s="0" t="s">
        <v>355</v>
      </c>
      <c r="K145" s="0">
        <v>2790</v>
      </c>
      <c r="L145" s="10">
        <v>3</v>
      </c>
      <c r="M145" s="0">
        <v>79</v>
      </c>
      <c r="N145" s="0">
        <v>6</v>
      </c>
      <c r="O145" s="0" t="s">
        <v>357</v>
      </c>
      <c r="T145" s="0" t="str">
        <f>_xlfn.TEXTJOIN("_",TRUE,C145,"node_eff",D145,M145,N145)</f>
        <v>s1_node_eff_survival_79_6</v>
      </c>
    </row>
    <row r="146" spans="1:20" x14ac:dyDescent="0.45">
      <c r="A146" s="0" t="str">
        <f>_xlfn.TEXTJOIN("_",TRUE,C146,"node",D146,M146,N146)</f>
        <v>s1_node_survival_80_2</v>
      </c>
      <c r="B146" s="0" t="s">
        <v>0</v>
      </c>
      <c r="C146" s="0" t="s">
        <v>26</v>
      </c>
      <c r="D146" s="0" t="s">
        <v>102</v>
      </c>
      <c r="E146" s="0" t="str">
        <f>"s1_node_"&amp;D146&amp;"_name"</f>
        <v>s1_node_survival_name</v>
      </c>
      <c r="F146" s="10" t="str">
        <f>"s1_node_"&amp;D146&amp;"_desc"</f>
        <v>s1_node_survival_desc</v>
      </c>
      <c r="G146" s="0" t="s">
        <v>147</v>
      </c>
      <c r="H146" s="0">
        <v>4</v>
      </c>
      <c r="I146" s="0" t="s">
        <v>27</v>
      </c>
      <c r="J146" s="0" t="s">
        <v>358</v>
      </c>
      <c r="K146" s="0">
        <v>2830</v>
      </c>
      <c r="L146" s="10">
        <v>3</v>
      </c>
      <c r="M146" s="0">
        <v>80</v>
      </c>
      <c r="N146" s="0">
        <v>2</v>
      </c>
      <c r="O146" s="0" t="s">
        <v>359</v>
      </c>
      <c r="T146" s="0" t="str">
        <f>_xlfn.TEXTJOIN("_",TRUE,C146,"node_eff",D146,M146,N146)</f>
        <v>s1_node_eff_survival_80_2</v>
      </c>
    </row>
    <row r="147" spans="1:20" x14ac:dyDescent="0.45">
      <c r="A147" s="0" t="str">
        <f>_xlfn.TEXTJOIN("_",TRUE,C147,"node",D147,M147,N147)</f>
        <v>s1_node_survival_80_6</v>
      </c>
      <c r="B147" s="0" t="s">
        <v>0</v>
      </c>
      <c r="C147" s="0" t="s">
        <v>26</v>
      </c>
      <c r="D147" s="0" t="s">
        <v>102</v>
      </c>
      <c r="E147" s="0" t="str">
        <f>"s1_node_"&amp;D147&amp;"_name"</f>
        <v>s1_node_survival_name</v>
      </c>
      <c r="F147" s="10" t="str">
        <f>"s1_node_"&amp;D147&amp;"_desc"</f>
        <v>s1_node_survival_desc</v>
      </c>
      <c r="G147" s="0" t="s">
        <v>147</v>
      </c>
      <c r="H147" s="0">
        <v>4</v>
      </c>
      <c r="I147" s="0" t="s">
        <v>27</v>
      </c>
      <c r="J147" s="0" t="s">
        <v>358</v>
      </c>
      <c r="K147" s="0">
        <v>2830</v>
      </c>
      <c r="L147" s="10">
        <v>3</v>
      </c>
      <c r="M147" s="0">
        <v>80</v>
      </c>
      <c r="N147" s="0">
        <v>6</v>
      </c>
      <c r="O147" s="0" t="s">
        <v>360</v>
      </c>
      <c r="T147" s="0" t="str">
        <f>_xlfn.TEXTJOIN("_",TRUE,C147,"node_eff",D147,M147,N147)</f>
        <v>s1_node_eff_survival_80_6</v>
      </c>
    </row>
    <row r="148" spans="1:20" x14ac:dyDescent="0.45">
      <c r="A148" s="0" t="str">
        <f>_xlfn.TEXTJOIN("_",TRUE,C148,"node",D148,M148,N148)</f>
        <v>s1_node_survival_81_4</v>
      </c>
      <c r="B148" s="0" t="s">
        <v>0</v>
      </c>
      <c r="C148" s="0" t="s">
        <v>26</v>
      </c>
      <c r="D148" s="0" t="s">
        <v>102</v>
      </c>
      <c r="E148" s="0" t="str">
        <f>"s1_node_"&amp;D148&amp;"_name"</f>
        <v>s1_node_survival_name</v>
      </c>
      <c r="F148" s="10" t="str">
        <f>"s1_node_"&amp;D148&amp;"_desc"</f>
        <v>s1_node_survival_desc</v>
      </c>
      <c r="G148" s="0" t="s">
        <v>136</v>
      </c>
      <c r="H148" s="0">
        <v>5</v>
      </c>
      <c r="I148" s="0" t="s">
        <v>27</v>
      </c>
      <c r="J148" s="0" t="s">
        <v>361</v>
      </c>
      <c r="K148" s="0">
        <v>2860</v>
      </c>
      <c r="L148" s="10">
        <v>3</v>
      </c>
      <c r="M148" s="0">
        <v>81</v>
      </c>
      <c r="N148" s="0">
        <v>4</v>
      </c>
      <c r="O148" s="0" t="s">
        <v>362</v>
      </c>
      <c r="P148" s="0" t="s">
        <v>363</v>
      </c>
      <c r="T148" s="0" t="str">
        <f>_xlfn.TEXTJOIN("_",TRUE,C148,"node_eff",D148,M148,N148)</f>
        <v>s1_node_eff_survival_81_4</v>
      </c>
    </row>
    <row r="149" spans="1:20" x14ac:dyDescent="0.45">
      <c r="A149" s="0" t="str">
        <f>_xlfn.TEXTJOIN("_",TRUE,C149,"node",D149,M149,N149)</f>
        <v>s1_node_survival_82_2</v>
      </c>
      <c r="B149" s="0" t="s">
        <v>0</v>
      </c>
      <c r="C149" s="0" t="s">
        <v>26</v>
      </c>
      <c r="D149" s="0" t="s">
        <v>102</v>
      </c>
      <c r="E149" s="0" t="str">
        <f>"s1_node_"&amp;D149&amp;"_name"</f>
        <v>s1_node_survival_name</v>
      </c>
      <c r="F149" s="10" t="str">
        <f>"s1_node_"&amp;D149&amp;"_desc"</f>
        <v>s1_node_survival_desc</v>
      </c>
      <c r="G149" s="0" t="s">
        <v>136</v>
      </c>
      <c r="H149" s="0">
        <v>5</v>
      </c>
      <c r="I149" s="0" t="s">
        <v>27</v>
      </c>
      <c r="J149" s="0" t="s">
        <v>364</v>
      </c>
      <c r="K149" s="0">
        <v>2900</v>
      </c>
      <c r="L149" s="10">
        <v>3</v>
      </c>
      <c r="M149" s="0">
        <v>82</v>
      </c>
      <c r="N149" s="0">
        <v>2</v>
      </c>
      <c r="O149" s="0" t="s">
        <v>365</v>
      </c>
      <c r="T149" s="0" t="str">
        <f>_xlfn.TEXTJOIN("_",TRUE,C149,"node_eff",D149,M149,N149)</f>
        <v>s1_node_eff_survival_82_2</v>
      </c>
    </row>
    <row r="150" spans="1:20" x14ac:dyDescent="0.45">
      <c r="A150" s="0" t="str">
        <f>_xlfn.TEXTJOIN("_",TRUE,C150,"node",D150,M150,N150)</f>
        <v>s1_node_survival_82_6</v>
      </c>
      <c r="B150" s="0" t="s">
        <v>0</v>
      </c>
      <c r="C150" s="0" t="s">
        <v>26</v>
      </c>
      <c r="D150" s="0" t="s">
        <v>102</v>
      </c>
      <c r="E150" s="0" t="str">
        <f>"s1_node_"&amp;D150&amp;"_name"</f>
        <v>s1_node_survival_name</v>
      </c>
      <c r="F150" s="10" t="str">
        <f>"s1_node_"&amp;D150&amp;"_desc"</f>
        <v>s1_node_survival_desc</v>
      </c>
      <c r="G150" s="0" t="s">
        <v>140</v>
      </c>
      <c r="H150" s="0">
        <v>5</v>
      </c>
      <c r="I150" s="0" t="s">
        <v>27</v>
      </c>
      <c r="J150" s="0" t="s">
        <v>364</v>
      </c>
      <c r="K150" s="0">
        <v>2900</v>
      </c>
      <c r="L150" s="10">
        <v>3</v>
      </c>
      <c r="M150" s="0">
        <v>82</v>
      </c>
      <c r="N150" s="0">
        <v>6</v>
      </c>
      <c r="O150" s="0" t="s">
        <v>365</v>
      </c>
      <c r="T150" s="0" t="str">
        <f>_xlfn.TEXTJOIN("_",TRUE,C150,"node_eff",D150,M150,N150)</f>
        <v>s1_node_eff_survival_82_6</v>
      </c>
    </row>
    <row r="151" spans="1:20" x14ac:dyDescent="0.45">
      <c r="A151" s="0" t="str">
        <f>_xlfn.TEXTJOIN("_",TRUE,C151,"node",D151,M151,N151)</f>
        <v>s1_node_survival_83_2</v>
      </c>
      <c r="B151" s="0" t="s">
        <v>0</v>
      </c>
      <c r="C151" s="0" t="s">
        <v>26</v>
      </c>
      <c r="D151" s="0" t="s">
        <v>102</v>
      </c>
      <c r="E151" s="0" t="str">
        <f>"s1_node_"&amp;D151&amp;"_name"</f>
        <v>s1_node_survival_name</v>
      </c>
      <c r="F151" s="10" t="str">
        <f>"s1_node_"&amp;D151&amp;"_desc"</f>
        <v>s1_node_survival_desc</v>
      </c>
      <c r="G151" s="0" t="s">
        <v>140</v>
      </c>
      <c r="H151" s="0">
        <v>5</v>
      </c>
      <c r="I151" s="0" t="s">
        <v>27</v>
      </c>
      <c r="J151" s="0" t="s">
        <v>366</v>
      </c>
      <c r="K151" s="0">
        <v>2930</v>
      </c>
      <c r="L151" s="10">
        <v>3</v>
      </c>
      <c r="M151" s="0">
        <v>83</v>
      </c>
      <c r="N151" s="0">
        <v>2</v>
      </c>
      <c r="O151" s="0" t="s">
        <v>367</v>
      </c>
      <c r="T151" s="0" t="str">
        <f>_xlfn.TEXTJOIN("_",TRUE,C151,"node_eff",D151,M151,N151)</f>
        <v>s1_node_eff_survival_83_2</v>
      </c>
    </row>
    <row r="152" spans="1:20" x14ac:dyDescent="0.45">
      <c r="A152" s="0" t="str">
        <f>_xlfn.TEXTJOIN("_",TRUE,C152,"node",D152,M152,N152)</f>
        <v>s1_node_survival_83_6</v>
      </c>
      <c r="B152" s="0" t="s">
        <v>0</v>
      </c>
      <c r="C152" s="0" t="s">
        <v>26</v>
      </c>
      <c r="D152" s="0" t="s">
        <v>102</v>
      </c>
      <c r="E152" s="0" t="str">
        <f>"s1_node_"&amp;D152&amp;"_name"</f>
        <v>s1_node_survival_name</v>
      </c>
      <c r="F152" s="10" t="str">
        <f>"s1_node_"&amp;D152&amp;"_desc"</f>
        <v>s1_node_survival_desc</v>
      </c>
      <c r="G152" s="0" t="s">
        <v>136</v>
      </c>
      <c r="H152" s="0">
        <v>5</v>
      </c>
      <c r="I152" s="0" t="s">
        <v>27</v>
      </c>
      <c r="J152" s="0" t="s">
        <v>366</v>
      </c>
      <c r="K152" s="0">
        <v>2930</v>
      </c>
      <c r="L152" s="10">
        <v>3</v>
      </c>
      <c r="M152" s="0">
        <v>83</v>
      </c>
      <c r="N152" s="0">
        <v>6</v>
      </c>
      <c r="O152" s="0" t="s">
        <v>368</v>
      </c>
      <c r="T152" s="0" t="str">
        <f>_xlfn.TEXTJOIN("_",TRUE,C152,"node_eff",D152,M152,N152)</f>
        <v>s1_node_eff_survival_83_6</v>
      </c>
    </row>
    <row r="153" spans="1:20" x14ac:dyDescent="0.45">
      <c r="A153" s="0" t="str">
        <f>_xlfn.TEXTJOIN("_",TRUE,C153,"node",D153,M153,N153)</f>
        <v>s1_node_survival_84_2</v>
      </c>
      <c r="B153" s="0" t="s">
        <v>0</v>
      </c>
      <c r="C153" s="0" t="s">
        <v>26</v>
      </c>
      <c r="D153" s="0" t="s">
        <v>102</v>
      </c>
      <c r="E153" s="0" t="str">
        <f>"s1_node_"&amp;D153&amp;"_name"</f>
        <v>s1_node_survival_name</v>
      </c>
      <c r="F153" s="10" t="str">
        <f>"s1_node_"&amp;D153&amp;"_desc"</f>
        <v>s1_node_survival_desc</v>
      </c>
      <c r="G153" s="0" t="s">
        <v>136</v>
      </c>
      <c r="H153" s="0">
        <v>5</v>
      </c>
      <c r="I153" s="0" t="s">
        <v>27</v>
      </c>
      <c r="J153" s="0" t="s">
        <v>369</v>
      </c>
      <c r="K153" s="0">
        <v>2960</v>
      </c>
      <c r="L153" s="10">
        <v>3</v>
      </c>
      <c r="M153" s="0">
        <v>84</v>
      </c>
      <c r="N153" s="0">
        <v>2</v>
      </c>
      <c r="O153" s="0" t="s">
        <v>370</v>
      </c>
      <c r="T153" s="0" t="str">
        <f>_xlfn.TEXTJOIN("_",TRUE,C153,"node_eff",D153,M153,N153)</f>
        <v>s1_node_eff_survival_84_2</v>
      </c>
    </row>
    <row r="154" spans="1:20" x14ac:dyDescent="0.45">
      <c r="A154" s="0" t="str">
        <f>_xlfn.TEXTJOIN("_",TRUE,C154,"node",D154,M154,N154)</f>
        <v>s1_node_survival_84_6</v>
      </c>
      <c r="B154" s="0" t="s">
        <v>0</v>
      </c>
      <c r="C154" s="0" t="s">
        <v>26</v>
      </c>
      <c r="D154" s="0" t="s">
        <v>102</v>
      </c>
      <c r="E154" s="0" t="str">
        <f>"s1_node_"&amp;D154&amp;"_name"</f>
        <v>s1_node_survival_name</v>
      </c>
      <c r="F154" s="10" t="str">
        <f>"s1_node_"&amp;D154&amp;"_desc"</f>
        <v>s1_node_survival_desc</v>
      </c>
      <c r="G154" s="0" t="s">
        <v>136</v>
      </c>
      <c r="H154" s="0">
        <v>5</v>
      </c>
      <c r="I154" s="0" t="s">
        <v>27</v>
      </c>
      <c r="J154" s="0" t="s">
        <v>369</v>
      </c>
      <c r="K154" s="0">
        <v>2960</v>
      </c>
      <c r="L154" s="10">
        <v>3</v>
      </c>
      <c r="M154" s="0">
        <v>84</v>
      </c>
      <c r="N154" s="0">
        <v>6</v>
      </c>
      <c r="O154" s="0" t="s">
        <v>371</v>
      </c>
      <c r="T154" s="0" t="str">
        <f>_xlfn.TEXTJOIN("_",TRUE,C154,"node_eff",D154,M154,N154)</f>
        <v>s1_node_eff_survival_84_6</v>
      </c>
    </row>
    <row r="155" spans="1:20" x14ac:dyDescent="0.45">
      <c r="A155" s="0" t="str">
        <f>_xlfn.TEXTJOIN("_",TRUE,C155,"node",D155,M155,N155)</f>
        <v>s1_node_survival_85_2</v>
      </c>
      <c r="B155" s="0" t="s">
        <v>0</v>
      </c>
      <c r="C155" s="0" t="s">
        <v>26</v>
      </c>
      <c r="D155" s="0" t="s">
        <v>102</v>
      </c>
      <c r="E155" s="0" t="str">
        <f>"s1_node_"&amp;D155&amp;"_name"</f>
        <v>s1_node_survival_name</v>
      </c>
      <c r="F155" s="10" t="str">
        <f>"s1_node_"&amp;D155&amp;"_desc"</f>
        <v>s1_node_survival_desc</v>
      </c>
      <c r="G155" s="0" t="s">
        <v>147</v>
      </c>
      <c r="H155" s="0">
        <v>5</v>
      </c>
      <c r="I155" s="0" t="s">
        <v>27</v>
      </c>
      <c r="J155" s="0" t="s">
        <v>372</v>
      </c>
      <c r="K155" s="0">
        <v>3000</v>
      </c>
      <c r="L155" s="10">
        <v>3</v>
      </c>
      <c r="M155" s="0">
        <v>85</v>
      </c>
      <c r="N155" s="0">
        <v>2</v>
      </c>
      <c r="O155" s="0" t="s">
        <v>373</v>
      </c>
      <c r="T155" s="0" t="str">
        <f>_xlfn.TEXTJOIN("_",TRUE,C155,"node_eff",D155,M155,N155)</f>
        <v>s1_node_eff_survival_85_2</v>
      </c>
    </row>
    <row r="156" spans="1:20" x14ac:dyDescent="0.45">
      <c r="A156" s="0" t="str">
        <f>_xlfn.TEXTJOIN("_",TRUE,C156,"node",D156,M156,N156)</f>
        <v>s1_node_survival_85_6</v>
      </c>
      <c r="B156" s="0" t="s">
        <v>0</v>
      </c>
      <c r="C156" s="0" t="s">
        <v>26</v>
      </c>
      <c r="D156" s="0" t="s">
        <v>102</v>
      </c>
      <c r="E156" s="0" t="str">
        <f>"s1_node_"&amp;D156&amp;"_name"</f>
        <v>s1_node_survival_name</v>
      </c>
      <c r="F156" s="10" t="str">
        <f>"s1_node_"&amp;D156&amp;"_desc"</f>
        <v>s1_node_survival_desc</v>
      </c>
      <c r="G156" s="0" t="s">
        <v>147</v>
      </c>
      <c r="H156" s="0">
        <v>5</v>
      </c>
      <c r="I156" s="0" t="s">
        <v>27</v>
      </c>
      <c r="J156" s="0" t="s">
        <v>372</v>
      </c>
      <c r="K156" s="0">
        <v>3000</v>
      </c>
      <c r="L156" s="10">
        <v>3</v>
      </c>
      <c r="M156" s="0">
        <v>85</v>
      </c>
      <c r="N156" s="0">
        <v>6</v>
      </c>
      <c r="O156" s="0" t="s">
        <v>374</v>
      </c>
      <c r="T156" s="0" t="str">
        <f>_xlfn.TEXTJOIN("_",TRUE,C156,"node_eff",D156,M156,N156)</f>
        <v>s1_node_eff_survival_85_6</v>
      </c>
    </row>
    <row r="157" spans="1:20" x14ac:dyDescent="0.45">
      <c r="A157" s="0" t="str">
        <f>_xlfn.TEXTJOIN("_",TRUE,C157,"node",D157,M157,N157)</f>
        <v>s1_node_survival_86_4</v>
      </c>
      <c r="B157" s="0" t="s">
        <v>0</v>
      </c>
      <c r="C157" s="0" t="s">
        <v>26</v>
      </c>
      <c r="D157" s="0" t="s">
        <v>102</v>
      </c>
      <c r="E157" s="0" t="str">
        <f>"s1_node_"&amp;D157&amp;"_name"</f>
        <v>s1_node_survival_name</v>
      </c>
      <c r="F157" s="10" t="str">
        <f>"s1_node_"&amp;D157&amp;"_desc"</f>
        <v>s1_node_survival_desc</v>
      </c>
      <c r="G157" s="0" t="s">
        <v>136</v>
      </c>
      <c r="H157" s="0">
        <v>5</v>
      </c>
      <c r="I157" s="0" t="s">
        <v>27</v>
      </c>
      <c r="J157" s="0" t="s">
        <v>375</v>
      </c>
      <c r="K157" s="0">
        <v>3030</v>
      </c>
      <c r="L157" s="10">
        <v>3</v>
      </c>
      <c r="M157" s="0">
        <v>86</v>
      </c>
      <c r="N157" s="0">
        <v>4</v>
      </c>
      <c r="O157" s="0" t="s">
        <v>376</v>
      </c>
      <c r="P157" s="0" t="s">
        <v>377</v>
      </c>
      <c r="T157" s="0" t="str">
        <f>_xlfn.TEXTJOIN("_",TRUE,C157,"node_eff",D157,M157,N157)</f>
        <v>s1_node_eff_survival_86_4</v>
      </c>
    </row>
    <row r="158" spans="1:20" x14ac:dyDescent="0.45">
      <c r="A158" s="0" t="str">
        <f>_xlfn.TEXTJOIN("_",TRUE,C158,"node",D158,M158,N158)</f>
        <v>s1_node_survival_87_2</v>
      </c>
      <c r="B158" s="0" t="s">
        <v>0</v>
      </c>
      <c r="C158" s="0" t="s">
        <v>26</v>
      </c>
      <c r="D158" s="0" t="s">
        <v>102</v>
      </c>
      <c r="E158" s="0" t="str">
        <f>"s1_node_"&amp;D158&amp;"_name"</f>
        <v>s1_node_survival_name</v>
      </c>
      <c r="F158" s="10" t="str">
        <f>"s1_node_"&amp;D158&amp;"_desc"</f>
        <v>s1_node_survival_desc</v>
      </c>
      <c r="G158" s="0" t="s">
        <v>136</v>
      </c>
      <c r="H158" s="0">
        <v>5</v>
      </c>
      <c r="I158" s="0" t="s">
        <v>27</v>
      </c>
      <c r="J158" s="0" t="s">
        <v>378</v>
      </c>
      <c r="K158" s="0">
        <v>3070</v>
      </c>
      <c r="L158" s="10">
        <v>3</v>
      </c>
      <c r="M158" s="0">
        <v>87</v>
      </c>
      <c r="N158" s="0">
        <v>2</v>
      </c>
      <c r="O158" s="0" t="s">
        <v>379</v>
      </c>
      <c r="T158" s="0" t="str">
        <f>_xlfn.TEXTJOIN("_",TRUE,C158,"node_eff",D158,M158,N158)</f>
        <v>s1_node_eff_survival_87_2</v>
      </c>
    </row>
    <row r="159" spans="1:20" x14ac:dyDescent="0.45">
      <c r="A159" s="0" t="str">
        <f>_xlfn.TEXTJOIN("_",TRUE,C159,"node",D159,M159,N159)</f>
        <v>s1_node_survival_87_6</v>
      </c>
      <c r="B159" s="0" t="s">
        <v>0</v>
      </c>
      <c r="C159" s="0" t="s">
        <v>26</v>
      </c>
      <c r="D159" s="0" t="s">
        <v>102</v>
      </c>
      <c r="E159" s="0" t="str">
        <f>"s1_node_"&amp;D159&amp;"_name"</f>
        <v>s1_node_survival_name</v>
      </c>
      <c r="F159" s="10" t="str">
        <f>"s1_node_"&amp;D159&amp;"_desc"</f>
        <v>s1_node_survival_desc</v>
      </c>
      <c r="G159" s="0" t="s">
        <v>140</v>
      </c>
      <c r="H159" s="0">
        <v>5</v>
      </c>
      <c r="I159" s="0" t="s">
        <v>27</v>
      </c>
      <c r="J159" s="0" t="s">
        <v>378</v>
      </c>
      <c r="K159" s="0">
        <v>3070</v>
      </c>
      <c r="L159" s="10">
        <v>3</v>
      </c>
      <c r="M159" s="0">
        <v>87</v>
      </c>
      <c r="N159" s="0">
        <v>6</v>
      </c>
      <c r="O159" s="0" t="s">
        <v>379</v>
      </c>
      <c r="T159" s="0" t="str">
        <f>_xlfn.TEXTJOIN("_",TRUE,C159,"node_eff",D159,M159,N159)</f>
        <v>s1_node_eff_survival_87_6</v>
      </c>
    </row>
    <row r="160" spans="1:20" x14ac:dyDescent="0.45">
      <c r="A160" s="0" t="str">
        <f>_xlfn.TEXTJOIN("_",TRUE,C160,"node",D160,M160,N160)</f>
        <v>s1_node_survival_88_2</v>
      </c>
      <c r="B160" s="0" t="s">
        <v>0</v>
      </c>
      <c r="C160" s="0" t="s">
        <v>26</v>
      </c>
      <c r="D160" s="0" t="s">
        <v>102</v>
      </c>
      <c r="E160" s="0" t="str">
        <f>"s1_node_"&amp;D160&amp;"_name"</f>
        <v>s1_node_survival_name</v>
      </c>
      <c r="F160" s="10" t="str">
        <f>"s1_node_"&amp;D160&amp;"_desc"</f>
        <v>s1_node_survival_desc</v>
      </c>
      <c r="G160" s="0" t="s">
        <v>140</v>
      </c>
      <c r="H160" s="0">
        <v>5</v>
      </c>
      <c r="I160" s="0" t="s">
        <v>27</v>
      </c>
      <c r="J160" s="0" t="s">
        <v>380</v>
      </c>
      <c r="K160" s="0">
        <v>3100</v>
      </c>
      <c r="L160" s="10">
        <v>3</v>
      </c>
      <c r="M160" s="0">
        <v>88</v>
      </c>
      <c r="N160" s="0">
        <v>2</v>
      </c>
      <c r="O160" s="0" t="s">
        <v>381</v>
      </c>
      <c r="T160" s="0" t="str">
        <f>_xlfn.TEXTJOIN("_",TRUE,C160,"node_eff",D160,M160,N160)</f>
        <v>s1_node_eff_survival_88_2</v>
      </c>
    </row>
    <row r="161" spans="1:20" x14ac:dyDescent="0.45">
      <c r="A161" s="0" t="str">
        <f>_xlfn.TEXTJOIN("_",TRUE,C161,"node",D161,M161,N161)</f>
        <v>s1_node_survival_88_6</v>
      </c>
      <c r="B161" s="0" t="s">
        <v>0</v>
      </c>
      <c r="C161" s="0" t="s">
        <v>26</v>
      </c>
      <c r="D161" s="0" t="s">
        <v>102</v>
      </c>
      <c r="E161" s="0" t="str">
        <f>"s1_node_"&amp;D161&amp;"_name"</f>
        <v>s1_node_survival_name</v>
      </c>
      <c r="F161" s="10" t="str">
        <f>"s1_node_"&amp;D161&amp;"_desc"</f>
        <v>s1_node_survival_desc</v>
      </c>
      <c r="G161" s="0" t="s">
        <v>136</v>
      </c>
      <c r="H161" s="0">
        <v>5</v>
      </c>
      <c r="I161" s="0" t="s">
        <v>27</v>
      </c>
      <c r="J161" s="0" t="s">
        <v>380</v>
      </c>
      <c r="K161" s="0">
        <v>3100</v>
      </c>
      <c r="L161" s="10">
        <v>3</v>
      </c>
      <c r="M161" s="0">
        <v>88</v>
      </c>
      <c r="N161" s="0">
        <v>6</v>
      </c>
      <c r="O161" s="0" t="s">
        <v>382</v>
      </c>
      <c r="T161" s="0" t="str">
        <f>_xlfn.TEXTJOIN("_",TRUE,C161,"node_eff",D161,M161,N161)</f>
        <v>s1_node_eff_survival_88_6</v>
      </c>
    </row>
    <row r="162" spans="1:20" x14ac:dyDescent="0.45">
      <c r="A162" s="0" t="str">
        <f>_xlfn.TEXTJOIN("_",TRUE,C162,"node",D162,M162,N162)</f>
        <v>s1_node_survival_89_2</v>
      </c>
      <c r="B162" s="0" t="s">
        <v>0</v>
      </c>
      <c r="C162" s="0" t="s">
        <v>26</v>
      </c>
      <c r="D162" s="0" t="s">
        <v>102</v>
      </c>
      <c r="E162" s="0" t="str">
        <f>"s1_node_"&amp;D162&amp;"_name"</f>
        <v>s1_node_survival_name</v>
      </c>
      <c r="F162" s="10" t="str">
        <f>"s1_node_"&amp;D162&amp;"_desc"</f>
        <v>s1_node_survival_desc</v>
      </c>
      <c r="G162" s="0" t="s">
        <v>136</v>
      </c>
      <c r="H162" s="0">
        <v>5</v>
      </c>
      <c r="I162" s="0" t="s">
        <v>27</v>
      </c>
      <c r="J162" s="0" t="s">
        <v>383</v>
      </c>
      <c r="K162" s="0">
        <v>3140</v>
      </c>
      <c r="L162" s="10">
        <v>3</v>
      </c>
      <c r="M162" s="0">
        <v>89</v>
      </c>
      <c r="N162" s="0">
        <v>2</v>
      </c>
      <c r="O162" s="0" t="s">
        <v>384</v>
      </c>
      <c r="T162" s="0" t="str">
        <f>_xlfn.TEXTJOIN("_",TRUE,C162,"node_eff",D162,M162,N162)</f>
        <v>s1_node_eff_survival_89_2</v>
      </c>
    </row>
    <row r="163" spans="1:20" x14ac:dyDescent="0.45">
      <c r="A163" s="0" t="str">
        <f>_xlfn.TEXTJOIN("_",TRUE,C163,"node",D163,M163,N163)</f>
        <v>s1_node_survival_89_6</v>
      </c>
      <c r="B163" s="0" t="s">
        <v>0</v>
      </c>
      <c r="C163" s="0" t="s">
        <v>26</v>
      </c>
      <c r="D163" s="0" t="s">
        <v>102</v>
      </c>
      <c r="E163" s="0" t="str">
        <f>"s1_node_"&amp;D163&amp;"_name"</f>
        <v>s1_node_survival_name</v>
      </c>
      <c r="F163" s="10" t="str">
        <f>"s1_node_"&amp;D163&amp;"_desc"</f>
        <v>s1_node_survival_desc</v>
      </c>
      <c r="G163" s="0" t="s">
        <v>136</v>
      </c>
      <c r="H163" s="0">
        <v>5</v>
      </c>
      <c r="I163" s="0" t="s">
        <v>27</v>
      </c>
      <c r="J163" s="0" t="s">
        <v>383</v>
      </c>
      <c r="K163" s="0">
        <v>3140</v>
      </c>
      <c r="L163" s="10">
        <v>3</v>
      </c>
      <c r="M163" s="0">
        <v>89</v>
      </c>
      <c r="N163" s="0">
        <v>6</v>
      </c>
      <c r="O163" s="0" t="s">
        <v>385</v>
      </c>
      <c r="T163" s="0" t="str">
        <f>_xlfn.TEXTJOIN("_",TRUE,C163,"node_eff",D163,M163,N163)</f>
        <v>s1_node_eff_survival_89_6</v>
      </c>
    </row>
    <row r="164" spans="1:20" x14ac:dyDescent="0.45">
      <c r="A164" s="0" t="str">
        <f>_xlfn.TEXTJOIN("_",TRUE,C164,"node",D164,M164,N164)</f>
        <v>s1_node_survival_90_2</v>
      </c>
      <c r="B164" s="0" t="s">
        <v>0</v>
      </c>
      <c r="C164" s="0" t="s">
        <v>26</v>
      </c>
      <c r="D164" s="0" t="s">
        <v>102</v>
      </c>
      <c r="E164" s="0" t="str">
        <f>"s1_node_"&amp;D164&amp;"_name"</f>
        <v>s1_node_survival_name</v>
      </c>
      <c r="F164" s="10" t="str">
        <f>"s1_node_"&amp;D164&amp;"_desc"</f>
        <v>s1_node_survival_desc</v>
      </c>
      <c r="G164" s="0" t="s">
        <v>147</v>
      </c>
      <c r="H164" s="0">
        <v>5</v>
      </c>
      <c r="I164" s="0" t="s">
        <v>27</v>
      </c>
      <c r="J164" s="0" t="s">
        <v>386</v>
      </c>
      <c r="K164" s="0">
        <v>3170</v>
      </c>
      <c r="L164" s="10">
        <v>3</v>
      </c>
      <c r="M164" s="0">
        <v>90</v>
      </c>
      <c r="N164" s="0">
        <v>2</v>
      </c>
      <c r="O164" s="0" t="s">
        <v>387</v>
      </c>
      <c r="T164" s="0" t="str">
        <f>_xlfn.TEXTJOIN("_",TRUE,C164,"node_eff",D164,M164,N164)</f>
        <v>s1_node_eff_survival_90_2</v>
      </c>
    </row>
    <row r="165" spans="1:20" x14ac:dyDescent="0.45">
      <c r="A165" s="0" t="str">
        <f>_xlfn.TEXTJOIN("_",TRUE,C165,"node",D165,M165,N165)</f>
        <v>s1_node_survival_90_6</v>
      </c>
      <c r="B165" s="0" t="s">
        <v>0</v>
      </c>
      <c r="C165" s="0" t="s">
        <v>26</v>
      </c>
      <c r="D165" s="0" t="s">
        <v>102</v>
      </c>
      <c r="E165" s="0" t="str">
        <f>"s1_node_"&amp;D165&amp;"_name"</f>
        <v>s1_node_survival_name</v>
      </c>
      <c r="F165" s="10" t="str">
        <f>"s1_node_"&amp;D165&amp;"_desc"</f>
        <v>s1_node_survival_desc</v>
      </c>
      <c r="G165" s="0" t="s">
        <v>147</v>
      </c>
      <c r="H165" s="0">
        <v>5</v>
      </c>
      <c r="I165" s="0" t="s">
        <v>27</v>
      </c>
      <c r="J165" s="0" t="s">
        <v>386</v>
      </c>
      <c r="K165" s="0">
        <v>3170</v>
      </c>
      <c r="L165" s="10">
        <v>3</v>
      </c>
      <c r="M165" s="0">
        <v>90</v>
      </c>
      <c r="N165" s="0">
        <v>6</v>
      </c>
      <c r="O165" s="0" t="s">
        <v>388</v>
      </c>
      <c r="T165" s="0" t="str">
        <f>_xlfn.TEXTJOIN("_",TRUE,C165,"node_eff",D165,M165,N165)</f>
        <v>s1_node_eff_survival_90_6</v>
      </c>
    </row>
    <row r="166" spans="1:20" x14ac:dyDescent="0.45">
      <c r="A166" s="0" t="str">
        <f>_xlfn.TEXTJOIN("_",TRUE,C166,"node",D166,M166,N166)</f>
        <v>s1_node_survival_91_4</v>
      </c>
      <c r="B166" s="0" t="s">
        <v>0</v>
      </c>
      <c r="C166" s="0" t="s">
        <v>26</v>
      </c>
      <c r="D166" s="0" t="s">
        <v>102</v>
      </c>
      <c r="E166" s="0" t="str">
        <f>"s1_node_"&amp;D166&amp;"_name"</f>
        <v>s1_node_survival_name</v>
      </c>
      <c r="F166" s="10" t="str">
        <f>"s1_node_"&amp;D166&amp;"_desc"</f>
        <v>s1_node_survival_desc</v>
      </c>
      <c r="G166" s="0" t="s">
        <v>136</v>
      </c>
      <c r="H166" s="0">
        <v>5</v>
      </c>
      <c r="I166" s="0" t="s">
        <v>27</v>
      </c>
      <c r="J166" s="0" t="s">
        <v>389</v>
      </c>
      <c r="K166" s="0">
        <v>3210</v>
      </c>
      <c r="L166" s="10">
        <v>3</v>
      </c>
      <c r="M166" s="0">
        <v>91</v>
      </c>
      <c r="N166" s="0">
        <v>4</v>
      </c>
      <c r="O166" s="0" t="s">
        <v>390</v>
      </c>
      <c r="P166" s="0" t="s">
        <v>391</v>
      </c>
      <c r="T166" s="0" t="str">
        <f>_xlfn.TEXTJOIN("_",TRUE,C166,"node_eff",D166,M166,N166)</f>
        <v>s1_node_eff_survival_91_4</v>
      </c>
    </row>
    <row r="167" spans="1:20" x14ac:dyDescent="0.45">
      <c r="A167" s="0" t="str">
        <f>_xlfn.TEXTJOIN("_",TRUE,C167,"node",D167,M167,N167)</f>
        <v>s1_node_survival_92_2</v>
      </c>
      <c r="B167" s="0" t="s">
        <v>0</v>
      </c>
      <c r="C167" s="0" t="s">
        <v>26</v>
      </c>
      <c r="D167" s="0" t="s">
        <v>102</v>
      </c>
      <c r="E167" s="0" t="str">
        <f>"s1_node_"&amp;D167&amp;"_name"</f>
        <v>s1_node_survival_name</v>
      </c>
      <c r="F167" s="10" t="str">
        <f>"s1_node_"&amp;D167&amp;"_desc"</f>
        <v>s1_node_survival_desc</v>
      </c>
      <c r="G167" s="0" t="s">
        <v>136</v>
      </c>
      <c r="H167" s="0">
        <v>5</v>
      </c>
      <c r="I167" s="0" t="s">
        <v>27</v>
      </c>
      <c r="J167" s="0" t="s">
        <v>392</v>
      </c>
      <c r="K167" s="0">
        <v>3240</v>
      </c>
      <c r="L167" s="10">
        <v>3</v>
      </c>
      <c r="M167" s="0">
        <v>92</v>
      </c>
      <c r="N167" s="0">
        <v>2</v>
      </c>
      <c r="O167" s="0" t="s">
        <v>393</v>
      </c>
      <c r="T167" s="0" t="str">
        <f>_xlfn.TEXTJOIN("_",TRUE,C167,"node_eff",D167,M167,N167)</f>
        <v>s1_node_eff_survival_92_2</v>
      </c>
    </row>
    <row r="168" spans="1:20" x14ac:dyDescent="0.45">
      <c r="A168" s="0" t="str">
        <f>_xlfn.TEXTJOIN("_",TRUE,C168,"node",D168,M168,N168)</f>
        <v>s1_node_survival_92_6</v>
      </c>
      <c r="B168" s="0" t="s">
        <v>0</v>
      </c>
      <c r="C168" s="0" t="s">
        <v>26</v>
      </c>
      <c r="D168" s="0" t="s">
        <v>102</v>
      </c>
      <c r="E168" s="0" t="str">
        <f>"s1_node_"&amp;D168&amp;"_name"</f>
        <v>s1_node_survival_name</v>
      </c>
      <c r="F168" s="10" t="str">
        <f>"s1_node_"&amp;D168&amp;"_desc"</f>
        <v>s1_node_survival_desc</v>
      </c>
      <c r="G168" s="0" t="s">
        <v>140</v>
      </c>
      <c r="H168" s="0">
        <v>5</v>
      </c>
      <c r="I168" s="0" t="s">
        <v>27</v>
      </c>
      <c r="J168" s="0" t="s">
        <v>392</v>
      </c>
      <c r="K168" s="0">
        <v>3240</v>
      </c>
      <c r="L168" s="10">
        <v>3</v>
      </c>
      <c r="M168" s="0">
        <v>92</v>
      </c>
      <c r="N168" s="0">
        <v>6</v>
      </c>
      <c r="O168" s="0" t="s">
        <v>393</v>
      </c>
      <c r="T168" s="0" t="str">
        <f>_xlfn.TEXTJOIN("_",TRUE,C168,"node_eff",D168,M168,N168)</f>
        <v>s1_node_eff_survival_92_6</v>
      </c>
    </row>
    <row r="169" spans="1:20" x14ac:dyDescent="0.45">
      <c r="A169" s="0" t="str">
        <f>_xlfn.TEXTJOIN("_",TRUE,C169,"node",D169,M169,N169)</f>
        <v>s1_node_survival_93_2</v>
      </c>
      <c r="B169" s="0" t="s">
        <v>0</v>
      </c>
      <c r="C169" s="0" t="s">
        <v>26</v>
      </c>
      <c r="D169" s="0" t="s">
        <v>102</v>
      </c>
      <c r="E169" s="0" t="str">
        <f>"s1_node_"&amp;D169&amp;"_name"</f>
        <v>s1_node_survival_name</v>
      </c>
      <c r="F169" s="10" t="str">
        <f>"s1_node_"&amp;D169&amp;"_desc"</f>
        <v>s1_node_survival_desc</v>
      </c>
      <c r="G169" s="0" t="s">
        <v>140</v>
      </c>
      <c r="H169" s="0">
        <v>5</v>
      </c>
      <c r="I169" s="0" t="s">
        <v>27</v>
      </c>
      <c r="J169" s="0" t="s">
        <v>394</v>
      </c>
      <c r="K169" s="0">
        <v>3280</v>
      </c>
      <c r="L169" s="10">
        <v>3</v>
      </c>
      <c r="M169" s="0">
        <v>93</v>
      </c>
      <c r="N169" s="0">
        <v>2</v>
      </c>
      <c r="O169" s="0" t="s">
        <v>395</v>
      </c>
      <c r="T169" s="0" t="str">
        <f>_xlfn.TEXTJOIN("_",TRUE,C169,"node_eff",D169,M169,N169)</f>
        <v>s1_node_eff_survival_93_2</v>
      </c>
    </row>
    <row r="170" spans="1:20" x14ac:dyDescent="0.45">
      <c r="A170" s="0" t="str">
        <f>_xlfn.TEXTJOIN("_",TRUE,C170,"node",D170,M170,N170)</f>
        <v>s1_node_survival_93_6</v>
      </c>
      <c r="B170" s="0" t="s">
        <v>0</v>
      </c>
      <c r="C170" s="0" t="s">
        <v>26</v>
      </c>
      <c r="D170" s="0" t="s">
        <v>102</v>
      </c>
      <c r="E170" s="0" t="str">
        <f>"s1_node_"&amp;D170&amp;"_name"</f>
        <v>s1_node_survival_name</v>
      </c>
      <c r="F170" s="10" t="str">
        <f>"s1_node_"&amp;D170&amp;"_desc"</f>
        <v>s1_node_survival_desc</v>
      </c>
      <c r="G170" s="0" t="s">
        <v>136</v>
      </c>
      <c r="H170" s="0">
        <v>5</v>
      </c>
      <c r="I170" s="0" t="s">
        <v>27</v>
      </c>
      <c r="J170" s="0" t="s">
        <v>394</v>
      </c>
      <c r="K170" s="0">
        <v>3280</v>
      </c>
      <c r="L170" s="10">
        <v>3</v>
      </c>
      <c r="M170" s="0">
        <v>93</v>
      </c>
      <c r="N170" s="0">
        <v>6</v>
      </c>
      <c r="O170" s="0" t="s">
        <v>396</v>
      </c>
      <c r="T170" s="0" t="str">
        <f>_xlfn.TEXTJOIN("_",TRUE,C170,"node_eff",D170,M170,N170)</f>
        <v>s1_node_eff_survival_93_6</v>
      </c>
    </row>
    <row r="171" spans="1:20" x14ac:dyDescent="0.45">
      <c r="A171" s="0" t="str">
        <f>_xlfn.TEXTJOIN("_",TRUE,C171,"node",D171,M171,N171)</f>
        <v>s1_node_survival_94_2</v>
      </c>
      <c r="B171" s="0" t="s">
        <v>0</v>
      </c>
      <c r="C171" s="0" t="s">
        <v>26</v>
      </c>
      <c r="D171" s="0" t="s">
        <v>102</v>
      </c>
      <c r="E171" s="0" t="str">
        <f>"s1_node_"&amp;D171&amp;"_name"</f>
        <v>s1_node_survival_name</v>
      </c>
      <c r="F171" s="10" t="str">
        <f>"s1_node_"&amp;D171&amp;"_desc"</f>
        <v>s1_node_survival_desc</v>
      </c>
      <c r="G171" s="0" t="s">
        <v>136</v>
      </c>
      <c r="H171" s="0">
        <v>5</v>
      </c>
      <c r="I171" s="0" t="s">
        <v>27</v>
      </c>
      <c r="J171" s="0" t="s">
        <v>397</v>
      </c>
      <c r="K171" s="0">
        <v>3310</v>
      </c>
      <c r="L171" s="10">
        <v>3</v>
      </c>
      <c r="M171" s="0">
        <v>94</v>
      </c>
      <c r="N171" s="0">
        <v>2</v>
      </c>
      <c r="O171" s="0" t="s">
        <v>398</v>
      </c>
      <c r="T171" s="0" t="str">
        <f>_xlfn.TEXTJOIN("_",TRUE,C171,"node_eff",D171,M171,N171)</f>
        <v>s1_node_eff_survival_94_2</v>
      </c>
    </row>
    <row r="172" spans="1:20" x14ac:dyDescent="0.45">
      <c r="A172" s="0" t="str">
        <f>_xlfn.TEXTJOIN("_",TRUE,C172,"node",D172,M172,N172)</f>
        <v>s1_node_survival_94_6</v>
      </c>
      <c r="B172" s="0" t="s">
        <v>0</v>
      </c>
      <c r="C172" s="0" t="s">
        <v>26</v>
      </c>
      <c r="D172" s="0" t="s">
        <v>102</v>
      </c>
      <c r="E172" s="0" t="str">
        <f>"s1_node_"&amp;D172&amp;"_name"</f>
        <v>s1_node_survival_name</v>
      </c>
      <c r="F172" s="10" t="str">
        <f>"s1_node_"&amp;D172&amp;"_desc"</f>
        <v>s1_node_survival_desc</v>
      </c>
      <c r="G172" s="0" t="s">
        <v>136</v>
      </c>
      <c r="H172" s="0">
        <v>5</v>
      </c>
      <c r="I172" s="0" t="s">
        <v>27</v>
      </c>
      <c r="J172" s="0" t="s">
        <v>397</v>
      </c>
      <c r="K172" s="0">
        <v>3310</v>
      </c>
      <c r="L172" s="10">
        <v>3</v>
      </c>
      <c r="M172" s="0">
        <v>94</v>
      </c>
      <c r="N172" s="0">
        <v>6</v>
      </c>
      <c r="O172" s="0" t="s">
        <v>399</v>
      </c>
      <c r="T172" s="0" t="str">
        <f>_xlfn.TEXTJOIN("_",TRUE,C172,"node_eff",D172,M172,N172)</f>
        <v>s1_node_eff_survival_94_6</v>
      </c>
    </row>
    <row r="173" spans="1:20" x14ac:dyDescent="0.45">
      <c r="A173" s="0" t="str">
        <f>_xlfn.TEXTJOIN("_",TRUE,C173,"node",D173,M173,N173)</f>
        <v>s1_node_survival_95_2</v>
      </c>
      <c r="B173" s="0" t="s">
        <v>0</v>
      </c>
      <c r="C173" s="0" t="s">
        <v>26</v>
      </c>
      <c r="D173" s="0" t="s">
        <v>102</v>
      </c>
      <c r="E173" s="0" t="str">
        <f>"s1_node_"&amp;D173&amp;"_name"</f>
        <v>s1_node_survival_name</v>
      </c>
      <c r="F173" s="10" t="str">
        <f>"s1_node_"&amp;D173&amp;"_desc"</f>
        <v>s1_node_survival_desc</v>
      </c>
      <c r="G173" s="0" t="s">
        <v>147</v>
      </c>
      <c r="H173" s="0">
        <v>5</v>
      </c>
      <c r="I173" s="0" t="s">
        <v>27</v>
      </c>
      <c r="J173" s="0" t="s">
        <v>400</v>
      </c>
      <c r="K173" s="0">
        <v>3350</v>
      </c>
      <c r="L173" s="10">
        <v>3</v>
      </c>
      <c r="M173" s="0">
        <v>95</v>
      </c>
      <c r="N173" s="0">
        <v>2</v>
      </c>
      <c r="O173" s="0" t="s">
        <v>401</v>
      </c>
      <c r="T173" s="0" t="str">
        <f>_xlfn.TEXTJOIN("_",TRUE,C173,"node_eff",D173,M173,N173)</f>
        <v>s1_node_eff_survival_95_2</v>
      </c>
    </row>
    <row r="174" spans="1:20" x14ac:dyDescent="0.45">
      <c r="A174" s="0" t="str">
        <f>_xlfn.TEXTJOIN("_",TRUE,C174,"node",D174,M174,N174)</f>
        <v>s1_node_survival_95_6</v>
      </c>
      <c r="B174" s="0" t="s">
        <v>0</v>
      </c>
      <c r="C174" s="0" t="s">
        <v>26</v>
      </c>
      <c r="D174" s="0" t="s">
        <v>102</v>
      </c>
      <c r="E174" s="0" t="str">
        <f>"s1_node_"&amp;D174&amp;"_name"</f>
        <v>s1_node_survival_name</v>
      </c>
      <c r="F174" s="10" t="str">
        <f>"s1_node_"&amp;D174&amp;"_desc"</f>
        <v>s1_node_survival_desc</v>
      </c>
      <c r="G174" s="0" t="s">
        <v>147</v>
      </c>
      <c r="H174" s="0">
        <v>5</v>
      </c>
      <c r="I174" s="0" t="s">
        <v>27</v>
      </c>
      <c r="J174" s="0" t="s">
        <v>400</v>
      </c>
      <c r="K174" s="0">
        <v>3350</v>
      </c>
      <c r="L174" s="10">
        <v>3</v>
      </c>
      <c r="M174" s="0">
        <v>95</v>
      </c>
      <c r="N174" s="0">
        <v>6</v>
      </c>
      <c r="O174" s="0" t="s">
        <v>402</v>
      </c>
      <c r="T174" s="0" t="str">
        <f>_xlfn.TEXTJOIN("_",TRUE,C174,"node_eff",D174,M174,N174)</f>
        <v>s1_node_eff_survival_95_6</v>
      </c>
    </row>
    <row r="175" spans="1:20" x14ac:dyDescent="0.45">
      <c r="A175" s="0" t="str">
        <f>_xlfn.TEXTJOIN("_",TRUE,C175,"node",D175,M175,N175)</f>
        <v>s1_node_survival_96_4</v>
      </c>
      <c r="B175" s="0" t="s">
        <v>0</v>
      </c>
      <c r="C175" s="0" t="s">
        <v>26</v>
      </c>
      <c r="D175" s="0" t="s">
        <v>102</v>
      </c>
      <c r="E175" s="0" t="str">
        <f>"s1_node_"&amp;D175&amp;"_name"</f>
        <v>s1_node_survival_name</v>
      </c>
      <c r="F175" s="10" t="str">
        <f>"s1_node_"&amp;D175&amp;"_desc"</f>
        <v>s1_node_survival_desc</v>
      </c>
      <c r="G175" s="0" t="s">
        <v>136</v>
      </c>
      <c r="H175" s="0">
        <v>5</v>
      </c>
      <c r="I175" s="0" t="s">
        <v>27</v>
      </c>
      <c r="J175" s="0" t="s">
        <v>403</v>
      </c>
      <c r="K175" s="0">
        <v>3380</v>
      </c>
      <c r="L175" s="10">
        <v>3</v>
      </c>
      <c r="M175" s="0">
        <v>96</v>
      </c>
      <c r="N175" s="0">
        <v>4</v>
      </c>
      <c r="O175" s="0" t="s">
        <v>404</v>
      </c>
      <c r="P175" s="0" t="s">
        <v>405</v>
      </c>
      <c r="T175" s="0" t="str">
        <f>_xlfn.TEXTJOIN("_",TRUE,C175,"node_eff",D175,M175,N175)</f>
        <v>s1_node_eff_survival_96_4</v>
      </c>
    </row>
    <row r="176" spans="1:20" x14ac:dyDescent="0.45">
      <c r="A176" s="0" t="str">
        <f>_xlfn.TEXTJOIN("_",TRUE,C176,"node",D176,M176,N176)</f>
        <v>s1_node_survival_97_2</v>
      </c>
      <c r="B176" s="0" t="s">
        <v>0</v>
      </c>
      <c r="C176" s="0" t="s">
        <v>26</v>
      </c>
      <c r="D176" s="0" t="s">
        <v>102</v>
      </c>
      <c r="E176" s="0" t="str">
        <f>"s1_node_"&amp;D176&amp;"_name"</f>
        <v>s1_node_survival_name</v>
      </c>
      <c r="F176" s="10" t="str">
        <f>"s1_node_"&amp;D176&amp;"_desc"</f>
        <v>s1_node_survival_desc</v>
      </c>
      <c r="G176" s="0" t="s">
        <v>136</v>
      </c>
      <c r="H176" s="0">
        <v>5</v>
      </c>
      <c r="I176" s="0" t="s">
        <v>27</v>
      </c>
      <c r="J176" s="0" t="s">
        <v>406</v>
      </c>
      <c r="K176" s="0">
        <v>3420</v>
      </c>
      <c r="L176" s="10">
        <v>3</v>
      </c>
      <c r="M176" s="0">
        <v>97</v>
      </c>
      <c r="N176" s="0">
        <v>2</v>
      </c>
      <c r="O176" s="0" t="s">
        <v>407</v>
      </c>
      <c r="T176" s="0" t="str">
        <f>_xlfn.TEXTJOIN("_",TRUE,C176,"node_eff",D176,M176,N176)</f>
        <v>s1_node_eff_survival_97_2</v>
      </c>
    </row>
    <row r="177" spans="1:20" x14ac:dyDescent="0.45">
      <c r="A177" s="0" t="str">
        <f>_xlfn.TEXTJOIN("_",TRUE,C177,"node",D177,M177,N177)</f>
        <v>s1_node_survival_97_6</v>
      </c>
      <c r="B177" s="0" t="s">
        <v>0</v>
      </c>
      <c r="C177" s="0" t="s">
        <v>26</v>
      </c>
      <c r="D177" s="0" t="s">
        <v>102</v>
      </c>
      <c r="E177" s="0" t="str">
        <f>"s1_node_"&amp;D177&amp;"_name"</f>
        <v>s1_node_survival_name</v>
      </c>
      <c r="F177" s="10" t="str">
        <f>"s1_node_"&amp;D177&amp;"_desc"</f>
        <v>s1_node_survival_desc</v>
      </c>
      <c r="G177" s="0" t="s">
        <v>140</v>
      </c>
      <c r="H177" s="0">
        <v>5</v>
      </c>
      <c r="I177" s="0" t="s">
        <v>27</v>
      </c>
      <c r="J177" s="0" t="s">
        <v>406</v>
      </c>
      <c r="K177" s="0">
        <v>3420</v>
      </c>
      <c r="L177" s="10">
        <v>3</v>
      </c>
      <c r="M177" s="0">
        <v>97</v>
      </c>
      <c r="N177" s="0">
        <v>6</v>
      </c>
      <c r="O177" s="0" t="s">
        <v>407</v>
      </c>
      <c r="T177" s="0" t="str">
        <f>_xlfn.TEXTJOIN("_",TRUE,C177,"node_eff",D177,M177,N177)</f>
        <v>s1_node_eff_survival_97_6</v>
      </c>
    </row>
    <row r="178" spans="1:20" x14ac:dyDescent="0.45">
      <c r="A178" s="0" t="str">
        <f>_xlfn.TEXTJOIN("_",TRUE,C178,"node",D178,M178,N178)</f>
        <v>s1_node_survival_98_2</v>
      </c>
      <c r="B178" s="0" t="s">
        <v>0</v>
      </c>
      <c r="C178" s="0" t="s">
        <v>26</v>
      </c>
      <c r="D178" s="0" t="s">
        <v>102</v>
      </c>
      <c r="E178" s="0" t="str">
        <f>"s1_node_"&amp;D178&amp;"_name"</f>
        <v>s1_node_survival_name</v>
      </c>
      <c r="F178" s="10" t="str">
        <f>"s1_node_"&amp;D178&amp;"_desc"</f>
        <v>s1_node_survival_desc</v>
      </c>
      <c r="G178" s="0" t="s">
        <v>140</v>
      </c>
      <c r="H178" s="0">
        <v>5</v>
      </c>
      <c r="I178" s="0" t="s">
        <v>27</v>
      </c>
      <c r="J178" s="0" t="s">
        <v>408</v>
      </c>
      <c r="K178" s="0">
        <v>3450</v>
      </c>
      <c r="L178" s="10">
        <v>3</v>
      </c>
      <c r="M178" s="0">
        <v>98</v>
      </c>
      <c r="N178" s="0">
        <v>2</v>
      </c>
      <c r="O178" s="0" t="s">
        <v>409</v>
      </c>
      <c r="T178" s="0" t="str">
        <f>_xlfn.TEXTJOIN("_",TRUE,C178,"node_eff",D178,M178,N178)</f>
        <v>s1_node_eff_survival_98_2</v>
      </c>
    </row>
    <row r="179" spans="1:20" x14ac:dyDescent="0.45">
      <c r="A179" s="0" t="str">
        <f>_xlfn.TEXTJOIN("_",TRUE,C179,"node",D179,M179,N179)</f>
        <v>s1_node_survival_98_6</v>
      </c>
      <c r="B179" s="0" t="s">
        <v>0</v>
      </c>
      <c r="C179" s="0" t="s">
        <v>26</v>
      </c>
      <c r="D179" s="0" t="s">
        <v>102</v>
      </c>
      <c r="E179" s="0" t="str">
        <f>"s1_node_"&amp;D179&amp;"_name"</f>
        <v>s1_node_survival_name</v>
      </c>
      <c r="F179" s="10" t="str">
        <f>"s1_node_"&amp;D179&amp;"_desc"</f>
        <v>s1_node_survival_desc</v>
      </c>
      <c r="G179" s="0" t="s">
        <v>136</v>
      </c>
      <c r="H179" s="0">
        <v>5</v>
      </c>
      <c r="I179" s="0" t="s">
        <v>27</v>
      </c>
      <c r="J179" s="0" t="s">
        <v>408</v>
      </c>
      <c r="K179" s="0">
        <v>3450</v>
      </c>
      <c r="L179" s="10">
        <v>3</v>
      </c>
      <c r="M179" s="0">
        <v>98</v>
      </c>
      <c r="N179" s="0">
        <v>6</v>
      </c>
      <c r="O179" s="0" t="s">
        <v>410</v>
      </c>
      <c r="T179" s="0" t="str">
        <f>_xlfn.TEXTJOIN("_",TRUE,C179,"node_eff",D179,M179,N179)</f>
        <v>s1_node_eff_survival_98_6</v>
      </c>
    </row>
    <row r="180" spans="1:20" x14ac:dyDescent="0.45">
      <c r="A180" s="0" t="str">
        <f>_xlfn.TEXTJOIN("_",TRUE,C180,"node",D180,M180,N180)</f>
        <v>s1_node_survival_99_2</v>
      </c>
      <c r="B180" s="0" t="s">
        <v>0</v>
      </c>
      <c r="C180" s="0" t="s">
        <v>26</v>
      </c>
      <c r="D180" s="0" t="s">
        <v>102</v>
      </c>
      <c r="E180" s="0" t="str">
        <f>"s1_node_"&amp;D180&amp;"_name"</f>
        <v>s1_node_survival_name</v>
      </c>
      <c r="F180" s="10" t="str">
        <f>"s1_node_"&amp;D180&amp;"_desc"</f>
        <v>s1_node_survival_desc</v>
      </c>
      <c r="G180" s="0" t="s">
        <v>136</v>
      </c>
      <c r="H180" s="0">
        <v>5</v>
      </c>
      <c r="I180" s="0" t="s">
        <v>27</v>
      </c>
      <c r="J180" s="0" t="s">
        <v>411</v>
      </c>
      <c r="K180" s="0">
        <v>3490</v>
      </c>
      <c r="L180" s="10">
        <v>3</v>
      </c>
      <c r="M180" s="0">
        <v>99</v>
      </c>
      <c r="N180" s="0">
        <v>2</v>
      </c>
      <c r="O180" s="0" t="s">
        <v>412</v>
      </c>
      <c r="T180" s="0" t="str">
        <f>_xlfn.TEXTJOIN("_",TRUE,C180,"node_eff",D180,M180,N180)</f>
        <v>s1_node_eff_survival_99_2</v>
      </c>
    </row>
    <row r="181" spans="1:20" x14ac:dyDescent="0.45">
      <c r="A181" s="0" t="str">
        <f>_xlfn.TEXTJOIN("_",TRUE,C181,"node",D181,M181,N181)</f>
        <v>s1_node_survival_99_6</v>
      </c>
      <c r="B181" s="0" t="s">
        <v>0</v>
      </c>
      <c r="C181" s="0" t="s">
        <v>26</v>
      </c>
      <c r="D181" s="0" t="s">
        <v>102</v>
      </c>
      <c r="E181" s="0" t="str">
        <f>"s1_node_"&amp;D181&amp;"_name"</f>
        <v>s1_node_survival_name</v>
      </c>
      <c r="F181" s="10" t="str">
        <f>"s1_node_"&amp;D181&amp;"_desc"</f>
        <v>s1_node_survival_desc</v>
      </c>
      <c r="G181" s="0" t="s">
        <v>136</v>
      </c>
      <c r="H181" s="0">
        <v>5</v>
      </c>
      <c r="I181" s="0" t="s">
        <v>27</v>
      </c>
      <c r="J181" s="0" t="s">
        <v>411</v>
      </c>
      <c r="K181" s="0">
        <v>3490</v>
      </c>
      <c r="L181" s="10">
        <v>3</v>
      </c>
      <c r="M181" s="0">
        <v>99</v>
      </c>
      <c r="N181" s="0">
        <v>6</v>
      </c>
      <c r="O181" s="0" t="s">
        <v>413</v>
      </c>
      <c r="T181" s="0" t="str">
        <f>_xlfn.TEXTJOIN("_",TRUE,C181,"node_eff",D181,M181,N181)</f>
        <v>s1_node_eff_survival_99_6</v>
      </c>
    </row>
    <row r="182" spans="1:20" x14ac:dyDescent="0.45">
      <c r="A182" s="0" t="str">
        <f>_xlfn.TEXTJOIN("_",TRUE,C182,"node",D182,M182,N182)</f>
        <v>s1_node_survival_100_4</v>
      </c>
      <c r="B182" s="0" t="s">
        <v>0</v>
      </c>
      <c r="C182" s="0" t="s">
        <v>26</v>
      </c>
      <c r="D182" s="0" t="s">
        <v>102</v>
      </c>
      <c r="E182" s="0" t="str">
        <f>"s1_node_"&amp;D182&amp;"_name"</f>
        <v>s1_node_survival_name</v>
      </c>
      <c r="F182" s="10" t="str">
        <f>"s1_node_"&amp;D182&amp;"_desc"</f>
        <v>s1_node_survival_desc</v>
      </c>
      <c r="G182" s="0" t="s">
        <v>147</v>
      </c>
      <c r="H182" s="0">
        <v>5</v>
      </c>
      <c r="I182" s="0" t="s">
        <v>27</v>
      </c>
      <c r="J182" s="0" t="s">
        <v>414</v>
      </c>
      <c r="K182" s="0">
        <v>3520</v>
      </c>
      <c r="L182" s="10">
        <v>3</v>
      </c>
      <c r="M182" s="0">
        <v>100</v>
      </c>
      <c r="N182" s="0">
        <v>4</v>
      </c>
      <c r="O182" s="0" t="s">
        <v>415</v>
      </c>
      <c r="P182" s="0" t="s">
        <v>416</v>
      </c>
      <c r="T182" s="0" t="str">
        <f>_xlfn.TEXTJOIN("_",TRUE,C182,"node_eff",D182,M182,N182)</f>
        <v>s1_node_eff_survival_100_4</v>
      </c>
    </row>
    <row r="183" spans="1:20" x14ac:dyDescent="0.45">
      <c r="A183" s="0" t="str">
        <f>_xlfn.TEXTJOIN("_",TRUE,C183,"node",D183,M183,N183)</f>
        <v>s1_node_economy_1_4</v>
      </c>
      <c r="B183" s="0" t="s">
        <v>0</v>
      </c>
      <c r="C183" s="0" t="s">
        <v>26</v>
      </c>
      <c r="D183" s="0" t="s">
        <v>103</v>
      </c>
      <c r="E183" s="0" t="str">
        <f>"s1_node_"&amp;D183&amp;"_name"</f>
        <v>s1_node_economy_name</v>
      </c>
      <c r="F183" s="10" t="str">
        <f>"s1_node_"&amp;D183&amp;"_desc"</f>
        <v>s1_node_economy_desc</v>
      </c>
      <c r="G183" s="0" t="s">
        <v>417</v>
      </c>
      <c r="H183" s="0">
        <v>1</v>
      </c>
      <c r="I183" s="0" t="s">
        <v>27</v>
      </c>
      <c r="J183" s="0" t="s">
        <v>418</v>
      </c>
      <c r="K183" s="0">
        <v>110</v>
      </c>
      <c r="L183" s="10">
        <v>3</v>
      </c>
      <c r="M183" s="0">
        <v>1</v>
      </c>
      <c r="N183" s="0">
        <v>4</v>
      </c>
      <c r="O183" s="10"/>
      <c r="P183" s="10"/>
      <c r="T183" s="0" t="str">
        <f>_xlfn.TEXTJOIN("_",TRUE,C183,"node_eff",D183,M183,N183)</f>
        <v>s1_node_eff_economy_1_4</v>
      </c>
    </row>
    <row r="184" spans="1:20" x14ac:dyDescent="0.45">
      <c r="A184" s="0" t="str">
        <f>_xlfn.TEXTJOIN("_",TRUE,C184,"node",D184,M184,N184)</f>
        <v>s1_node_economy_2_2</v>
      </c>
      <c r="B184" s="0" t="s">
        <v>0</v>
      </c>
      <c r="C184" s="0" t="s">
        <v>26</v>
      </c>
      <c r="D184" s="0" t="s">
        <v>103</v>
      </c>
      <c r="E184" s="0" t="str">
        <f>"s1_node_"&amp;D184&amp;"_name"</f>
        <v>s1_node_economy_name</v>
      </c>
      <c r="F184" s="10" t="str">
        <f>"s1_node_"&amp;D184&amp;"_desc"</f>
        <v>s1_node_economy_desc</v>
      </c>
      <c r="G184" s="0" t="s">
        <v>417</v>
      </c>
      <c r="H184" s="0">
        <v>1</v>
      </c>
      <c r="I184" s="0" t="s">
        <v>27</v>
      </c>
      <c r="J184" s="0" t="s">
        <v>141</v>
      </c>
      <c r="K184" s="0">
        <v>150</v>
      </c>
      <c r="L184" s="10">
        <v>3</v>
      </c>
      <c r="M184" s="0">
        <v>2</v>
      </c>
      <c r="N184" s="0">
        <v>2</v>
      </c>
      <c r="O184" s="10" t="s">
        <v>419</v>
      </c>
      <c r="P184" s="10"/>
      <c r="T184" s="0" t="str">
        <f>_xlfn.TEXTJOIN("_",TRUE,C184,"node_eff",D184,M184,N184)</f>
        <v>s1_node_eff_economy_2_2</v>
      </c>
    </row>
    <row r="185" spans="1:20" x14ac:dyDescent="0.45">
      <c r="A185" s="0" t="str">
        <f>_xlfn.TEXTJOIN("_",TRUE,C185,"node",D185,M185,N185)</f>
        <v>s1_node_economy_2_6</v>
      </c>
      <c r="B185" s="0" t="s">
        <v>0</v>
      </c>
      <c r="C185" s="0" t="s">
        <v>26</v>
      </c>
      <c r="D185" s="0" t="s">
        <v>103</v>
      </c>
      <c r="E185" s="0" t="str">
        <f>"s1_node_"&amp;D185&amp;"_name"</f>
        <v>s1_node_economy_name</v>
      </c>
      <c r="F185" s="10" t="str">
        <f>"s1_node_"&amp;D185&amp;"_desc"</f>
        <v>s1_node_economy_desc</v>
      </c>
      <c r="G185" s="0" t="s">
        <v>417</v>
      </c>
      <c r="H185" s="0">
        <v>1</v>
      </c>
      <c r="I185" s="0" t="s">
        <v>27</v>
      </c>
      <c r="J185" s="0" t="s">
        <v>141</v>
      </c>
      <c r="K185" s="0">
        <v>150</v>
      </c>
      <c r="L185" s="10">
        <v>3</v>
      </c>
      <c r="M185" s="0">
        <v>2</v>
      </c>
      <c r="N185" s="0">
        <v>6</v>
      </c>
      <c r="O185" s="10" t="s">
        <v>419</v>
      </c>
      <c r="P185" s="10"/>
      <c r="T185" s="0" t="str">
        <f>_xlfn.TEXTJOIN("_",TRUE,C185,"node_eff",D185,M185,N185)</f>
        <v>s1_node_eff_economy_2_6</v>
      </c>
    </row>
    <row r="186" spans="1:20" x14ac:dyDescent="0.45">
      <c r="A186" s="0" t="str">
        <f>_xlfn.TEXTJOIN("_",TRUE,C186,"node",D186,M186,N186)</f>
        <v>s1_node_economy_3_2</v>
      </c>
      <c r="B186" s="0" t="s">
        <v>0</v>
      </c>
      <c r="C186" s="0" t="s">
        <v>26</v>
      </c>
      <c r="D186" s="0" t="s">
        <v>103</v>
      </c>
      <c r="E186" s="0" t="str">
        <f>"s1_node_"&amp;D186&amp;"_name"</f>
        <v>s1_node_economy_name</v>
      </c>
      <c r="F186" s="10" t="str">
        <f>"s1_node_"&amp;D186&amp;"_desc"</f>
        <v>s1_node_economy_desc</v>
      </c>
      <c r="G186" s="0" t="s">
        <v>417</v>
      </c>
      <c r="H186" s="0">
        <v>1</v>
      </c>
      <c r="I186" s="0" t="s">
        <v>27</v>
      </c>
      <c r="J186" s="0" t="s">
        <v>144</v>
      </c>
      <c r="K186" s="0">
        <v>180</v>
      </c>
      <c r="L186" s="10">
        <v>3</v>
      </c>
      <c r="M186" s="0">
        <v>3</v>
      </c>
      <c r="N186" s="0">
        <v>2</v>
      </c>
      <c r="O186" s="10" t="s">
        <v>420</v>
      </c>
      <c r="P186" s="10"/>
      <c r="T186" s="0" t="str">
        <f>_xlfn.TEXTJOIN("_",TRUE,C186,"node_eff",D186,M186,N186)</f>
        <v>s1_node_eff_economy_3_2</v>
      </c>
    </row>
    <row r="187" spans="1:20" x14ac:dyDescent="0.45">
      <c r="A187" s="0" t="str">
        <f>_xlfn.TEXTJOIN("_",TRUE,C187,"node",D187,M187,N187)</f>
        <v>s1_node_economy_3_6</v>
      </c>
      <c r="B187" s="0" t="s">
        <v>0</v>
      </c>
      <c r="C187" s="0" t="s">
        <v>26</v>
      </c>
      <c r="D187" s="0" t="s">
        <v>103</v>
      </c>
      <c r="E187" s="0" t="str">
        <f>"s1_node_"&amp;D187&amp;"_name"</f>
        <v>s1_node_economy_name</v>
      </c>
      <c r="F187" s="10" t="str">
        <f>"s1_node_"&amp;D187&amp;"_desc"</f>
        <v>s1_node_economy_desc</v>
      </c>
      <c r="G187" s="0" t="s">
        <v>421</v>
      </c>
      <c r="H187" s="0">
        <v>1</v>
      </c>
      <c r="I187" s="0" t="s">
        <v>27</v>
      </c>
      <c r="J187" s="0" t="s">
        <v>144</v>
      </c>
      <c r="K187" s="0">
        <v>180</v>
      </c>
      <c r="L187" s="10">
        <v>3</v>
      </c>
      <c r="M187" s="0">
        <v>3</v>
      </c>
      <c r="N187" s="0">
        <v>6</v>
      </c>
      <c r="O187" s="10" t="s">
        <v>422</v>
      </c>
      <c r="P187" s="10"/>
      <c r="T187" s="0" t="str">
        <f>_xlfn.TEXTJOIN("_",TRUE,C187,"node_eff",D187,M187,N187)</f>
        <v>s1_node_eff_economy_3_6</v>
      </c>
    </row>
    <row r="188" spans="1:20" x14ac:dyDescent="0.45">
      <c r="A188" s="0" t="str">
        <f>_xlfn.TEXTJOIN("_",TRUE,C188,"node",D188,M188,N188)</f>
        <v>s1_node_economy_4_2</v>
      </c>
      <c r="B188" s="0" t="s">
        <v>0</v>
      </c>
      <c r="C188" s="0" t="s">
        <v>26</v>
      </c>
      <c r="D188" s="0" t="s">
        <v>103</v>
      </c>
      <c r="E188" s="0" t="str">
        <f>"s1_node_"&amp;D188&amp;"_name"</f>
        <v>s1_node_economy_name</v>
      </c>
      <c r="F188" s="10" t="str">
        <f>"s1_node_"&amp;D188&amp;"_desc"</f>
        <v>s1_node_economy_desc</v>
      </c>
      <c r="G188" s="0" t="s">
        <v>417</v>
      </c>
      <c r="H188" s="0">
        <v>1</v>
      </c>
      <c r="I188" s="0" t="s">
        <v>27</v>
      </c>
      <c r="J188" s="0" t="s">
        <v>148</v>
      </c>
      <c r="K188" s="0">
        <v>220</v>
      </c>
      <c r="L188" s="10">
        <v>3</v>
      </c>
      <c r="M188" s="0">
        <v>4</v>
      </c>
      <c r="N188" s="0">
        <v>2</v>
      </c>
      <c r="O188" s="10" t="s">
        <v>423</v>
      </c>
      <c r="P188" s="10"/>
      <c r="T188" s="0" t="str">
        <f>_xlfn.TEXTJOIN("_",TRUE,C188,"node_eff",D188,M188,N188)</f>
        <v>s1_node_eff_economy_4_2</v>
      </c>
    </row>
    <row r="189" spans="1:20" x14ac:dyDescent="0.45">
      <c r="A189" s="0" t="str">
        <f>_xlfn.TEXTJOIN("_",TRUE,C189,"node",D189,M189,N189)</f>
        <v>s1_node_economy_4_6</v>
      </c>
      <c r="B189" s="0" t="s">
        <v>0</v>
      </c>
      <c r="C189" s="0" t="s">
        <v>26</v>
      </c>
      <c r="D189" s="0" t="s">
        <v>103</v>
      </c>
      <c r="E189" s="0" t="str">
        <f>"s1_node_"&amp;D189&amp;"_name"</f>
        <v>s1_node_economy_name</v>
      </c>
      <c r="F189" s="10" t="str">
        <f>"s1_node_"&amp;D189&amp;"_desc"</f>
        <v>s1_node_economy_desc</v>
      </c>
      <c r="G189" s="0" t="s">
        <v>417</v>
      </c>
      <c r="H189" s="0">
        <v>1</v>
      </c>
      <c r="I189" s="0" t="s">
        <v>27</v>
      </c>
      <c r="J189" s="0" t="s">
        <v>148</v>
      </c>
      <c r="K189" s="0">
        <v>220</v>
      </c>
      <c r="L189" s="10">
        <v>3</v>
      </c>
      <c r="M189" s="0">
        <v>4</v>
      </c>
      <c r="N189" s="0">
        <v>6</v>
      </c>
      <c r="O189" s="10" t="s">
        <v>424</v>
      </c>
      <c r="P189" s="10"/>
      <c r="T189" s="0" t="str">
        <f>_xlfn.TEXTJOIN("_",TRUE,C189,"node_eff",D189,M189,N189)</f>
        <v>s1_node_eff_economy_4_6</v>
      </c>
    </row>
    <row r="190" spans="1:20" x14ac:dyDescent="0.45">
      <c r="A190" s="0" t="str">
        <f>_xlfn.TEXTJOIN("_",TRUE,C190,"node",D190,M190,N190)</f>
        <v>s1_node_economy_5_2</v>
      </c>
      <c r="B190" s="0" t="s">
        <v>0</v>
      </c>
      <c r="C190" s="0" t="s">
        <v>26</v>
      </c>
      <c r="D190" s="0" t="s">
        <v>103</v>
      </c>
      <c r="E190" s="0" t="str">
        <f>"s1_node_"&amp;D190&amp;"_name"</f>
        <v>s1_node_economy_name</v>
      </c>
      <c r="F190" s="10" t="str">
        <f>"s1_node_"&amp;D190&amp;"_desc"</f>
        <v>s1_node_economy_desc</v>
      </c>
      <c r="G190" s="0" t="s">
        <v>417</v>
      </c>
      <c r="H190" s="0">
        <v>1</v>
      </c>
      <c r="I190" s="0" t="s">
        <v>27</v>
      </c>
      <c r="J190" s="0" t="s">
        <v>151</v>
      </c>
      <c r="K190" s="0">
        <v>250</v>
      </c>
      <c r="L190" s="10">
        <v>3</v>
      </c>
      <c r="M190" s="0">
        <v>5</v>
      </c>
      <c r="N190" s="0">
        <v>2</v>
      </c>
      <c r="O190" s="10" t="s">
        <v>425</v>
      </c>
      <c r="P190" s="10"/>
      <c r="T190" s="0" t="str">
        <f>_xlfn.TEXTJOIN("_",TRUE,C190,"node_eff",D190,M190,N190)</f>
        <v>s1_node_eff_economy_5_2</v>
      </c>
    </row>
    <row r="191" spans="1:20" x14ac:dyDescent="0.45">
      <c r="A191" s="0" t="str">
        <f>_xlfn.TEXTJOIN("_",TRUE,C191,"node",D191,M191,N191)</f>
        <v>s1_node_economy_5_6</v>
      </c>
      <c r="B191" s="0" t="s">
        <v>0</v>
      </c>
      <c r="C191" s="0" t="s">
        <v>26</v>
      </c>
      <c r="D191" s="0" t="s">
        <v>103</v>
      </c>
      <c r="E191" s="0" t="str">
        <f>"s1_node_"&amp;D191&amp;"_name"</f>
        <v>s1_node_economy_name</v>
      </c>
      <c r="F191" s="10" t="str">
        <f>"s1_node_"&amp;D191&amp;"_desc"</f>
        <v>s1_node_economy_desc</v>
      </c>
      <c r="G191" s="0" t="s">
        <v>417</v>
      </c>
      <c r="H191" s="0">
        <v>1</v>
      </c>
      <c r="I191" s="0" t="s">
        <v>27</v>
      </c>
      <c r="J191" s="0" t="s">
        <v>151</v>
      </c>
      <c r="K191" s="0">
        <v>250</v>
      </c>
      <c r="L191" s="10">
        <v>3</v>
      </c>
      <c r="M191" s="0">
        <v>5</v>
      </c>
      <c r="N191" s="0">
        <v>6</v>
      </c>
      <c r="O191" s="10" t="s">
        <v>426</v>
      </c>
      <c r="P191" s="10"/>
      <c r="T191" s="0" t="str">
        <f>_xlfn.TEXTJOIN("_",TRUE,C191,"node_eff",D191,M191,N191)</f>
        <v>s1_node_eff_economy_5_6</v>
      </c>
    </row>
    <row r="192" spans="1:20" x14ac:dyDescent="0.45">
      <c r="A192" s="0" t="str">
        <f>_xlfn.TEXTJOIN("_",TRUE,C192,"node",D192,M192,N192)</f>
        <v>s1_node_economy_6_4</v>
      </c>
      <c r="B192" s="0" t="s">
        <v>0</v>
      </c>
      <c r="C192" s="0" t="s">
        <v>26</v>
      </c>
      <c r="D192" s="0" t="s">
        <v>103</v>
      </c>
      <c r="E192" s="0" t="str">
        <f>"s1_node_"&amp;D192&amp;"_name"</f>
        <v>s1_node_economy_name</v>
      </c>
      <c r="F192" s="10" t="str">
        <f>"s1_node_"&amp;D192&amp;"_desc"</f>
        <v>s1_node_economy_desc</v>
      </c>
      <c r="G192" s="0" t="s">
        <v>421</v>
      </c>
      <c r="H192" s="0">
        <v>1</v>
      </c>
      <c r="I192" s="0" t="s">
        <v>27</v>
      </c>
      <c r="J192" s="0" t="s">
        <v>154</v>
      </c>
      <c r="K192" s="0">
        <v>290</v>
      </c>
      <c r="L192" s="10">
        <v>3</v>
      </c>
      <c r="M192" s="0">
        <v>6</v>
      </c>
      <c r="N192" s="0">
        <v>4</v>
      </c>
      <c r="O192" s="10" t="s">
        <v>427</v>
      </c>
      <c r="P192" s="10" t="s">
        <v>428</v>
      </c>
      <c r="T192" s="0" t="str">
        <f>_xlfn.TEXTJOIN("_",TRUE,C192,"node_eff",D192,M192,N192)</f>
        <v>s1_node_eff_economy_6_4</v>
      </c>
    </row>
    <row r="193" spans="1:20" x14ac:dyDescent="0.45">
      <c r="A193" s="0" t="str">
        <f>_xlfn.TEXTJOIN("_",TRUE,C193,"node",D193,M193,N193)</f>
        <v>s1_node_economy_7_2</v>
      </c>
      <c r="B193" s="0" t="s">
        <v>0</v>
      </c>
      <c r="C193" s="0" t="s">
        <v>26</v>
      </c>
      <c r="D193" s="0" t="s">
        <v>103</v>
      </c>
      <c r="E193" s="0" t="str">
        <f>"s1_node_"&amp;D193&amp;"_name"</f>
        <v>s1_node_economy_name</v>
      </c>
      <c r="F193" s="10" t="str">
        <f>"s1_node_"&amp;D193&amp;"_desc"</f>
        <v>s1_node_economy_desc</v>
      </c>
      <c r="G193" s="0" t="s">
        <v>417</v>
      </c>
      <c r="H193" s="0">
        <v>1</v>
      </c>
      <c r="I193" s="0" t="s">
        <v>27</v>
      </c>
      <c r="J193" s="0" t="s">
        <v>429</v>
      </c>
      <c r="K193" s="0">
        <v>330</v>
      </c>
      <c r="L193" s="10">
        <v>3</v>
      </c>
      <c r="M193" s="0">
        <v>7</v>
      </c>
      <c r="N193" s="0">
        <v>2</v>
      </c>
      <c r="O193" s="10" t="s">
        <v>430</v>
      </c>
      <c r="P193" s="10"/>
      <c r="T193" s="0" t="str">
        <f>_xlfn.TEXTJOIN("_",TRUE,C193,"node_eff",D193,M193,N193)</f>
        <v>s1_node_eff_economy_7_2</v>
      </c>
    </row>
    <row r="194" spans="1:20" x14ac:dyDescent="0.45">
      <c r="A194" s="0" t="str">
        <f>_xlfn.TEXTJOIN("_",TRUE,C194,"node",D194,M194,N194)</f>
        <v>s1_node_economy_7_6</v>
      </c>
      <c r="B194" s="0" t="s">
        <v>0</v>
      </c>
      <c r="C194" s="0" t="s">
        <v>26</v>
      </c>
      <c r="D194" s="0" t="s">
        <v>103</v>
      </c>
      <c r="E194" s="0" t="str">
        <f>"s1_node_"&amp;D194&amp;"_name"</f>
        <v>s1_node_economy_name</v>
      </c>
      <c r="F194" s="10" t="str">
        <f>"s1_node_"&amp;D194&amp;"_desc"</f>
        <v>s1_node_economy_desc</v>
      </c>
      <c r="G194" s="0" t="s">
        <v>417</v>
      </c>
      <c r="H194" s="0">
        <v>1</v>
      </c>
      <c r="I194" s="0" t="s">
        <v>27</v>
      </c>
      <c r="J194" s="0" t="s">
        <v>429</v>
      </c>
      <c r="K194" s="0">
        <v>330</v>
      </c>
      <c r="L194" s="10">
        <v>3</v>
      </c>
      <c r="M194" s="0">
        <v>7</v>
      </c>
      <c r="N194" s="0">
        <v>6</v>
      </c>
      <c r="O194" s="10" t="s">
        <v>430</v>
      </c>
      <c r="P194" s="10"/>
      <c r="T194" s="0" t="str">
        <f>_xlfn.TEXTJOIN("_",TRUE,C194,"node_eff",D194,M194,N194)</f>
        <v>s1_node_eff_economy_7_6</v>
      </c>
    </row>
    <row r="195" spans="1:20" x14ac:dyDescent="0.45">
      <c r="A195" s="0" t="str">
        <f>_xlfn.TEXTJOIN("_",TRUE,C195,"node",D195,M195,N195)</f>
        <v>s1_node_economy_8_2</v>
      </c>
      <c r="B195" s="0" t="s">
        <v>0</v>
      </c>
      <c r="C195" s="0" t="s">
        <v>26</v>
      </c>
      <c r="D195" s="0" t="s">
        <v>103</v>
      </c>
      <c r="E195" s="0" t="str">
        <f>"s1_node_"&amp;D195&amp;"_name"</f>
        <v>s1_node_economy_name</v>
      </c>
      <c r="F195" s="10" t="str">
        <f>"s1_node_"&amp;D195&amp;"_desc"</f>
        <v>s1_node_economy_desc</v>
      </c>
      <c r="G195" s="0" t="s">
        <v>417</v>
      </c>
      <c r="H195" s="0">
        <v>1</v>
      </c>
      <c r="I195" s="0" t="s">
        <v>27</v>
      </c>
      <c r="J195" s="0" t="s">
        <v>159</v>
      </c>
      <c r="K195" s="0">
        <v>360</v>
      </c>
      <c r="L195" s="10">
        <v>3</v>
      </c>
      <c r="M195" s="0">
        <v>8</v>
      </c>
      <c r="N195" s="0">
        <v>2</v>
      </c>
      <c r="O195" s="10" t="s">
        <v>431</v>
      </c>
      <c r="P195" s="10"/>
      <c r="T195" s="0" t="str">
        <f>_xlfn.TEXTJOIN("_",TRUE,C195,"node_eff",D195,M195,N195)</f>
        <v>s1_node_eff_economy_8_2</v>
      </c>
    </row>
    <row r="196" spans="1:20" x14ac:dyDescent="0.45">
      <c r="A196" s="0" t="str">
        <f>_xlfn.TEXTJOIN("_",TRUE,C196,"node",D196,M196,N196)</f>
        <v>s1_node_economy_8_6</v>
      </c>
      <c r="B196" s="0" t="s">
        <v>0</v>
      </c>
      <c r="C196" s="0" t="s">
        <v>26</v>
      </c>
      <c r="D196" s="0" t="s">
        <v>103</v>
      </c>
      <c r="E196" s="0" t="str">
        <f>"s1_node_"&amp;D196&amp;"_name"</f>
        <v>s1_node_economy_name</v>
      </c>
      <c r="F196" s="10" t="str">
        <f>"s1_node_"&amp;D196&amp;"_desc"</f>
        <v>s1_node_economy_desc</v>
      </c>
      <c r="G196" s="0" t="s">
        <v>417</v>
      </c>
      <c r="H196" s="0">
        <v>1</v>
      </c>
      <c r="I196" s="0" t="s">
        <v>27</v>
      </c>
      <c r="J196" s="0" t="s">
        <v>159</v>
      </c>
      <c r="K196" s="0">
        <v>360</v>
      </c>
      <c r="L196" s="10">
        <v>3</v>
      </c>
      <c r="M196" s="0">
        <v>8</v>
      </c>
      <c r="N196" s="0">
        <v>6</v>
      </c>
      <c r="O196" s="10" t="s">
        <v>432</v>
      </c>
      <c r="P196" s="10"/>
      <c r="T196" s="0" t="str">
        <f>_xlfn.TEXTJOIN("_",TRUE,C196,"node_eff",D196,M196,N196)</f>
        <v>s1_node_eff_economy_8_6</v>
      </c>
    </row>
    <row r="197" spans="1:20" x14ac:dyDescent="0.45">
      <c r="A197" s="0" t="str">
        <f>_xlfn.TEXTJOIN("_",TRUE,C197,"node",D197,M197,N197)</f>
        <v>s1_node_economy_9_2</v>
      </c>
      <c r="B197" s="0" t="s">
        <v>0</v>
      </c>
      <c r="C197" s="0" t="s">
        <v>26</v>
      </c>
      <c r="D197" s="0" t="s">
        <v>103</v>
      </c>
      <c r="E197" s="0" t="str">
        <f>"s1_node_"&amp;D197&amp;"_name"</f>
        <v>s1_node_economy_name</v>
      </c>
      <c r="F197" s="10" t="str">
        <f>"s1_node_"&amp;D197&amp;"_desc"</f>
        <v>s1_node_economy_desc</v>
      </c>
      <c r="G197" s="0" t="s">
        <v>421</v>
      </c>
      <c r="H197" s="0">
        <v>1</v>
      </c>
      <c r="I197" s="0" t="s">
        <v>27</v>
      </c>
      <c r="J197" s="0" t="s">
        <v>433</v>
      </c>
      <c r="K197" s="0">
        <v>400</v>
      </c>
      <c r="L197" s="10">
        <v>3</v>
      </c>
      <c r="M197" s="0">
        <v>9</v>
      </c>
      <c r="N197" s="0">
        <v>2</v>
      </c>
      <c r="O197" s="10" t="s">
        <v>434</v>
      </c>
      <c r="P197" s="10"/>
      <c r="T197" s="0" t="str">
        <f>_xlfn.TEXTJOIN("_",TRUE,C197,"node_eff",D197,M197,N197)</f>
        <v>s1_node_eff_economy_9_2</v>
      </c>
    </row>
    <row r="198" spans="1:20" x14ac:dyDescent="0.45">
      <c r="A198" s="0" t="str">
        <f>_xlfn.TEXTJOIN("_",TRUE,C198,"node",D198,M198,N198)</f>
        <v>s1_node_economy_9_6</v>
      </c>
      <c r="B198" s="0" t="s">
        <v>0</v>
      </c>
      <c r="C198" s="0" t="s">
        <v>26</v>
      </c>
      <c r="D198" s="0" t="s">
        <v>103</v>
      </c>
      <c r="E198" s="0" t="str">
        <f>"s1_node_"&amp;D198&amp;"_name"</f>
        <v>s1_node_economy_name</v>
      </c>
      <c r="F198" s="10" t="str">
        <f>"s1_node_"&amp;D198&amp;"_desc"</f>
        <v>s1_node_economy_desc</v>
      </c>
      <c r="G198" s="0" t="s">
        <v>417</v>
      </c>
      <c r="H198" s="0">
        <v>1</v>
      </c>
      <c r="I198" s="0" t="s">
        <v>27</v>
      </c>
      <c r="J198" s="0" t="s">
        <v>433</v>
      </c>
      <c r="K198" s="0">
        <v>400</v>
      </c>
      <c r="L198" s="10">
        <v>3</v>
      </c>
      <c r="M198" s="0">
        <v>9</v>
      </c>
      <c r="N198" s="0">
        <v>6</v>
      </c>
      <c r="O198" s="10" t="s">
        <v>435</v>
      </c>
      <c r="P198" s="10"/>
      <c r="T198" s="0" t="str">
        <f>_xlfn.TEXTJOIN("_",TRUE,C198,"node_eff",D198,M198,N198)</f>
        <v>s1_node_eff_economy_9_6</v>
      </c>
    </row>
    <row r="199" spans="1:20" x14ac:dyDescent="0.45">
      <c r="A199" s="0" t="str">
        <f>_xlfn.TEXTJOIN("_",TRUE,C199,"node",D199,M199,N199)</f>
        <v>s1_node_economy_10_2</v>
      </c>
      <c r="B199" s="0" t="s">
        <v>0</v>
      </c>
      <c r="C199" s="0" t="s">
        <v>26</v>
      </c>
      <c r="D199" s="0" t="s">
        <v>103</v>
      </c>
      <c r="E199" s="0" t="str">
        <f>"s1_node_"&amp;D199&amp;"_name"</f>
        <v>s1_node_economy_name</v>
      </c>
      <c r="F199" s="10" t="str">
        <f>"s1_node_"&amp;D199&amp;"_desc"</f>
        <v>s1_node_economy_desc</v>
      </c>
      <c r="G199" s="0" t="s">
        <v>417</v>
      </c>
      <c r="H199" s="0">
        <v>1</v>
      </c>
      <c r="I199" s="0" t="s">
        <v>27</v>
      </c>
      <c r="J199" s="0" t="s">
        <v>165</v>
      </c>
      <c r="K199" s="0">
        <v>430</v>
      </c>
      <c r="L199" s="10">
        <v>3</v>
      </c>
      <c r="M199" s="0">
        <v>10</v>
      </c>
      <c r="N199" s="0">
        <v>2</v>
      </c>
      <c r="O199" s="10" t="s">
        <v>436</v>
      </c>
      <c r="P199" s="10"/>
      <c r="T199" s="0" t="str">
        <f>_xlfn.TEXTJOIN("_",TRUE,C199,"node_eff",D199,M199,N199)</f>
        <v>s1_node_eff_economy_10_2</v>
      </c>
    </row>
    <row r="200" spans="1:20" x14ac:dyDescent="0.45">
      <c r="A200" s="0" t="str">
        <f>_xlfn.TEXTJOIN("_",TRUE,C200,"node",D200,M200,N200)</f>
        <v>s1_node_economy_10_6</v>
      </c>
      <c r="B200" s="0" t="s">
        <v>0</v>
      </c>
      <c r="C200" s="0" t="s">
        <v>26</v>
      </c>
      <c r="D200" s="0" t="s">
        <v>103</v>
      </c>
      <c r="E200" s="0" t="str">
        <f>"s1_node_"&amp;D200&amp;"_name"</f>
        <v>s1_node_economy_name</v>
      </c>
      <c r="F200" s="10" t="str">
        <f>"s1_node_"&amp;D200&amp;"_desc"</f>
        <v>s1_node_economy_desc</v>
      </c>
      <c r="G200" s="0" t="s">
        <v>417</v>
      </c>
      <c r="H200" s="0">
        <v>1</v>
      </c>
      <c r="I200" s="0" t="s">
        <v>27</v>
      </c>
      <c r="J200" s="0" t="s">
        <v>165</v>
      </c>
      <c r="K200" s="0">
        <v>430</v>
      </c>
      <c r="L200" s="10">
        <v>3</v>
      </c>
      <c r="M200" s="0">
        <v>10</v>
      </c>
      <c r="N200" s="0">
        <v>6</v>
      </c>
      <c r="O200" s="10" t="s">
        <v>437</v>
      </c>
      <c r="P200" s="10"/>
      <c r="T200" s="0" t="str">
        <f>_xlfn.TEXTJOIN("_",TRUE,C200,"node_eff",D200,M200,N200)</f>
        <v>s1_node_eff_economy_10_6</v>
      </c>
    </row>
    <row r="201" spans="1:20" x14ac:dyDescent="0.45">
      <c r="A201" s="0" t="str">
        <f>_xlfn.TEXTJOIN("_",TRUE,C201,"node",D201,M201,N201)</f>
        <v>s1_node_economy_11_4</v>
      </c>
      <c r="B201" s="0" t="s">
        <v>0</v>
      </c>
      <c r="C201" s="0" t="s">
        <v>26</v>
      </c>
      <c r="D201" s="0" t="s">
        <v>103</v>
      </c>
      <c r="E201" s="0" t="str">
        <f>"s1_node_"&amp;D201&amp;"_name"</f>
        <v>s1_node_economy_name</v>
      </c>
      <c r="F201" s="10" t="str">
        <f>"s1_node_"&amp;D201&amp;"_desc"</f>
        <v>s1_node_economy_desc</v>
      </c>
      <c r="G201" s="0" t="s">
        <v>417</v>
      </c>
      <c r="H201" s="0">
        <v>1</v>
      </c>
      <c r="I201" s="0" t="s">
        <v>27</v>
      </c>
      <c r="J201" s="0" t="s">
        <v>438</v>
      </c>
      <c r="K201" s="0">
        <v>470</v>
      </c>
      <c r="L201" s="10">
        <v>3</v>
      </c>
      <c r="M201" s="0">
        <v>11</v>
      </c>
      <c r="N201" s="0">
        <v>4</v>
      </c>
      <c r="O201" s="10" t="s">
        <v>439</v>
      </c>
      <c r="P201" s="10" t="s">
        <v>440</v>
      </c>
      <c r="T201" s="0" t="str">
        <f>_xlfn.TEXTJOIN("_",TRUE,C201,"node_eff",D201,M201,N201)</f>
        <v>s1_node_eff_economy_11_4</v>
      </c>
    </row>
    <row r="202" spans="1:20" x14ac:dyDescent="0.45">
      <c r="A202" s="0" t="str">
        <f>_xlfn.TEXTJOIN("_",TRUE,C202,"node",D202,M202,N202)</f>
        <v>s1_node_economy_12_2</v>
      </c>
      <c r="B202" s="0" t="s">
        <v>0</v>
      </c>
      <c r="C202" s="0" t="s">
        <v>26</v>
      </c>
      <c r="D202" s="0" t="s">
        <v>103</v>
      </c>
      <c r="E202" s="0" t="str">
        <f>"s1_node_"&amp;D202&amp;"_name"</f>
        <v>s1_node_economy_name</v>
      </c>
      <c r="F202" s="10" t="str">
        <f>"s1_node_"&amp;D202&amp;"_desc"</f>
        <v>s1_node_economy_desc</v>
      </c>
      <c r="G202" s="0" t="s">
        <v>421</v>
      </c>
      <c r="H202" s="0">
        <v>1</v>
      </c>
      <c r="I202" s="0" t="s">
        <v>27</v>
      </c>
      <c r="J202" s="0" t="s">
        <v>170</v>
      </c>
      <c r="K202" s="0">
        <v>500</v>
      </c>
      <c r="L202" s="10">
        <v>3</v>
      </c>
      <c r="M202" s="0">
        <v>12</v>
      </c>
      <c r="N202" s="0">
        <v>2</v>
      </c>
      <c r="O202" s="10" t="s">
        <v>441</v>
      </c>
      <c r="P202" s="10"/>
      <c r="T202" s="0" t="str">
        <f>_xlfn.TEXTJOIN("_",TRUE,C202,"node_eff",D202,M202,N202)</f>
        <v>s1_node_eff_economy_12_2</v>
      </c>
    </row>
    <row r="203" spans="1:20" x14ac:dyDescent="0.45">
      <c r="A203" s="0" t="str">
        <f>_xlfn.TEXTJOIN("_",TRUE,C203,"node",D203,M203,N203)</f>
        <v>s1_node_economy_12_6</v>
      </c>
      <c r="B203" s="0" t="s">
        <v>0</v>
      </c>
      <c r="C203" s="0" t="s">
        <v>26</v>
      </c>
      <c r="D203" s="0" t="s">
        <v>103</v>
      </c>
      <c r="E203" s="0" t="str">
        <f>"s1_node_"&amp;D203&amp;"_name"</f>
        <v>s1_node_economy_name</v>
      </c>
      <c r="F203" s="10" t="str">
        <f>"s1_node_"&amp;D203&amp;"_desc"</f>
        <v>s1_node_economy_desc</v>
      </c>
      <c r="G203" s="0" t="s">
        <v>417</v>
      </c>
      <c r="H203" s="0">
        <v>1</v>
      </c>
      <c r="I203" s="0" t="s">
        <v>27</v>
      </c>
      <c r="J203" s="0" t="s">
        <v>170</v>
      </c>
      <c r="K203" s="0">
        <v>500</v>
      </c>
      <c r="L203" s="10">
        <v>3</v>
      </c>
      <c r="M203" s="0">
        <v>12</v>
      </c>
      <c r="N203" s="0">
        <v>6</v>
      </c>
      <c r="O203" s="10" t="s">
        <v>441</v>
      </c>
      <c r="P203" s="10"/>
      <c r="T203" s="0" t="str">
        <f>_xlfn.TEXTJOIN("_",TRUE,C203,"node_eff",D203,M203,N203)</f>
        <v>s1_node_eff_economy_12_6</v>
      </c>
    </row>
    <row r="204" spans="1:20" x14ac:dyDescent="0.45">
      <c r="A204" s="0" t="str">
        <f>_xlfn.TEXTJOIN("_",TRUE,C204,"node",D204,M204,N204)</f>
        <v>s1_node_economy_13_2</v>
      </c>
      <c r="B204" s="0" t="s">
        <v>0</v>
      </c>
      <c r="C204" s="0" t="s">
        <v>26</v>
      </c>
      <c r="D204" s="0" t="s">
        <v>103</v>
      </c>
      <c r="E204" s="0" t="str">
        <f>"s1_node_"&amp;D204&amp;"_name"</f>
        <v>s1_node_economy_name</v>
      </c>
      <c r="F204" s="10" t="str">
        <f>"s1_node_"&amp;D204&amp;"_desc"</f>
        <v>s1_node_economy_desc</v>
      </c>
      <c r="G204" s="0" t="s">
        <v>417</v>
      </c>
      <c r="H204" s="0">
        <v>1</v>
      </c>
      <c r="I204" s="0" t="s">
        <v>27</v>
      </c>
      <c r="J204" s="0" t="s">
        <v>442</v>
      </c>
      <c r="K204" s="0">
        <v>540</v>
      </c>
      <c r="L204" s="10">
        <v>3</v>
      </c>
      <c r="M204" s="0">
        <v>13</v>
      </c>
      <c r="N204" s="0">
        <v>2</v>
      </c>
      <c r="O204" s="10" t="s">
        <v>443</v>
      </c>
      <c r="P204" s="10"/>
      <c r="T204" s="0" t="str">
        <f>_xlfn.TEXTJOIN("_",TRUE,C204,"node_eff",D204,M204,N204)</f>
        <v>s1_node_eff_economy_13_2</v>
      </c>
    </row>
    <row r="205" spans="1:20" x14ac:dyDescent="0.45">
      <c r="A205" s="0" t="str">
        <f>_xlfn.TEXTJOIN("_",TRUE,C205,"node",D205,M205,N205)</f>
        <v>s1_node_economy_13_6</v>
      </c>
      <c r="B205" s="0" t="s">
        <v>0</v>
      </c>
      <c r="C205" s="0" t="s">
        <v>26</v>
      </c>
      <c r="D205" s="0" t="s">
        <v>103</v>
      </c>
      <c r="E205" s="0" t="str">
        <f>"s1_node_"&amp;D205&amp;"_name"</f>
        <v>s1_node_economy_name</v>
      </c>
      <c r="F205" s="10" t="str">
        <f>"s1_node_"&amp;D205&amp;"_desc"</f>
        <v>s1_node_economy_desc</v>
      </c>
      <c r="G205" s="0" t="s">
        <v>417</v>
      </c>
      <c r="H205" s="0">
        <v>1</v>
      </c>
      <c r="I205" s="0" t="s">
        <v>27</v>
      </c>
      <c r="J205" s="0" t="s">
        <v>442</v>
      </c>
      <c r="K205" s="0">
        <v>540</v>
      </c>
      <c r="L205" s="10">
        <v>3</v>
      </c>
      <c r="M205" s="0">
        <v>13</v>
      </c>
      <c r="N205" s="0">
        <v>6</v>
      </c>
      <c r="O205" s="10" t="s">
        <v>444</v>
      </c>
      <c r="P205" s="10"/>
      <c r="T205" s="0" t="str">
        <f>_xlfn.TEXTJOIN("_",TRUE,C205,"node_eff",D205,M205,N205)</f>
        <v>s1_node_eff_economy_13_6</v>
      </c>
    </row>
    <row r="206" spans="1:20" x14ac:dyDescent="0.45">
      <c r="A206" s="0" t="str">
        <f>_xlfn.TEXTJOIN("_",TRUE,C206,"node",D206,M206,N206)</f>
        <v>s1_node_economy_14_2</v>
      </c>
      <c r="B206" s="0" t="s">
        <v>0</v>
      </c>
      <c r="C206" s="0" t="s">
        <v>26</v>
      </c>
      <c r="D206" s="0" t="s">
        <v>103</v>
      </c>
      <c r="E206" s="0" t="str">
        <f>"s1_node_"&amp;D206&amp;"_name"</f>
        <v>s1_node_economy_name</v>
      </c>
      <c r="F206" s="10" t="str">
        <f>"s1_node_"&amp;D206&amp;"_desc"</f>
        <v>s1_node_economy_desc</v>
      </c>
      <c r="G206" s="0" t="s">
        <v>417</v>
      </c>
      <c r="H206" s="0">
        <v>1</v>
      </c>
      <c r="I206" s="0" t="s">
        <v>27</v>
      </c>
      <c r="J206" s="0" t="s">
        <v>445</v>
      </c>
      <c r="K206" s="0">
        <v>580</v>
      </c>
      <c r="L206" s="10">
        <v>3</v>
      </c>
      <c r="M206" s="0">
        <v>14</v>
      </c>
      <c r="N206" s="0">
        <v>2</v>
      </c>
      <c r="O206" s="10" t="s">
        <v>446</v>
      </c>
      <c r="P206" s="10"/>
      <c r="T206" s="0" t="str">
        <f>_xlfn.TEXTJOIN("_",TRUE,C206,"node_eff",D206,M206,N206)</f>
        <v>s1_node_eff_economy_14_2</v>
      </c>
    </row>
    <row r="207" spans="1:20" x14ac:dyDescent="0.45">
      <c r="A207" s="0" t="str">
        <f>_xlfn.TEXTJOIN("_",TRUE,C207,"node",D207,M207,N207)</f>
        <v>s1_node_economy_14_6</v>
      </c>
      <c r="B207" s="0" t="s">
        <v>0</v>
      </c>
      <c r="C207" s="0" t="s">
        <v>26</v>
      </c>
      <c r="D207" s="0" t="s">
        <v>103</v>
      </c>
      <c r="E207" s="0" t="str">
        <f>"s1_node_"&amp;D207&amp;"_name"</f>
        <v>s1_node_economy_name</v>
      </c>
      <c r="F207" s="10" t="str">
        <f>"s1_node_"&amp;D207&amp;"_desc"</f>
        <v>s1_node_economy_desc</v>
      </c>
      <c r="G207" s="0" t="s">
        <v>417</v>
      </c>
      <c r="H207" s="0">
        <v>1</v>
      </c>
      <c r="I207" s="0" t="s">
        <v>27</v>
      </c>
      <c r="J207" s="0" t="s">
        <v>445</v>
      </c>
      <c r="K207" s="0">
        <v>580</v>
      </c>
      <c r="L207" s="10">
        <v>3</v>
      </c>
      <c r="M207" s="0">
        <v>14</v>
      </c>
      <c r="N207" s="0">
        <v>6</v>
      </c>
      <c r="O207" s="10" t="s">
        <v>447</v>
      </c>
      <c r="P207" s="10"/>
      <c r="T207" s="0" t="str">
        <f>_xlfn.TEXTJOIN("_",TRUE,C207,"node_eff",D207,M207,N207)</f>
        <v>s1_node_eff_economy_14_6</v>
      </c>
    </row>
    <row r="208" spans="1:20" x14ac:dyDescent="0.45">
      <c r="A208" s="0" t="str">
        <f>_xlfn.TEXTJOIN("_",TRUE,C208,"node",D208,M208,N208)</f>
        <v>s1_node_economy_15_2</v>
      </c>
      <c r="B208" s="0" t="s">
        <v>0</v>
      </c>
      <c r="C208" s="0" t="s">
        <v>26</v>
      </c>
      <c r="D208" s="0" t="s">
        <v>103</v>
      </c>
      <c r="E208" s="0" t="str">
        <f>"s1_node_"&amp;D208&amp;"_name"</f>
        <v>s1_node_economy_name</v>
      </c>
      <c r="F208" s="10" t="str">
        <f>"s1_node_"&amp;D208&amp;"_desc"</f>
        <v>s1_node_economy_desc</v>
      </c>
      <c r="G208" s="0" t="s">
        <v>417</v>
      </c>
      <c r="H208" s="0">
        <v>1</v>
      </c>
      <c r="I208" s="0" t="s">
        <v>27</v>
      </c>
      <c r="J208" s="0" t="s">
        <v>448</v>
      </c>
      <c r="K208" s="0">
        <v>610</v>
      </c>
      <c r="L208" s="10">
        <v>3</v>
      </c>
      <c r="M208" s="0">
        <v>15</v>
      </c>
      <c r="N208" s="0">
        <v>2</v>
      </c>
      <c r="O208" s="10" t="s">
        <v>449</v>
      </c>
      <c r="P208" s="10"/>
      <c r="T208" s="0" t="str">
        <f>_xlfn.TEXTJOIN("_",TRUE,C208,"node_eff",D208,M208,N208)</f>
        <v>s1_node_eff_economy_15_2</v>
      </c>
    </row>
    <row r="209" spans="1:20" x14ac:dyDescent="0.45">
      <c r="A209" s="0" t="str">
        <f>_xlfn.TEXTJOIN("_",TRUE,C209,"node",D209,M209,N209)</f>
        <v>s1_node_economy_15_6</v>
      </c>
      <c r="B209" s="0" t="s">
        <v>0</v>
      </c>
      <c r="C209" s="0" t="s">
        <v>26</v>
      </c>
      <c r="D209" s="0" t="s">
        <v>103</v>
      </c>
      <c r="E209" s="0" t="str">
        <f>"s1_node_"&amp;D209&amp;"_name"</f>
        <v>s1_node_economy_name</v>
      </c>
      <c r="F209" s="10" t="str">
        <f>"s1_node_"&amp;D209&amp;"_desc"</f>
        <v>s1_node_economy_desc</v>
      </c>
      <c r="G209" s="0" t="s">
        <v>417</v>
      </c>
      <c r="H209" s="0">
        <v>1</v>
      </c>
      <c r="I209" s="0" t="s">
        <v>27</v>
      </c>
      <c r="J209" s="0" t="s">
        <v>448</v>
      </c>
      <c r="K209" s="0">
        <v>610</v>
      </c>
      <c r="L209" s="10">
        <v>3</v>
      </c>
      <c r="M209" s="0">
        <v>15</v>
      </c>
      <c r="N209" s="0">
        <v>6</v>
      </c>
      <c r="O209" s="10" t="s">
        <v>450</v>
      </c>
      <c r="P209" s="10"/>
      <c r="T209" s="0" t="str">
        <f>_xlfn.TEXTJOIN("_",TRUE,C209,"node_eff",D209,M209,N209)</f>
        <v>s1_node_eff_economy_15_6</v>
      </c>
    </row>
    <row r="210" spans="1:20" x14ac:dyDescent="0.45">
      <c r="A210" s="0" t="str">
        <f>_xlfn.TEXTJOIN("_",TRUE,C210,"node",D210,M210,N210)</f>
        <v>s1_node_economy_16_4</v>
      </c>
      <c r="B210" s="0" t="s">
        <v>0</v>
      </c>
      <c r="C210" s="0" t="s">
        <v>26</v>
      </c>
      <c r="D210" s="0" t="s">
        <v>103</v>
      </c>
      <c r="E210" s="0" t="str">
        <f>"s1_node_"&amp;D210&amp;"_name"</f>
        <v>s1_node_economy_name</v>
      </c>
      <c r="F210" s="10" t="str">
        <f>"s1_node_"&amp;D210&amp;"_desc"</f>
        <v>s1_node_economy_desc</v>
      </c>
      <c r="G210" s="0" t="s">
        <v>417</v>
      </c>
      <c r="H210" s="0">
        <v>1</v>
      </c>
      <c r="I210" s="0" t="s">
        <v>27</v>
      </c>
      <c r="J210" s="0" t="s">
        <v>451</v>
      </c>
      <c r="K210" s="0">
        <v>650</v>
      </c>
      <c r="L210" s="10">
        <v>3</v>
      </c>
      <c r="M210" s="0">
        <v>16</v>
      </c>
      <c r="N210" s="0">
        <v>4</v>
      </c>
      <c r="O210" s="10" t="s">
        <v>452</v>
      </c>
      <c r="P210" s="10" t="s">
        <v>453</v>
      </c>
      <c r="T210" s="0" t="str">
        <f>_xlfn.TEXTJOIN("_",TRUE,C210,"node_eff",D210,M210,N210)</f>
        <v>s1_node_eff_economy_16_4</v>
      </c>
    </row>
    <row r="211" spans="1:20" x14ac:dyDescent="0.45">
      <c r="A211" s="0" t="str">
        <f>_xlfn.TEXTJOIN("_",TRUE,C211,"node",D211,M211,N211)</f>
        <v>s1_node_economy_17_2</v>
      </c>
      <c r="B211" s="0" t="s">
        <v>0</v>
      </c>
      <c r="C211" s="0" t="s">
        <v>26</v>
      </c>
      <c r="D211" s="0" t="s">
        <v>103</v>
      </c>
      <c r="E211" s="0" t="str">
        <f>"s1_node_"&amp;D211&amp;"_name"</f>
        <v>s1_node_economy_name</v>
      </c>
      <c r="F211" s="10" t="str">
        <f>"s1_node_"&amp;D211&amp;"_desc"</f>
        <v>s1_node_economy_desc</v>
      </c>
      <c r="G211" s="0" t="s">
        <v>417</v>
      </c>
      <c r="H211" s="0">
        <v>1</v>
      </c>
      <c r="I211" s="0" t="s">
        <v>27</v>
      </c>
      <c r="J211" s="0" t="s">
        <v>454</v>
      </c>
      <c r="K211" s="0">
        <v>680</v>
      </c>
      <c r="L211" s="10">
        <v>3</v>
      </c>
      <c r="M211" s="0">
        <v>17</v>
      </c>
      <c r="N211" s="0">
        <v>2</v>
      </c>
      <c r="O211" s="10" t="s">
        <v>455</v>
      </c>
      <c r="P211" s="10"/>
      <c r="T211" s="0" t="str">
        <f>_xlfn.TEXTJOIN("_",TRUE,C211,"node_eff",D211,M211,N211)</f>
        <v>s1_node_eff_economy_17_2</v>
      </c>
    </row>
    <row r="212" spans="1:20" x14ac:dyDescent="0.45">
      <c r="A212" s="0" t="str">
        <f>_xlfn.TEXTJOIN("_",TRUE,C212,"node",D212,M212,N212)</f>
        <v>s1_node_economy_17_6</v>
      </c>
      <c r="B212" s="0" t="s">
        <v>0</v>
      </c>
      <c r="C212" s="0" t="s">
        <v>26</v>
      </c>
      <c r="D212" s="0" t="s">
        <v>103</v>
      </c>
      <c r="E212" s="0" t="str">
        <f>"s1_node_"&amp;D212&amp;"_name"</f>
        <v>s1_node_economy_name</v>
      </c>
      <c r="F212" s="10" t="str">
        <f>"s1_node_"&amp;D212&amp;"_desc"</f>
        <v>s1_node_economy_desc</v>
      </c>
      <c r="G212" s="0" t="s">
        <v>417</v>
      </c>
      <c r="H212" s="0">
        <v>1</v>
      </c>
      <c r="I212" s="0" t="s">
        <v>27</v>
      </c>
      <c r="J212" s="0" t="s">
        <v>454</v>
      </c>
      <c r="K212" s="0">
        <v>680</v>
      </c>
      <c r="L212" s="10">
        <v>3</v>
      </c>
      <c r="M212" s="0">
        <v>17</v>
      </c>
      <c r="N212" s="0">
        <v>6</v>
      </c>
      <c r="O212" s="10" t="s">
        <v>455</v>
      </c>
      <c r="P212" s="10"/>
      <c r="T212" s="0" t="str">
        <f>_xlfn.TEXTJOIN("_",TRUE,C212,"node_eff",D212,M212,N212)</f>
        <v>s1_node_eff_economy_17_6</v>
      </c>
    </row>
    <row r="213" spans="1:20" x14ac:dyDescent="0.45">
      <c r="A213" s="0" t="str">
        <f>_xlfn.TEXTJOIN("_",TRUE,C213,"node",D213,M213,N213)</f>
        <v>s1_node_economy_18_2</v>
      </c>
      <c r="B213" s="0" t="s">
        <v>0</v>
      </c>
      <c r="C213" s="0" t="s">
        <v>26</v>
      </c>
      <c r="D213" s="0" t="s">
        <v>103</v>
      </c>
      <c r="E213" s="0" t="str">
        <f>"s1_node_"&amp;D213&amp;"_name"</f>
        <v>s1_node_economy_name</v>
      </c>
      <c r="F213" s="10" t="str">
        <f>"s1_node_"&amp;D213&amp;"_desc"</f>
        <v>s1_node_economy_desc</v>
      </c>
      <c r="G213" s="0" t="s">
        <v>417</v>
      </c>
      <c r="H213" s="0">
        <v>1</v>
      </c>
      <c r="I213" s="0" t="s">
        <v>27</v>
      </c>
      <c r="J213" s="0" t="s">
        <v>456</v>
      </c>
      <c r="K213" s="0">
        <v>720</v>
      </c>
      <c r="L213" s="10">
        <v>3</v>
      </c>
      <c r="M213" s="0">
        <v>18</v>
      </c>
      <c r="N213" s="0">
        <v>2</v>
      </c>
      <c r="O213" s="10" t="s">
        <v>457</v>
      </c>
      <c r="P213" s="10"/>
      <c r="T213" s="0" t="str">
        <f>_xlfn.TEXTJOIN("_",TRUE,C213,"node_eff",D213,M213,N213)</f>
        <v>s1_node_eff_economy_18_2</v>
      </c>
    </row>
    <row r="214" spans="1:20" x14ac:dyDescent="0.45">
      <c r="A214" s="0" t="str">
        <f>_xlfn.TEXTJOIN("_",TRUE,C214,"node",D214,M214,N214)</f>
        <v>s1_node_economy_18_6</v>
      </c>
      <c r="B214" s="0" t="s">
        <v>0</v>
      </c>
      <c r="C214" s="0" t="s">
        <v>26</v>
      </c>
      <c r="D214" s="0" t="s">
        <v>103</v>
      </c>
      <c r="E214" s="0" t="str">
        <f>"s1_node_"&amp;D214&amp;"_name"</f>
        <v>s1_node_economy_name</v>
      </c>
      <c r="F214" s="10" t="str">
        <f>"s1_node_"&amp;D214&amp;"_desc"</f>
        <v>s1_node_economy_desc</v>
      </c>
      <c r="G214" s="0" t="s">
        <v>417</v>
      </c>
      <c r="H214" s="0">
        <v>1</v>
      </c>
      <c r="I214" s="0" t="s">
        <v>27</v>
      </c>
      <c r="J214" s="0" t="s">
        <v>456</v>
      </c>
      <c r="K214" s="0">
        <v>720</v>
      </c>
      <c r="L214" s="10">
        <v>3</v>
      </c>
      <c r="M214" s="0">
        <v>18</v>
      </c>
      <c r="N214" s="0">
        <v>6</v>
      </c>
      <c r="O214" s="10" t="s">
        <v>458</v>
      </c>
      <c r="P214" s="10"/>
      <c r="T214" s="0" t="str">
        <f>_xlfn.TEXTJOIN("_",TRUE,C214,"node_eff",D214,M214,N214)</f>
        <v>s1_node_eff_economy_18_6</v>
      </c>
    </row>
    <row r="215" spans="1:20" x14ac:dyDescent="0.45">
      <c r="A215" s="0" t="str">
        <f>_xlfn.TEXTJOIN("_",TRUE,C215,"node",D215,M215,N215)</f>
        <v>s1_node_economy_19_2</v>
      </c>
      <c r="B215" s="0" t="s">
        <v>0</v>
      </c>
      <c r="C215" s="0" t="s">
        <v>26</v>
      </c>
      <c r="D215" s="0" t="s">
        <v>103</v>
      </c>
      <c r="E215" s="0" t="str">
        <f>"s1_node_"&amp;D215&amp;"_name"</f>
        <v>s1_node_economy_name</v>
      </c>
      <c r="F215" s="10" t="str">
        <f>"s1_node_"&amp;D215&amp;"_desc"</f>
        <v>s1_node_economy_desc</v>
      </c>
      <c r="G215" s="0" t="s">
        <v>417</v>
      </c>
      <c r="H215" s="0">
        <v>1</v>
      </c>
      <c r="I215" s="0" t="s">
        <v>27</v>
      </c>
      <c r="J215" s="0" t="s">
        <v>459</v>
      </c>
      <c r="K215" s="0">
        <v>750</v>
      </c>
      <c r="L215" s="10">
        <v>3</v>
      </c>
      <c r="M215" s="0">
        <v>19</v>
      </c>
      <c r="N215" s="0">
        <v>2</v>
      </c>
      <c r="O215" s="10" t="s">
        <v>460</v>
      </c>
      <c r="P215" s="10"/>
      <c r="T215" s="0" t="str">
        <f>_xlfn.TEXTJOIN("_",TRUE,C215,"node_eff",D215,M215,N215)</f>
        <v>s1_node_eff_economy_19_2</v>
      </c>
    </row>
    <row r="216" spans="1:20" x14ac:dyDescent="0.45">
      <c r="A216" s="0" t="str">
        <f>_xlfn.TEXTJOIN("_",TRUE,C216,"node",D216,M216,N216)</f>
        <v>s1_node_economy_19_6</v>
      </c>
      <c r="B216" s="0" t="s">
        <v>0</v>
      </c>
      <c r="C216" s="0" t="s">
        <v>26</v>
      </c>
      <c r="D216" s="0" t="s">
        <v>103</v>
      </c>
      <c r="E216" s="0" t="str">
        <f>"s1_node_"&amp;D216&amp;"_name"</f>
        <v>s1_node_economy_name</v>
      </c>
      <c r="F216" s="10" t="str">
        <f>"s1_node_"&amp;D216&amp;"_desc"</f>
        <v>s1_node_economy_desc</v>
      </c>
      <c r="G216" s="0" t="s">
        <v>421</v>
      </c>
      <c r="H216" s="0">
        <v>1</v>
      </c>
      <c r="I216" s="0" t="s">
        <v>27</v>
      </c>
      <c r="J216" s="0" t="s">
        <v>459</v>
      </c>
      <c r="K216" s="0">
        <v>750</v>
      </c>
      <c r="L216" s="10">
        <v>3</v>
      </c>
      <c r="M216" s="0">
        <v>19</v>
      </c>
      <c r="N216" s="0">
        <v>6</v>
      </c>
      <c r="O216" s="10" t="s">
        <v>461</v>
      </c>
      <c r="P216" s="10"/>
      <c r="T216" s="0" t="str">
        <f>_xlfn.TEXTJOIN("_",TRUE,C216,"node_eff",D216,M216,N216)</f>
        <v>s1_node_eff_economy_19_6</v>
      </c>
    </row>
    <row r="217" spans="1:20" x14ac:dyDescent="0.45">
      <c r="A217" s="0" t="str">
        <f>_xlfn.TEXTJOIN("_",TRUE,C217,"node",D217,M217,N217)</f>
        <v>s1_node_economy_20_2</v>
      </c>
      <c r="B217" s="0" t="s">
        <v>0</v>
      </c>
      <c r="C217" s="0" t="s">
        <v>26</v>
      </c>
      <c r="D217" s="0" t="s">
        <v>103</v>
      </c>
      <c r="E217" s="0" t="str">
        <f>"s1_node_"&amp;D217&amp;"_name"</f>
        <v>s1_node_economy_name</v>
      </c>
      <c r="F217" s="10" t="str">
        <f>"s1_node_"&amp;D217&amp;"_desc"</f>
        <v>s1_node_economy_desc</v>
      </c>
      <c r="G217" s="0" t="s">
        <v>417</v>
      </c>
      <c r="H217" s="0">
        <v>1</v>
      </c>
      <c r="I217" s="0" t="s">
        <v>27</v>
      </c>
      <c r="J217" s="0" t="s">
        <v>462</v>
      </c>
      <c r="K217" s="0">
        <v>790</v>
      </c>
      <c r="L217" s="10">
        <v>3</v>
      </c>
      <c r="M217" s="0">
        <v>20</v>
      </c>
      <c r="N217" s="0">
        <v>2</v>
      </c>
      <c r="O217" s="10" t="s">
        <v>463</v>
      </c>
      <c r="P217" s="10"/>
      <c r="T217" s="0" t="str">
        <f>_xlfn.TEXTJOIN("_",TRUE,C217,"node_eff",D217,M217,N217)</f>
        <v>s1_node_eff_economy_20_2</v>
      </c>
    </row>
    <row r="218" spans="1:20" x14ac:dyDescent="0.45">
      <c r="A218" s="0" t="str">
        <f>_xlfn.TEXTJOIN("_",TRUE,C218,"node",D218,M218,N218)</f>
        <v>s1_node_economy_20_6</v>
      </c>
      <c r="B218" s="0" t="s">
        <v>0</v>
      </c>
      <c r="C218" s="0" t="s">
        <v>26</v>
      </c>
      <c r="D218" s="0" t="s">
        <v>103</v>
      </c>
      <c r="E218" s="0" t="str">
        <f>"s1_node_"&amp;D218&amp;"_name"</f>
        <v>s1_node_economy_name</v>
      </c>
      <c r="F218" s="10" t="str">
        <f>"s1_node_"&amp;D218&amp;"_desc"</f>
        <v>s1_node_economy_desc</v>
      </c>
      <c r="G218" s="0" t="s">
        <v>417</v>
      </c>
      <c r="H218" s="0">
        <v>1</v>
      </c>
      <c r="I218" s="0" t="s">
        <v>27</v>
      </c>
      <c r="J218" s="0" t="s">
        <v>462</v>
      </c>
      <c r="K218" s="0">
        <v>790</v>
      </c>
      <c r="L218" s="10">
        <v>3</v>
      </c>
      <c r="M218" s="0">
        <v>20</v>
      </c>
      <c r="N218" s="0">
        <v>6</v>
      </c>
      <c r="O218" s="10" t="s">
        <v>464</v>
      </c>
      <c r="P218" s="10"/>
      <c r="T218" s="0" t="str">
        <f>_xlfn.TEXTJOIN("_",TRUE,C218,"node_eff",D218,M218,N218)</f>
        <v>s1_node_eff_economy_20_6</v>
      </c>
    </row>
    <row r="219" spans="1:20" x14ac:dyDescent="0.45">
      <c r="A219" s="0" t="str">
        <f>_xlfn.TEXTJOIN("_",TRUE,C219,"node",D219,M219,N219)</f>
        <v>s1_node_economy_21_4</v>
      </c>
      <c r="B219" s="0" t="s">
        <v>0</v>
      </c>
      <c r="C219" s="0" t="s">
        <v>26</v>
      </c>
      <c r="D219" s="0" t="s">
        <v>103</v>
      </c>
      <c r="E219" s="0" t="str">
        <f>"s1_node_"&amp;D219&amp;"_name"</f>
        <v>s1_node_economy_name</v>
      </c>
      <c r="F219" s="10" t="str">
        <f>"s1_node_"&amp;D219&amp;"_desc"</f>
        <v>s1_node_economy_desc</v>
      </c>
      <c r="G219" s="0" t="s">
        <v>417</v>
      </c>
      <c r="H219" s="0">
        <v>2</v>
      </c>
      <c r="I219" s="0" t="s">
        <v>27</v>
      </c>
      <c r="J219" s="0" t="s">
        <v>465</v>
      </c>
      <c r="K219" s="0">
        <v>830</v>
      </c>
      <c r="L219" s="10">
        <v>3</v>
      </c>
      <c r="M219" s="0">
        <v>21</v>
      </c>
      <c r="N219" s="0">
        <v>4</v>
      </c>
      <c r="O219" s="10" t="s">
        <v>466</v>
      </c>
      <c r="P219" s="10" t="s">
        <v>467</v>
      </c>
      <c r="T219" s="0" t="str">
        <f>_xlfn.TEXTJOIN("_",TRUE,C219,"node_eff",D219,M219,N219)</f>
        <v>s1_node_eff_economy_21_4</v>
      </c>
    </row>
    <row r="220" spans="1:20" x14ac:dyDescent="0.45">
      <c r="A220" s="0" t="str">
        <f>_xlfn.TEXTJOIN("_",TRUE,C220,"node",D220,M220,N220)</f>
        <v>s1_node_economy_22_2</v>
      </c>
      <c r="B220" s="0" t="s">
        <v>0</v>
      </c>
      <c r="C220" s="0" t="s">
        <v>26</v>
      </c>
      <c r="D220" s="0" t="s">
        <v>103</v>
      </c>
      <c r="E220" s="0" t="str">
        <f>"s1_node_"&amp;D220&amp;"_name"</f>
        <v>s1_node_economy_name</v>
      </c>
      <c r="F220" s="10" t="str">
        <f>"s1_node_"&amp;D220&amp;"_desc"</f>
        <v>s1_node_economy_desc</v>
      </c>
      <c r="G220" s="0" t="s">
        <v>417</v>
      </c>
      <c r="H220" s="0">
        <v>2</v>
      </c>
      <c r="I220" s="0" t="s">
        <v>27</v>
      </c>
      <c r="J220" s="0" t="s">
        <v>468</v>
      </c>
      <c r="K220" s="0">
        <v>860</v>
      </c>
      <c r="L220" s="10">
        <v>3</v>
      </c>
      <c r="M220" s="0">
        <v>22</v>
      </c>
      <c r="N220" s="0">
        <v>2</v>
      </c>
      <c r="O220" s="10" t="s">
        <v>469</v>
      </c>
      <c r="P220" s="10"/>
      <c r="T220" s="0" t="str">
        <f>_xlfn.TEXTJOIN("_",TRUE,C220,"node_eff",D220,M220,N220)</f>
        <v>s1_node_eff_economy_22_2</v>
      </c>
    </row>
    <row r="221" spans="1:20" x14ac:dyDescent="0.45">
      <c r="A221" s="0" t="str">
        <f>_xlfn.TEXTJOIN("_",TRUE,C221,"node",D221,M221,N221)</f>
        <v>s1_node_economy_22_6</v>
      </c>
      <c r="B221" s="0" t="s">
        <v>0</v>
      </c>
      <c r="C221" s="0" t="s">
        <v>26</v>
      </c>
      <c r="D221" s="0" t="s">
        <v>103</v>
      </c>
      <c r="E221" s="0" t="str">
        <f>"s1_node_"&amp;D221&amp;"_name"</f>
        <v>s1_node_economy_name</v>
      </c>
      <c r="F221" s="10" t="str">
        <f>"s1_node_"&amp;D221&amp;"_desc"</f>
        <v>s1_node_economy_desc</v>
      </c>
      <c r="G221" s="0" t="s">
        <v>421</v>
      </c>
      <c r="H221" s="0">
        <v>2</v>
      </c>
      <c r="I221" s="0" t="s">
        <v>27</v>
      </c>
      <c r="J221" s="0" t="s">
        <v>468</v>
      </c>
      <c r="K221" s="0">
        <v>860</v>
      </c>
      <c r="L221" s="10">
        <v>3</v>
      </c>
      <c r="M221" s="0">
        <v>22</v>
      </c>
      <c r="N221" s="0">
        <v>6</v>
      </c>
      <c r="O221" s="10" t="s">
        <v>469</v>
      </c>
      <c r="P221" s="10"/>
      <c r="T221" s="0" t="str">
        <f>_xlfn.TEXTJOIN("_",TRUE,C221,"node_eff",D221,M221,N221)</f>
        <v>s1_node_eff_economy_22_6</v>
      </c>
    </row>
    <row r="222" spans="1:20" x14ac:dyDescent="0.45">
      <c r="A222" s="0" t="str">
        <f>_xlfn.TEXTJOIN("_",TRUE,C222,"node",D222,M222,N222)</f>
        <v>s1_node_economy_23_2</v>
      </c>
      <c r="B222" s="0" t="s">
        <v>0</v>
      </c>
      <c r="C222" s="0" t="s">
        <v>26</v>
      </c>
      <c r="D222" s="0" t="s">
        <v>103</v>
      </c>
      <c r="E222" s="0" t="str">
        <f>"s1_node_"&amp;D222&amp;"_name"</f>
        <v>s1_node_economy_name</v>
      </c>
      <c r="F222" s="10" t="str">
        <f>"s1_node_"&amp;D222&amp;"_desc"</f>
        <v>s1_node_economy_desc</v>
      </c>
      <c r="G222" s="0" t="s">
        <v>417</v>
      </c>
      <c r="H222" s="0">
        <v>2</v>
      </c>
      <c r="I222" s="0" t="s">
        <v>27</v>
      </c>
      <c r="J222" s="0" t="s">
        <v>470</v>
      </c>
      <c r="K222" s="0">
        <v>900</v>
      </c>
      <c r="L222" s="10">
        <v>3</v>
      </c>
      <c r="M222" s="0">
        <v>23</v>
      </c>
      <c r="N222" s="0">
        <v>2</v>
      </c>
      <c r="O222" s="10" t="s">
        <v>471</v>
      </c>
      <c r="P222" s="10"/>
      <c r="T222" s="0" t="str">
        <f>_xlfn.TEXTJOIN("_",TRUE,C222,"node_eff",D222,M222,N222)</f>
        <v>s1_node_eff_economy_23_2</v>
      </c>
    </row>
    <row r="223" spans="1:20" x14ac:dyDescent="0.45">
      <c r="A223" s="0" t="str">
        <f>_xlfn.TEXTJOIN("_",TRUE,C223,"node",D223,M223,N223)</f>
        <v>s1_node_economy_23_6</v>
      </c>
      <c r="B223" s="0" t="s">
        <v>0</v>
      </c>
      <c r="C223" s="0" t="s">
        <v>26</v>
      </c>
      <c r="D223" s="0" t="s">
        <v>103</v>
      </c>
      <c r="E223" s="0" t="str">
        <f>"s1_node_"&amp;D223&amp;"_name"</f>
        <v>s1_node_economy_name</v>
      </c>
      <c r="F223" s="10" t="str">
        <f>"s1_node_"&amp;D223&amp;"_desc"</f>
        <v>s1_node_economy_desc</v>
      </c>
      <c r="G223" s="0" t="s">
        <v>417</v>
      </c>
      <c r="H223" s="0">
        <v>2</v>
      </c>
      <c r="I223" s="0" t="s">
        <v>27</v>
      </c>
      <c r="J223" s="0" t="s">
        <v>470</v>
      </c>
      <c r="K223" s="0">
        <v>900</v>
      </c>
      <c r="L223" s="10">
        <v>3</v>
      </c>
      <c r="M223" s="0">
        <v>23</v>
      </c>
      <c r="N223" s="0">
        <v>6</v>
      </c>
      <c r="O223" s="10" t="s">
        <v>472</v>
      </c>
      <c r="P223" s="10"/>
      <c r="T223" s="0" t="str">
        <f>_xlfn.TEXTJOIN("_",TRUE,C223,"node_eff",D223,M223,N223)</f>
        <v>s1_node_eff_economy_23_6</v>
      </c>
    </row>
    <row r="224" spans="1:20" x14ac:dyDescent="0.45">
      <c r="A224" s="0" t="str">
        <f>_xlfn.TEXTJOIN("_",TRUE,C224,"node",D224,M224,N224)</f>
        <v>s1_node_economy_24_2</v>
      </c>
      <c r="B224" s="0" t="s">
        <v>0</v>
      </c>
      <c r="C224" s="0" t="s">
        <v>26</v>
      </c>
      <c r="D224" s="0" t="s">
        <v>103</v>
      </c>
      <c r="E224" s="0" t="str">
        <f>"s1_node_"&amp;D224&amp;"_name"</f>
        <v>s1_node_economy_name</v>
      </c>
      <c r="F224" s="10" t="str">
        <f>"s1_node_"&amp;D224&amp;"_desc"</f>
        <v>s1_node_economy_desc</v>
      </c>
      <c r="G224" s="0" t="s">
        <v>417</v>
      </c>
      <c r="H224" s="0">
        <v>2</v>
      </c>
      <c r="I224" s="0" t="s">
        <v>27</v>
      </c>
      <c r="J224" s="0" t="s">
        <v>473</v>
      </c>
      <c r="K224" s="0">
        <v>930</v>
      </c>
      <c r="L224" s="10">
        <v>3</v>
      </c>
      <c r="M224" s="0">
        <v>24</v>
      </c>
      <c r="N224" s="0">
        <v>2</v>
      </c>
      <c r="O224" s="10" t="s">
        <v>474</v>
      </c>
      <c r="P224" s="10"/>
      <c r="T224" s="0" t="str">
        <f>_xlfn.TEXTJOIN("_",TRUE,C224,"node_eff",D224,M224,N224)</f>
        <v>s1_node_eff_economy_24_2</v>
      </c>
    </row>
    <row r="225" spans="1:20" x14ac:dyDescent="0.45">
      <c r="A225" s="0" t="str">
        <f>_xlfn.TEXTJOIN("_",TRUE,C225,"node",D225,M225,N225)</f>
        <v>s1_node_economy_24_6</v>
      </c>
      <c r="B225" s="0" t="s">
        <v>0</v>
      </c>
      <c r="C225" s="0" t="s">
        <v>26</v>
      </c>
      <c r="D225" s="0" t="s">
        <v>103</v>
      </c>
      <c r="E225" s="0" t="str">
        <f>"s1_node_"&amp;D225&amp;"_name"</f>
        <v>s1_node_economy_name</v>
      </c>
      <c r="F225" s="10" t="str">
        <f>"s1_node_"&amp;D225&amp;"_desc"</f>
        <v>s1_node_economy_desc</v>
      </c>
      <c r="G225" s="0" t="s">
        <v>417</v>
      </c>
      <c r="H225" s="0">
        <v>2</v>
      </c>
      <c r="I225" s="0" t="s">
        <v>27</v>
      </c>
      <c r="J225" s="0" t="s">
        <v>473</v>
      </c>
      <c r="K225" s="0">
        <v>930</v>
      </c>
      <c r="L225" s="10">
        <v>3</v>
      </c>
      <c r="M225" s="0">
        <v>24</v>
      </c>
      <c r="N225" s="0">
        <v>6</v>
      </c>
      <c r="O225" s="10" t="s">
        <v>475</v>
      </c>
      <c r="P225" s="10"/>
      <c r="T225" s="0" t="str">
        <f>_xlfn.TEXTJOIN("_",TRUE,C225,"node_eff",D225,M225,N225)</f>
        <v>s1_node_eff_economy_24_6</v>
      </c>
    </row>
    <row r="226" spans="1:20" x14ac:dyDescent="0.45">
      <c r="A226" s="0" t="str">
        <f>_xlfn.TEXTJOIN("_",TRUE,C226,"node",D226,M226,N226)</f>
        <v>s1_node_economy_25_2</v>
      </c>
      <c r="B226" s="0" t="s">
        <v>0</v>
      </c>
      <c r="C226" s="0" t="s">
        <v>26</v>
      </c>
      <c r="D226" s="0" t="s">
        <v>103</v>
      </c>
      <c r="E226" s="0" t="str">
        <f>"s1_node_"&amp;D226&amp;"_name"</f>
        <v>s1_node_economy_name</v>
      </c>
      <c r="F226" s="10" t="str">
        <f>"s1_node_"&amp;D226&amp;"_desc"</f>
        <v>s1_node_economy_desc</v>
      </c>
      <c r="G226" s="0" t="s">
        <v>421</v>
      </c>
      <c r="H226" s="0">
        <v>2</v>
      </c>
      <c r="I226" s="0" t="s">
        <v>27</v>
      </c>
      <c r="J226" s="0" t="s">
        <v>476</v>
      </c>
      <c r="K226" s="0">
        <v>970</v>
      </c>
      <c r="L226" s="10">
        <v>3</v>
      </c>
      <c r="M226" s="0">
        <v>25</v>
      </c>
      <c r="N226" s="0">
        <v>2</v>
      </c>
      <c r="O226" s="10" t="s">
        <v>477</v>
      </c>
      <c r="P226" s="10"/>
      <c r="T226" s="0" t="str">
        <f>_xlfn.TEXTJOIN("_",TRUE,C226,"node_eff",D226,M226,N226)</f>
        <v>s1_node_eff_economy_25_2</v>
      </c>
    </row>
    <row r="227" spans="1:20" x14ac:dyDescent="0.45">
      <c r="A227" s="0" t="str">
        <f>_xlfn.TEXTJOIN("_",TRUE,C227,"node",D227,M227,N227)</f>
        <v>s1_node_economy_25_6</v>
      </c>
      <c r="B227" s="0" t="s">
        <v>0</v>
      </c>
      <c r="C227" s="0" t="s">
        <v>26</v>
      </c>
      <c r="D227" s="0" t="s">
        <v>103</v>
      </c>
      <c r="E227" s="0" t="str">
        <f>"s1_node_"&amp;D227&amp;"_name"</f>
        <v>s1_node_economy_name</v>
      </c>
      <c r="F227" s="10" t="str">
        <f>"s1_node_"&amp;D227&amp;"_desc"</f>
        <v>s1_node_economy_desc</v>
      </c>
      <c r="G227" s="0" t="s">
        <v>417</v>
      </c>
      <c r="H227" s="0">
        <v>2</v>
      </c>
      <c r="I227" s="0" t="s">
        <v>27</v>
      </c>
      <c r="J227" s="0" t="s">
        <v>476</v>
      </c>
      <c r="K227" s="0">
        <v>970</v>
      </c>
      <c r="L227" s="10">
        <v>3</v>
      </c>
      <c r="M227" s="0">
        <v>25</v>
      </c>
      <c r="N227" s="0">
        <v>6</v>
      </c>
      <c r="O227" s="10" t="s">
        <v>478</v>
      </c>
      <c r="P227" s="10"/>
      <c r="T227" s="0" t="str">
        <f>_xlfn.TEXTJOIN("_",TRUE,C227,"node_eff",D227,M227,N227)</f>
        <v>s1_node_eff_economy_25_6</v>
      </c>
    </row>
    <row r="228" spans="1:20" x14ac:dyDescent="0.45">
      <c r="A228" s="0" t="str">
        <f>_xlfn.TEXTJOIN("_",TRUE,C228,"node",D228,M228,N228)</f>
        <v>s1_node_economy_26_4</v>
      </c>
      <c r="B228" s="0" t="s">
        <v>0</v>
      </c>
      <c r="C228" s="0" t="s">
        <v>26</v>
      </c>
      <c r="D228" s="0" t="s">
        <v>103</v>
      </c>
      <c r="E228" s="0" t="str">
        <f>"s1_node_"&amp;D228&amp;"_name"</f>
        <v>s1_node_economy_name</v>
      </c>
      <c r="F228" s="10" t="str">
        <f>"s1_node_"&amp;D228&amp;"_desc"</f>
        <v>s1_node_economy_desc</v>
      </c>
      <c r="G228" s="0" t="s">
        <v>417</v>
      </c>
      <c r="H228" s="0">
        <v>2</v>
      </c>
      <c r="I228" s="0" t="s">
        <v>27</v>
      </c>
      <c r="J228" s="0" t="s">
        <v>479</v>
      </c>
      <c r="K228" s="0">
        <v>1000</v>
      </c>
      <c r="L228" s="10">
        <v>3</v>
      </c>
      <c r="M228" s="0">
        <v>26</v>
      </c>
      <c r="N228" s="0">
        <v>4</v>
      </c>
      <c r="O228" s="10" t="s">
        <v>480</v>
      </c>
      <c r="P228" s="10" t="s">
        <v>481</v>
      </c>
      <c r="T228" s="0" t="str">
        <f>_xlfn.TEXTJOIN("_",TRUE,C228,"node_eff",D228,M228,N228)</f>
        <v>s1_node_eff_economy_26_4</v>
      </c>
    </row>
    <row r="229" spans="1:20" x14ac:dyDescent="0.45">
      <c r="A229" s="0" t="str">
        <f>_xlfn.TEXTJOIN("_",TRUE,C229,"node",D229,M229,N229)</f>
        <v>s1_node_economy_27_2</v>
      </c>
      <c r="B229" s="0" t="s">
        <v>0</v>
      </c>
      <c r="C229" s="0" t="s">
        <v>26</v>
      </c>
      <c r="D229" s="0" t="s">
        <v>103</v>
      </c>
      <c r="E229" s="0" t="str">
        <f>"s1_node_"&amp;D229&amp;"_name"</f>
        <v>s1_node_economy_name</v>
      </c>
      <c r="F229" s="10" t="str">
        <f>"s1_node_"&amp;D229&amp;"_desc"</f>
        <v>s1_node_economy_desc</v>
      </c>
      <c r="G229" s="0" t="s">
        <v>417</v>
      </c>
      <c r="H229" s="0">
        <v>2</v>
      </c>
      <c r="I229" s="0" t="s">
        <v>27</v>
      </c>
      <c r="J229" s="0" t="s">
        <v>482</v>
      </c>
      <c r="K229" s="0">
        <v>1040</v>
      </c>
      <c r="L229" s="10">
        <v>3</v>
      </c>
      <c r="M229" s="0">
        <v>27</v>
      </c>
      <c r="N229" s="0">
        <v>2</v>
      </c>
      <c r="O229" s="10" t="s">
        <v>483</v>
      </c>
      <c r="P229" s="10"/>
      <c r="T229" s="0" t="str">
        <f>_xlfn.TEXTJOIN("_",TRUE,C229,"node_eff",D229,M229,N229)</f>
        <v>s1_node_eff_economy_27_2</v>
      </c>
    </row>
    <row r="230" spans="1:20" x14ac:dyDescent="0.45">
      <c r="A230" s="0" t="str">
        <f>_xlfn.TEXTJOIN("_",TRUE,C230,"node",D230,M230,N230)</f>
        <v>s1_node_economy_27_6</v>
      </c>
      <c r="B230" s="0" t="s">
        <v>0</v>
      </c>
      <c r="C230" s="0" t="s">
        <v>26</v>
      </c>
      <c r="D230" s="0" t="s">
        <v>103</v>
      </c>
      <c r="E230" s="0" t="str">
        <f>"s1_node_"&amp;D230&amp;"_name"</f>
        <v>s1_node_economy_name</v>
      </c>
      <c r="F230" s="10" t="str">
        <f>"s1_node_"&amp;D230&amp;"_desc"</f>
        <v>s1_node_economy_desc</v>
      </c>
      <c r="G230" s="0" t="s">
        <v>417</v>
      </c>
      <c r="H230" s="0">
        <v>2</v>
      </c>
      <c r="I230" s="0" t="s">
        <v>27</v>
      </c>
      <c r="J230" s="0" t="s">
        <v>482</v>
      </c>
      <c r="K230" s="0">
        <v>1040</v>
      </c>
      <c r="L230" s="10">
        <v>3</v>
      </c>
      <c r="M230" s="0">
        <v>27</v>
      </c>
      <c r="N230" s="0">
        <v>6</v>
      </c>
      <c r="O230" s="10" t="s">
        <v>483</v>
      </c>
      <c r="P230" s="10"/>
      <c r="T230" s="0" t="str">
        <f>_xlfn.TEXTJOIN("_",TRUE,C230,"node_eff",D230,M230,N230)</f>
        <v>s1_node_eff_economy_27_6</v>
      </c>
    </row>
    <row r="231" spans="1:20" x14ac:dyDescent="0.45">
      <c r="A231" s="0" t="str">
        <f>_xlfn.TEXTJOIN("_",TRUE,C231,"node",D231,M231,N231)</f>
        <v>s1_node_economy_28_2</v>
      </c>
      <c r="B231" s="0" t="s">
        <v>0</v>
      </c>
      <c r="C231" s="0" t="s">
        <v>26</v>
      </c>
      <c r="D231" s="0" t="s">
        <v>103</v>
      </c>
      <c r="E231" s="0" t="str">
        <f>"s1_node_"&amp;D231&amp;"_name"</f>
        <v>s1_node_economy_name</v>
      </c>
      <c r="F231" s="10" t="str">
        <f>"s1_node_"&amp;D231&amp;"_desc"</f>
        <v>s1_node_economy_desc</v>
      </c>
      <c r="G231" s="0" t="s">
        <v>421</v>
      </c>
      <c r="H231" s="0">
        <v>2</v>
      </c>
      <c r="I231" s="0" t="s">
        <v>27</v>
      </c>
      <c r="J231" s="0" t="s">
        <v>484</v>
      </c>
      <c r="K231" s="0">
        <v>1080</v>
      </c>
      <c r="L231" s="10">
        <v>3</v>
      </c>
      <c r="M231" s="0">
        <v>28</v>
      </c>
      <c r="N231" s="0">
        <v>2</v>
      </c>
      <c r="O231" s="10" t="s">
        <v>485</v>
      </c>
      <c r="P231" s="10"/>
      <c r="T231" s="0" t="str">
        <f>_xlfn.TEXTJOIN("_",TRUE,C231,"node_eff",D231,M231,N231)</f>
        <v>s1_node_eff_economy_28_2</v>
      </c>
    </row>
    <row r="232" spans="1:20" x14ac:dyDescent="0.45">
      <c r="A232" s="0" t="str">
        <f>_xlfn.TEXTJOIN("_",TRUE,C232,"node",D232,M232,N232)</f>
        <v>s1_node_economy_28_6</v>
      </c>
      <c r="B232" s="0" t="s">
        <v>0</v>
      </c>
      <c r="C232" s="0" t="s">
        <v>26</v>
      </c>
      <c r="D232" s="0" t="s">
        <v>103</v>
      </c>
      <c r="E232" s="0" t="str">
        <f>"s1_node_"&amp;D232&amp;"_name"</f>
        <v>s1_node_economy_name</v>
      </c>
      <c r="F232" s="10" t="str">
        <f>"s1_node_"&amp;D232&amp;"_desc"</f>
        <v>s1_node_economy_desc</v>
      </c>
      <c r="G232" s="0" t="s">
        <v>417</v>
      </c>
      <c r="H232" s="0">
        <v>2</v>
      </c>
      <c r="I232" s="0" t="s">
        <v>27</v>
      </c>
      <c r="J232" s="0" t="s">
        <v>484</v>
      </c>
      <c r="K232" s="0">
        <v>1080</v>
      </c>
      <c r="L232" s="10">
        <v>3</v>
      </c>
      <c r="M232" s="0">
        <v>28</v>
      </c>
      <c r="N232" s="0">
        <v>6</v>
      </c>
      <c r="O232" s="10" t="s">
        <v>486</v>
      </c>
      <c r="P232" s="10"/>
      <c r="T232" s="0" t="str">
        <f>_xlfn.TEXTJOIN("_",TRUE,C232,"node_eff",D232,M232,N232)</f>
        <v>s1_node_eff_economy_28_6</v>
      </c>
    </row>
    <row r="233" spans="1:20" x14ac:dyDescent="0.45">
      <c r="A233" s="0" t="str">
        <f>_xlfn.TEXTJOIN("_",TRUE,C233,"node",D233,M233,N233)</f>
        <v>s1_node_economy_29_2</v>
      </c>
      <c r="B233" s="0" t="s">
        <v>0</v>
      </c>
      <c r="C233" s="0" t="s">
        <v>26</v>
      </c>
      <c r="D233" s="0" t="s">
        <v>103</v>
      </c>
      <c r="E233" s="0" t="str">
        <f>"s1_node_"&amp;D233&amp;"_name"</f>
        <v>s1_node_economy_name</v>
      </c>
      <c r="F233" s="10" t="str">
        <f>"s1_node_"&amp;D233&amp;"_desc"</f>
        <v>s1_node_economy_desc</v>
      </c>
      <c r="G233" s="0" t="s">
        <v>417</v>
      </c>
      <c r="H233" s="0">
        <v>2</v>
      </c>
      <c r="I233" s="0" t="s">
        <v>27</v>
      </c>
      <c r="J233" s="0" t="s">
        <v>487</v>
      </c>
      <c r="K233" s="0">
        <v>1110</v>
      </c>
      <c r="L233" s="10">
        <v>3</v>
      </c>
      <c r="M233" s="0">
        <v>29</v>
      </c>
      <c r="N233" s="0">
        <v>2</v>
      </c>
      <c r="O233" s="10" t="s">
        <v>488</v>
      </c>
      <c r="P233" s="10"/>
      <c r="T233" s="0" t="str">
        <f>_xlfn.TEXTJOIN("_",TRUE,C233,"node_eff",D233,M233,N233)</f>
        <v>s1_node_eff_economy_29_2</v>
      </c>
    </row>
    <row r="234" spans="1:20" x14ac:dyDescent="0.45">
      <c r="A234" s="0" t="str">
        <f>_xlfn.TEXTJOIN("_",TRUE,C234,"node",D234,M234,N234)</f>
        <v>s1_node_economy_29_6</v>
      </c>
      <c r="B234" s="0" t="s">
        <v>0</v>
      </c>
      <c r="C234" s="0" t="s">
        <v>26</v>
      </c>
      <c r="D234" s="0" t="s">
        <v>103</v>
      </c>
      <c r="E234" s="0" t="str">
        <f>"s1_node_"&amp;D234&amp;"_name"</f>
        <v>s1_node_economy_name</v>
      </c>
      <c r="F234" s="10" t="str">
        <f>"s1_node_"&amp;D234&amp;"_desc"</f>
        <v>s1_node_economy_desc</v>
      </c>
      <c r="G234" s="0" t="s">
        <v>417</v>
      </c>
      <c r="H234" s="0">
        <v>2</v>
      </c>
      <c r="I234" s="0" t="s">
        <v>27</v>
      </c>
      <c r="J234" s="0" t="s">
        <v>487</v>
      </c>
      <c r="K234" s="0">
        <v>1110</v>
      </c>
      <c r="L234" s="10">
        <v>3</v>
      </c>
      <c r="M234" s="0">
        <v>29</v>
      </c>
      <c r="N234" s="0">
        <v>6</v>
      </c>
      <c r="O234" s="10" t="s">
        <v>489</v>
      </c>
      <c r="P234" s="10"/>
      <c r="T234" s="0" t="str">
        <f>_xlfn.TEXTJOIN("_",TRUE,C234,"node_eff",D234,M234,N234)</f>
        <v>s1_node_eff_economy_29_6</v>
      </c>
    </row>
    <row r="235" spans="1:20" x14ac:dyDescent="0.45">
      <c r="A235" s="0" t="str">
        <f>_xlfn.TEXTJOIN("_",TRUE,C235,"node",D235,M235,N235)</f>
        <v>s1_node_economy_30_2</v>
      </c>
      <c r="B235" s="0" t="s">
        <v>0</v>
      </c>
      <c r="C235" s="0" t="s">
        <v>26</v>
      </c>
      <c r="D235" s="0" t="s">
        <v>103</v>
      </c>
      <c r="E235" s="0" t="str">
        <f>"s1_node_"&amp;D235&amp;"_name"</f>
        <v>s1_node_economy_name</v>
      </c>
      <c r="F235" s="10" t="str">
        <f>"s1_node_"&amp;D235&amp;"_desc"</f>
        <v>s1_node_economy_desc</v>
      </c>
      <c r="G235" s="0" t="s">
        <v>417</v>
      </c>
      <c r="H235" s="0">
        <v>2</v>
      </c>
      <c r="I235" s="0" t="s">
        <v>27</v>
      </c>
      <c r="J235" s="0" t="s">
        <v>490</v>
      </c>
      <c r="K235" s="0">
        <v>1150</v>
      </c>
      <c r="L235" s="10">
        <v>3</v>
      </c>
      <c r="M235" s="0">
        <v>30</v>
      </c>
      <c r="N235" s="0">
        <v>2</v>
      </c>
      <c r="O235" s="10" t="s">
        <v>491</v>
      </c>
      <c r="P235" s="10"/>
      <c r="T235" s="0" t="str">
        <f>_xlfn.TEXTJOIN("_",TRUE,C235,"node_eff",D235,M235,N235)</f>
        <v>s1_node_eff_economy_30_2</v>
      </c>
    </row>
    <row r="236" spans="1:20" x14ac:dyDescent="0.45">
      <c r="A236" s="0" t="str">
        <f>_xlfn.TEXTJOIN("_",TRUE,C236,"node",D236,M236,N236)</f>
        <v>s1_node_economy_30_6</v>
      </c>
      <c r="B236" s="0" t="s">
        <v>0</v>
      </c>
      <c r="C236" s="0" t="s">
        <v>26</v>
      </c>
      <c r="D236" s="0" t="s">
        <v>103</v>
      </c>
      <c r="E236" s="0" t="str">
        <f>"s1_node_"&amp;D236&amp;"_name"</f>
        <v>s1_node_economy_name</v>
      </c>
      <c r="F236" s="10" t="str">
        <f>"s1_node_"&amp;D236&amp;"_desc"</f>
        <v>s1_node_economy_desc</v>
      </c>
      <c r="G236" s="0" t="s">
        <v>421</v>
      </c>
      <c r="H236" s="0">
        <v>2</v>
      </c>
      <c r="I236" s="0" t="s">
        <v>27</v>
      </c>
      <c r="J236" s="0" t="s">
        <v>490</v>
      </c>
      <c r="K236" s="0">
        <v>1150</v>
      </c>
      <c r="L236" s="10">
        <v>3</v>
      </c>
      <c r="M236" s="0">
        <v>30</v>
      </c>
      <c r="N236" s="0">
        <v>6</v>
      </c>
      <c r="O236" s="10" t="s">
        <v>492</v>
      </c>
      <c r="P236" s="10"/>
      <c r="T236" s="0" t="str">
        <f>_xlfn.TEXTJOIN("_",TRUE,C236,"node_eff",D236,M236,N236)</f>
        <v>s1_node_eff_economy_30_6</v>
      </c>
    </row>
    <row r="237" spans="1:20" x14ac:dyDescent="0.45">
      <c r="A237" s="0" t="str">
        <f>_xlfn.TEXTJOIN("_",TRUE,C237,"node",D237,M237,N237)</f>
        <v>s1_node_economy_31_4</v>
      </c>
      <c r="B237" s="0" t="s">
        <v>0</v>
      </c>
      <c r="C237" s="0" t="s">
        <v>26</v>
      </c>
      <c r="D237" s="0" t="s">
        <v>103</v>
      </c>
      <c r="E237" s="0" t="str">
        <f>"s1_node_"&amp;D237&amp;"_name"</f>
        <v>s1_node_economy_name</v>
      </c>
      <c r="F237" s="10" t="str">
        <f>"s1_node_"&amp;D237&amp;"_desc"</f>
        <v>s1_node_economy_desc</v>
      </c>
      <c r="G237" s="0" t="s">
        <v>417</v>
      </c>
      <c r="H237" s="0">
        <v>2</v>
      </c>
      <c r="I237" s="0" t="s">
        <v>27</v>
      </c>
      <c r="J237" s="0" t="s">
        <v>493</v>
      </c>
      <c r="K237" s="0">
        <v>1180</v>
      </c>
      <c r="L237" s="10">
        <v>3</v>
      </c>
      <c r="M237" s="0">
        <v>31</v>
      </c>
      <c r="N237" s="0">
        <v>4</v>
      </c>
      <c r="O237" s="10" t="s">
        <v>494</v>
      </c>
      <c r="P237" s="10" t="s">
        <v>495</v>
      </c>
      <c r="T237" s="0" t="str">
        <f>_xlfn.TEXTJOIN("_",TRUE,C237,"node_eff",D237,M237,N237)</f>
        <v>s1_node_eff_economy_31_4</v>
      </c>
    </row>
    <row r="238" spans="1:20" x14ac:dyDescent="0.45">
      <c r="A238" s="0" t="str">
        <f>_xlfn.TEXTJOIN("_",TRUE,C238,"node",D238,M238,N238)</f>
        <v>s1_node_economy_32_2</v>
      </c>
      <c r="B238" s="0" t="s">
        <v>0</v>
      </c>
      <c r="C238" s="0" t="s">
        <v>26</v>
      </c>
      <c r="D238" s="0" t="s">
        <v>103</v>
      </c>
      <c r="E238" s="0" t="str">
        <f>"s1_node_"&amp;D238&amp;"_name"</f>
        <v>s1_node_economy_name</v>
      </c>
      <c r="F238" s="10" t="str">
        <f>"s1_node_"&amp;D238&amp;"_desc"</f>
        <v>s1_node_economy_desc</v>
      </c>
      <c r="G238" s="0" t="s">
        <v>417</v>
      </c>
      <c r="H238" s="0">
        <v>2</v>
      </c>
      <c r="I238" s="0" t="s">
        <v>27</v>
      </c>
      <c r="J238" s="0" t="s">
        <v>496</v>
      </c>
      <c r="K238" s="0">
        <v>1220</v>
      </c>
      <c r="L238" s="10">
        <v>3</v>
      </c>
      <c r="M238" s="0">
        <v>32</v>
      </c>
      <c r="N238" s="0">
        <v>2</v>
      </c>
      <c r="O238" s="10" t="s">
        <v>497</v>
      </c>
      <c r="P238" s="10"/>
      <c r="T238" s="0" t="str">
        <f>_xlfn.TEXTJOIN("_",TRUE,C238,"node_eff",D238,M238,N238)</f>
        <v>s1_node_eff_economy_32_2</v>
      </c>
    </row>
    <row r="239" spans="1:20" x14ac:dyDescent="0.45">
      <c r="A239" s="0" t="str">
        <f>_xlfn.TEXTJOIN("_",TRUE,C239,"node",D239,M239,N239)</f>
        <v>s1_node_economy_32_6</v>
      </c>
      <c r="B239" s="0" t="s">
        <v>0</v>
      </c>
      <c r="C239" s="0" t="s">
        <v>26</v>
      </c>
      <c r="D239" s="0" t="s">
        <v>103</v>
      </c>
      <c r="E239" s="0" t="str">
        <f>"s1_node_"&amp;D239&amp;"_name"</f>
        <v>s1_node_economy_name</v>
      </c>
      <c r="F239" s="10" t="str">
        <f>"s1_node_"&amp;D239&amp;"_desc"</f>
        <v>s1_node_economy_desc</v>
      </c>
      <c r="G239" s="0" t="s">
        <v>417</v>
      </c>
      <c r="H239" s="0">
        <v>2</v>
      </c>
      <c r="I239" s="0" t="s">
        <v>27</v>
      </c>
      <c r="J239" s="0" t="s">
        <v>496</v>
      </c>
      <c r="K239" s="0">
        <v>1220</v>
      </c>
      <c r="L239" s="10">
        <v>3</v>
      </c>
      <c r="M239" s="0">
        <v>32</v>
      </c>
      <c r="N239" s="0">
        <v>6</v>
      </c>
      <c r="O239" s="10" t="s">
        <v>497</v>
      </c>
      <c r="P239" s="10"/>
      <c r="T239" s="0" t="str">
        <f>_xlfn.TEXTJOIN("_",TRUE,C239,"node_eff",D239,M239,N239)</f>
        <v>s1_node_eff_economy_32_6</v>
      </c>
    </row>
    <row r="240" spans="1:20" x14ac:dyDescent="0.45">
      <c r="A240" s="0" t="str">
        <f>_xlfn.TEXTJOIN("_",TRUE,C240,"node",D240,M240,N240)</f>
        <v>s1_node_economy_33_2</v>
      </c>
      <c r="B240" s="0" t="s">
        <v>0</v>
      </c>
      <c r="C240" s="0" t="s">
        <v>26</v>
      </c>
      <c r="D240" s="0" t="s">
        <v>103</v>
      </c>
      <c r="E240" s="0" t="str">
        <f>"s1_node_"&amp;D240&amp;"_name"</f>
        <v>s1_node_economy_name</v>
      </c>
      <c r="F240" s="10" t="str">
        <f>"s1_node_"&amp;D240&amp;"_desc"</f>
        <v>s1_node_economy_desc</v>
      </c>
      <c r="G240" s="0" t="s">
        <v>417</v>
      </c>
      <c r="H240" s="0">
        <v>2</v>
      </c>
      <c r="I240" s="0" t="s">
        <v>27</v>
      </c>
      <c r="J240" s="0" t="s">
        <v>498</v>
      </c>
      <c r="K240" s="0">
        <v>1250</v>
      </c>
      <c r="L240" s="10">
        <v>3</v>
      </c>
      <c r="M240" s="0">
        <v>33</v>
      </c>
      <c r="N240" s="0">
        <v>2</v>
      </c>
      <c r="O240" s="10" t="s">
        <v>499</v>
      </c>
      <c r="P240" s="10"/>
      <c r="T240" s="0" t="str">
        <f>_xlfn.TEXTJOIN("_",TRUE,C240,"node_eff",D240,M240,N240)</f>
        <v>s1_node_eff_economy_33_2</v>
      </c>
    </row>
    <row r="241" spans="1:20" x14ac:dyDescent="0.45">
      <c r="A241" s="0" t="str">
        <f>_xlfn.TEXTJOIN("_",TRUE,C241,"node",D241,M241,N241)</f>
        <v>s1_node_economy_33_6</v>
      </c>
      <c r="B241" s="0" t="s">
        <v>0</v>
      </c>
      <c r="C241" s="0" t="s">
        <v>26</v>
      </c>
      <c r="D241" s="0" t="s">
        <v>103</v>
      </c>
      <c r="E241" s="0" t="str">
        <f>"s1_node_"&amp;D241&amp;"_name"</f>
        <v>s1_node_economy_name</v>
      </c>
      <c r="F241" s="10" t="str">
        <f>"s1_node_"&amp;D241&amp;"_desc"</f>
        <v>s1_node_economy_desc</v>
      </c>
      <c r="G241" s="0" t="s">
        <v>421</v>
      </c>
      <c r="H241" s="0">
        <v>2</v>
      </c>
      <c r="I241" s="0" t="s">
        <v>27</v>
      </c>
      <c r="J241" s="0" t="s">
        <v>498</v>
      </c>
      <c r="K241" s="0">
        <v>1250</v>
      </c>
      <c r="L241" s="10">
        <v>3</v>
      </c>
      <c r="M241" s="0">
        <v>33</v>
      </c>
      <c r="N241" s="0">
        <v>6</v>
      </c>
      <c r="O241" s="10" t="s">
        <v>500</v>
      </c>
      <c r="P241" s="10"/>
      <c r="T241" s="0" t="str">
        <f>_xlfn.TEXTJOIN("_",TRUE,C241,"node_eff",D241,M241,N241)</f>
        <v>s1_node_eff_economy_33_6</v>
      </c>
    </row>
    <row r="242" spans="1:20" x14ac:dyDescent="0.45">
      <c r="A242" s="0" t="str">
        <f>_xlfn.TEXTJOIN("_",TRUE,C242,"node",D242,M242,N242)</f>
        <v>s1_node_economy_34_2</v>
      </c>
      <c r="B242" s="0" t="s">
        <v>0</v>
      </c>
      <c r="C242" s="0" t="s">
        <v>26</v>
      </c>
      <c r="D242" s="0" t="s">
        <v>103</v>
      </c>
      <c r="E242" s="0" t="str">
        <f>"s1_node_"&amp;D242&amp;"_name"</f>
        <v>s1_node_economy_name</v>
      </c>
      <c r="F242" s="10" t="str">
        <f>"s1_node_"&amp;D242&amp;"_desc"</f>
        <v>s1_node_economy_desc</v>
      </c>
      <c r="G242" s="0" t="s">
        <v>417</v>
      </c>
      <c r="H242" s="0">
        <v>2</v>
      </c>
      <c r="I242" s="0" t="s">
        <v>27</v>
      </c>
      <c r="J242" s="0" t="s">
        <v>501</v>
      </c>
      <c r="K242" s="0">
        <v>1290</v>
      </c>
      <c r="L242" s="10">
        <v>3</v>
      </c>
      <c r="M242" s="0">
        <v>34</v>
      </c>
      <c r="N242" s="0">
        <v>2</v>
      </c>
      <c r="O242" s="10" t="s">
        <v>502</v>
      </c>
      <c r="P242" s="10"/>
      <c r="T242" s="0" t="str">
        <f>_xlfn.TEXTJOIN("_",TRUE,C242,"node_eff",D242,M242,N242)</f>
        <v>s1_node_eff_economy_34_2</v>
      </c>
    </row>
    <row r="243" spans="1:20" x14ac:dyDescent="0.45">
      <c r="A243" s="0" t="str">
        <f>_xlfn.TEXTJOIN("_",TRUE,C243,"node",D243,M243,N243)</f>
        <v>s1_node_economy_34_6</v>
      </c>
      <c r="B243" s="0" t="s">
        <v>0</v>
      </c>
      <c r="C243" s="0" t="s">
        <v>26</v>
      </c>
      <c r="D243" s="0" t="s">
        <v>103</v>
      </c>
      <c r="E243" s="0" t="str">
        <f>"s1_node_"&amp;D243&amp;"_name"</f>
        <v>s1_node_economy_name</v>
      </c>
      <c r="F243" s="10" t="str">
        <f>"s1_node_"&amp;D243&amp;"_desc"</f>
        <v>s1_node_economy_desc</v>
      </c>
      <c r="G243" s="0" t="s">
        <v>417</v>
      </c>
      <c r="H243" s="0">
        <v>2</v>
      </c>
      <c r="I243" s="0" t="s">
        <v>27</v>
      </c>
      <c r="J243" s="0" t="s">
        <v>501</v>
      </c>
      <c r="K243" s="0">
        <v>1290</v>
      </c>
      <c r="L243" s="10">
        <v>3</v>
      </c>
      <c r="M243" s="0">
        <v>34</v>
      </c>
      <c r="N243" s="0">
        <v>6</v>
      </c>
      <c r="O243" s="10" t="s">
        <v>503</v>
      </c>
      <c r="P243" s="10"/>
      <c r="T243" s="0" t="str">
        <f>_xlfn.TEXTJOIN("_",TRUE,C243,"node_eff",D243,M243,N243)</f>
        <v>s1_node_eff_economy_34_6</v>
      </c>
    </row>
    <row r="244" spans="1:20" x14ac:dyDescent="0.45">
      <c r="A244" s="0" t="str">
        <f>_xlfn.TEXTJOIN("_",TRUE,C244,"node",D244,M244,N244)</f>
        <v>s1_node_economy_35_2</v>
      </c>
      <c r="B244" s="0" t="s">
        <v>0</v>
      </c>
      <c r="C244" s="0" t="s">
        <v>26</v>
      </c>
      <c r="D244" s="0" t="s">
        <v>103</v>
      </c>
      <c r="E244" s="0" t="str">
        <f>"s1_node_"&amp;D244&amp;"_name"</f>
        <v>s1_node_economy_name</v>
      </c>
      <c r="F244" s="10" t="str">
        <f>"s1_node_"&amp;D244&amp;"_desc"</f>
        <v>s1_node_economy_desc</v>
      </c>
      <c r="G244" s="0" t="s">
        <v>417</v>
      </c>
      <c r="H244" s="0">
        <v>2</v>
      </c>
      <c r="I244" s="0" t="s">
        <v>27</v>
      </c>
      <c r="J244" s="0" t="s">
        <v>238</v>
      </c>
      <c r="K244" s="0">
        <v>1330</v>
      </c>
      <c r="L244" s="10">
        <v>3</v>
      </c>
      <c r="M244" s="0">
        <v>35</v>
      </c>
      <c r="N244" s="0">
        <v>2</v>
      </c>
      <c r="O244" s="10" t="s">
        <v>504</v>
      </c>
      <c r="P244" s="10"/>
      <c r="T244" s="0" t="str">
        <f>_xlfn.TEXTJOIN("_",TRUE,C244,"node_eff",D244,M244,N244)</f>
        <v>s1_node_eff_economy_35_2</v>
      </c>
    </row>
    <row r="245" spans="1:20" x14ac:dyDescent="0.45">
      <c r="A245" s="0" t="str">
        <f>_xlfn.TEXTJOIN("_",TRUE,C245,"node",D245,M245,N245)</f>
        <v>s1_node_economy_35_6</v>
      </c>
      <c r="B245" s="0" t="s">
        <v>0</v>
      </c>
      <c r="C245" s="0" t="s">
        <v>26</v>
      </c>
      <c r="D245" s="0" t="s">
        <v>103</v>
      </c>
      <c r="E245" s="0" t="str">
        <f>"s1_node_"&amp;D245&amp;"_name"</f>
        <v>s1_node_economy_name</v>
      </c>
      <c r="F245" s="10" t="str">
        <f>"s1_node_"&amp;D245&amp;"_desc"</f>
        <v>s1_node_economy_desc</v>
      </c>
      <c r="G245" s="0" t="s">
        <v>417</v>
      </c>
      <c r="H245" s="0">
        <v>2</v>
      </c>
      <c r="I245" s="0" t="s">
        <v>27</v>
      </c>
      <c r="J245" s="0" t="s">
        <v>238</v>
      </c>
      <c r="K245" s="0">
        <v>1330</v>
      </c>
      <c r="L245" s="10">
        <v>3</v>
      </c>
      <c r="M245" s="0">
        <v>35</v>
      </c>
      <c r="N245" s="0">
        <v>6</v>
      </c>
      <c r="O245" s="10" t="s">
        <v>505</v>
      </c>
      <c r="P245" s="10"/>
      <c r="T245" s="0" t="str">
        <f>_xlfn.TEXTJOIN("_",TRUE,C245,"node_eff",D245,M245,N245)</f>
        <v>s1_node_eff_economy_35_6</v>
      </c>
    </row>
    <row r="246" spans="1:20" x14ac:dyDescent="0.45">
      <c r="A246" s="0" t="str">
        <f>_xlfn.TEXTJOIN("_",TRUE,C246,"node",D246,M246,N246)</f>
        <v>s1_node_economy_36_4</v>
      </c>
      <c r="B246" s="0" t="s">
        <v>0</v>
      </c>
      <c r="C246" s="0" t="s">
        <v>26</v>
      </c>
      <c r="D246" s="0" t="s">
        <v>103</v>
      </c>
      <c r="E246" s="0" t="str">
        <f>"s1_node_"&amp;D246&amp;"_name"</f>
        <v>s1_node_economy_name</v>
      </c>
      <c r="F246" s="10" t="str">
        <f>"s1_node_"&amp;D246&amp;"_desc"</f>
        <v>s1_node_economy_desc</v>
      </c>
      <c r="G246" s="0" t="s">
        <v>421</v>
      </c>
      <c r="H246" s="0">
        <v>2</v>
      </c>
      <c r="I246" s="0" t="s">
        <v>27</v>
      </c>
      <c r="J246" s="0" t="s">
        <v>506</v>
      </c>
      <c r="K246" s="0">
        <v>1360</v>
      </c>
      <c r="L246" s="10">
        <v>3</v>
      </c>
      <c r="M246" s="0">
        <v>36</v>
      </c>
      <c r="N246" s="0">
        <v>4</v>
      </c>
      <c r="O246" s="10" t="s">
        <v>507</v>
      </c>
      <c r="P246" s="10" t="s">
        <v>508</v>
      </c>
      <c r="T246" s="0" t="str">
        <f>_xlfn.TEXTJOIN("_",TRUE,C246,"node_eff",D246,M246,N246)</f>
        <v>s1_node_eff_economy_36_4</v>
      </c>
    </row>
    <row r="247" spans="1:20" x14ac:dyDescent="0.45">
      <c r="A247" s="0" t="str">
        <f>_xlfn.TEXTJOIN("_",TRUE,C247,"node",D247,M247,N247)</f>
        <v>s1_node_economy_37_2</v>
      </c>
      <c r="B247" s="0" t="s">
        <v>0</v>
      </c>
      <c r="C247" s="0" t="s">
        <v>26</v>
      </c>
      <c r="D247" s="0" t="s">
        <v>103</v>
      </c>
      <c r="E247" s="0" t="str">
        <f>"s1_node_"&amp;D247&amp;"_name"</f>
        <v>s1_node_economy_name</v>
      </c>
      <c r="F247" s="10" t="str">
        <f>"s1_node_"&amp;D247&amp;"_desc"</f>
        <v>s1_node_economy_desc</v>
      </c>
      <c r="G247" s="0" t="s">
        <v>417</v>
      </c>
      <c r="H247" s="0">
        <v>2</v>
      </c>
      <c r="I247" s="0" t="s">
        <v>27</v>
      </c>
      <c r="J247" s="0" t="s">
        <v>243</v>
      </c>
      <c r="K247" s="0">
        <v>1400</v>
      </c>
      <c r="L247" s="10">
        <v>3</v>
      </c>
      <c r="M247" s="0">
        <v>37</v>
      </c>
      <c r="N247" s="0">
        <v>2</v>
      </c>
      <c r="O247" s="10" t="s">
        <v>509</v>
      </c>
      <c r="P247" s="10"/>
      <c r="T247" s="0" t="str">
        <f>_xlfn.TEXTJOIN("_",TRUE,C247,"node_eff",D247,M247,N247)</f>
        <v>s1_node_eff_economy_37_2</v>
      </c>
    </row>
    <row r="248" spans="1:20" x14ac:dyDescent="0.45">
      <c r="A248" s="0" t="str">
        <f>_xlfn.TEXTJOIN("_",TRUE,C248,"node",D248,M248,N248)</f>
        <v>s1_node_economy_37_6</v>
      </c>
      <c r="B248" s="0" t="s">
        <v>0</v>
      </c>
      <c r="C248" s="0" t="s">
        <v>26</v>
      </c>
      <c r="D248" s="0" t="s">
        <v>103</v>
      </c>
      <c r="E248" s="0" t="str">
        <f>"s1_node_"&amp;D248&amp;"_name"</f>
        <v>s1_node_economy_name</v>
      </c>
      <c r="F248" s="10" t="str">
        <f>"s1_node_"&amp;D248&amp;"_desc"</f>
        <v>s1_node_economy_desc</v>
      </c>
      <c r="G248" s="0" t="s">
        <v>417</v>
      </c>
      <c r="H248" s="0">
        <v>2</v>
      </c>
      <c r="I248" s="0" t="s">
        <v>27</v>
      </c>
      <c r="J248" s="0" t="s">
        <v>243</v>
      </c>
      <c r="K248" s="0">
        <v>1400</v>
      </c>
      <c r="L248" s="10">
        <v>3</v>
      </c>
      <c r="M248" s="0">
        <v>37</v>
      </c>
      <c r="N248" s="0">
        <v>6</v>
      </c>
      <c r="O248" s="10" t="s">
        <v>509</v>
      </c>
      <c r="P248" s="10"/>
      <c r="T248" s="0" t="str">
        <f>_xlfn.TEXTJOIN("_",TRUE,C248,"node_eff",D248,M248,N248)</f>
        <v>s1_node_eff_economy_37_6</v>
      </c>
    </row>
    <row r="249" spans="1:20" x14ac:dyDescent="0.45">
      <c r="A249" s="0" t="str">
        <f>_xlfn.TEXTJOIN("_",TRUE,C249,"node",D249,M249,N249)</f>
        <v>s1_node_economy_38_2</v>
      </c>
      <c r="B249" s="0" t="s">
        <v>0</v>
      </c>
      <c r="C249" s="0" t="s">
        <v>26</v>
      </c>
      <c r="D249" s="0" t="s">
        <v>103</v>
      </c>
      <c r="E249" s="0" t="str">
        <f>"s1_node_"&amp;D249&amp;"_name"</f>
        <v>s1_node_economy_name</v>
      </c>
      <c r="F249" s="10" t="str">
        <f>"s1_node_"&amp;D249&amp;"_desc"</f>
        <v>s1_node_economy_desc</v>
      </c>
      <c r="G249" s="0" t="s">
        <v>417</v>
      </c>
      <c r="H249" s="0">
        <v>2</v>
      </c>
      <c r="I249" s="0" t="s">
        <v>27</v>
      </c>
      <c r="J249" s="0" t="s">
        <v>510</v>
      </c>
      <c r="K249" s="0">
        <v>1430</v>
      </c>
      <c r="L249" s="10">
        <v>3</v>
      </c>
      <c r="M249" s="0">
        <v>38</v>
      </c>
      <c r="N249" s="0">
        <v>2</v>
      </c>
      <c r="O249" s="10" t="s">
        <v>511</v>
      </c>
      <c r="P249" s="10"/>
      <c r="T249" s="0" t="str">
        <f>_xlfn.TEXTJOIN("_",TRUE,C249,"node_eff",D249,M249,N249)</f>
        <v>s1_node_eff_economy_38_2</v>
      </c>
    </row>
    <row r="250" spans="1:20" x14ac:dyDescent="0.45">
      <c r="A250" s="0" t="str">
        <f>_xlfn.TEXTJOIN("_",TRUE,C250,"node",D250,M250,N250)</f>
        <v>s1_node_economy_38_6</v>
      </c>
      <c r="B250" s="0" t="s">
        <v>0</v>
      </c>
      <c r="C250" s="0" t="s">
        <v>26</v>
      </c>
      <c r="D250" s="0" t="s">
        <v>103</v>
      </c>
      <c r="E250" s="0" t="str">
        <f>"s1_node_"&amp;D250&amp;"_name"</f>
        <v>s1_node_economy_name</v>
      </c>
      <c r="F250" s="10" t="str">
        <f>"s1_node_"&amp;D250&amp;"_desc"</f>
        <v>s1_node_economy_desc</v>
      </c>
      <c r="G250" s="0" t="s">
        <v>417</v>
      </c>
      <c r="H250" s="0">
        <v>2</v>
      </c>
      <c r="I250" s="0" t="s">
        <v>27</v>
      </c>
      <c r="J250" s="0" t="s">
        <v>510</v>
      </c>
      <c r="K250" s="0">
        <v>1430</v>
      </c>
      <c r="L250" s="10">
        <v>3</v>
      </c>
      <c r="M250" s="0">
        <v>38</v>
      </c>
      <c r="N250" s="0">
        <v>6</v>
      </c>
      <c r="O250" s="10" t="s">
        <v>512</v>
      </c>
      <c r="P250" s="10"/>
      <c r="T250" s="0" t="str">
        <f>_xlfn.TEXTJOIN("_",TRUE,C250,"node_eff",D250,M250,N250)</f>
        <v>s1_node_eff_economy_38_6</v>
      </c>
    </row>
    <row r="251" spans="1:20" x14ac:dyDescent="0.45">
      <c r="A251" s="0" t="str">
        <f>_xlfn.TEXTJOIN("_",TRUE,C251,"node",D251,M251,N251)</f>
        <v>s1_node_economy_39_2</v>
      </c>
      <c r="B251" s="0" t="s">
        <v>0</v>
      </c>
      <c r="C251" s="0" t="s">
        <v>26</v>
      </c>
      <c r="D251" s="0" t="s">
        <v>103</v>
      </c>
      <c r="E251" s="0" t="str">
        <f>"s1_node_"&amp;D251&amp;"_name"</f>
        <v>s1_node_economy_name</v>
      </c>
      <c r="F251" s="10" t="str">
        <f>"s1_node_"&amp;D251&amp;"_desc"</f>
        <v>s1_node_economy_desc</v>
      </c>
      <c r="G251" s="0" t="s">
        <v>421</v>
      </c>
      <c r="H251" s="0">
        <v>2</v>
      </c>
      <c r="I251" s="0" t="s">
        <v>27</v>
      </c>
      <c r="J251" s="0" t="s">
        <v>249</v>
      </c>
      <c r="K251" s="0">
        <v>1470</v>
      </c>
      <c r="L251" s="10">
        <v>3</v>
      </c>
      <c r="M251" s="0">
        <v>39</v>
      </c>
      <c r="N251" s="0">
        <v>2</v>
      </c>
      <c r="O251" s="10" t="s">
        <v>513</v>
      </c>
      <c r="P251" s="10"/>
      <c r="T251" s="0" t="str">
        <f>_xlfn.TEXTJOIN("_",TRUE,C251,"node_eff",D251,M251,N251)</f>
        <v>s1_node_eff_economy_39_2</v>
      </c>
    </row>
    <row r="252" spans="1:20" x14ac:dyDescent="0.45">
      <c r="A252" s="0" t="str">
        <f>_xlfn.TEXTJOIN("_",TRUE,C252,"node",D252,M252,N252)</f>
        <v>s1_node_economy_39_6</v>
      </c>
      <c r="B252" s="0" t="s">
        <v>0</v>
      </c>
      <c r="C252" s="0" t="s">
        <v>26</v>
      </c>
      <c r="D252" s="0" t="s">
        <v>103</v>
      </c>
      <c r="E252" s="0" t="str">
        <f>"s1_node_"&amp;D252&amp;"_name"</f>
        <v>s1_node_economy_name</v>
      </c>
      <c r="F252" s="10" t="str">
        <f>"s1_node_"&amp;D252&amp;"_desc"</f>
        <v>s1_node_economy_desc</v>
      </c>
      <c r="G252" s="0" t="s">
        <v>417</v>
      </c>
      <c r="H252" s="0">
        <v>2</v>
      </c>
      <c r="I252" s="0" t="s">
        <v>27</v>
      </c>
      <c r="J252" s="0" t="s">
        <v>249</v>
      </c>
      <c r="K252" s="0">
        <v>1470</v>
      </c>
      <c r="L252" s="10">
        <v>3</v>
      </c>
      <c r="M252" s="0">
        <v>39</v>
      </c>
      <c r="N252" s="0">
        <v>6</v>
      </c>
      <c r="O252" s="10" t="s">
        <v>514</v>
      </c>
      <c r="P252" s="10"/>
      <c r="T252" s="0" t="str">
        <f>_xlfn.TEXTJOIN("_",TRUE,C252,"node_eff",D252,M252,N252)</f>
        <v>s1_node_eff_economy_39_6</v>
      </c>
    </row>
    <row r="253" spans="1:20" x14ac:dyDescent="0.45">
      <c r="A253" s="0" t="str">
        <f>_xlfn.TEXTJOIN("_",TRUE,C253,"node",D253,M253,N253)</f>
        <v>s1_node_economy_40_2</v>
      </c>
      <c r="B253" s="0" t="s">
        <v>0</v>
      </c>
      <c r="C253" s="0" t="s">
        <v>26</v>
      </c>
      <c r="D253" s="0" t="s">
        <v>103</v>
      </c>
      <c r="E253" s="0" t="str">
        <f>"s1_node_"&amp;D253&amp;"_name"</f>
        <v>s1_node_economy_name</v>
      </c>
      <c r="F253" s="10" t="str">
        <f>"s1_node_"&amp;D253&amp;"_desc"</f>
        <v>s1_node_economy_desc</v>
      </c>
      <c r="G253" s="0" t="s">
        <v>417</v>
      </c>
      <c r="H253" s="0">
        <v>2</v>
      </c>
      <c r="I253" s="0" t="s">
        <v>27</v>
      </c>
      <c r="J253" s="0" t="s">
        <v>252</v>
      </c>
      <c r="K253" s="0">
        <v>1510</v>
      </c>
      <c r="L253" s="10">
        <v>3</v>
      </c>
      <c r="M253" s="0">
        <v>40</v>
      </c>
      <c r="N253" s="0">
        <v>2</v>
      </c>
      <c r="O253" s="10" t="s">
        <v>515</v>
      </c>
      <c r="P253" s="10"/>
      <c r="T253" s="0" t="str">
        <f>_xlfn.TEXTJOIN("_",TRUE,C253,"node_eff",D253,M253,N253)</f>
        <v>s1_node_eff_economy_40_2</v>
      </c>
    </row>
    <row r="254" spans="1:20" x14ac:dyDescent="0.45">
      <c r="A254" s="0" t="str">
        <f>_xlfn.TEXTJOIN("_",TRUE,C254,"node",D254,M254,N254)</f>
        <v>s1_node_economy_40_6</v>
      </c>
      <c r="B254" s="0" t="s">
        <v>0</v>
      </c>
      <c r="C254" s="0" t="s">
        <v>26</v>
      </c>
      <c r="D254" s="0" t="s">
        <v>103</v>
      </c>
      <c r="E254" s="0" t="str">
        <f>"s1_node_"&amp;D254&amp;"_name"</f>
        <v>s1_node_economy_name</v>
      </c>
      <c r="F254" s="10" t="str">
        <f>"s1_node_"&amp;D254&amp;"_desc"</f>
        <v>s1_node_economy_desc</v>
      </c>
      <c r="G254" s="0" t="s">
        <v>417</v>
      </c>
      <c r="H254" s="0">
        <v>2</v>
      </c>
      <c r="I254" s="0" t="s">
        <v>27</v>
      </c>
      <c r="J254" s="0" t="s">
        <v>252</v>
      </c>
      <c r="K254" s="0">
        <v>1510</v>
      </c>
      <c r="L254" s="10">
        <v>3</v>
      </c>
      <c r="M254" s="0">
        <v>40</v>
      </c>
      <c r="N254" s="0">
        <v>6</v>
      </c>
      <c r="O254" s="10" t="s">
        <v>516</v>
      </c>
      <c r="P254" s="10"/>
      <c r="T254" s="0" t="str">
        <f>_xlfn.TEXTJOIN("_",TRUE,C254,"node_eff",D254,M254,N254)</f>
        <v>s1_node_eff_economy_40_6</v>
      </c>
    </row>
    <row r="255" spans="1:20" x14ac:dyDescent="0.45">
      <c r="A255" s="0" t="str">
        <f>_xlfn.TEXTJOIN("_",TRUE,C255,"node",D255,M255,N255)</f>
        <v>s1_node_economy_41_4</v>
      </c>
      <c r="B255" s="0" t="s">
        <v>0</v>
      </c>
      <c r="C255" s="0" t="s">
        <v>26</v>
      </c>
      <c r="D255" s="0" t="s">
        <v>103</v>
      </c>
      <c r="E255" s="0" t="str">
        <f>"s1_node_"&amp;D255&amp;"_name"</f>
        <v>s1_node_economy_name</v>
      </c>
      <c r="F255" s="10" t="str">
        <f>"s1_node_"&amp;D255&amp;"_desc"</f>
        <v>s1_node_economy_desc</v>
      </c>
      <c r="G255" s="0" t="s">
        <v>417</v>
      </c>
      <c r="H255" s="0">
        <v>3</v>
      </c>
      <c r="I255" s="0" t="s">
        <v>27</v>
      </c>
      <c r="J255" s="0" t="s">
        <v>254</v>
      </c>
      <c r="K255" s="0">
        <v>1540</v>
      </c>
      <c r="L255" s="10">
        <v>3</v>
      </c>
      <c r="M255" s="0">
        <v>41</v>
      </c>
      <c r="N255" s="0">
        <v>4</v>
      </c>
      <c r="O255" s="0" t="s">
        <v>517</v>
      </c>
      <c r="P255" s="0" t="s">
        <v>518</v>
      </c>
      <c r="T255" s="0" t="str">
        <f>_xlfn.TEXTJOIN("_",TRUE,C255,"node_eff",D255,M255,N255)</f>
        <v>s1_node_eff_economy_41_4</v>
      </c>
    </row>
    <row r="256" spans="1:20" x14ac:dyDescent="0.45">
      <c r="A256" s="0" t="str">
        <f>_xlfn.TEXTJOIN("_",TRUE,C256,"node",D256,M256,N256)</f>
        <v>s1_node_economy_42_2</v>
      </c>
      <c r="B256" s="0" t="s">
        <v>0</v>
      </c>
      <c r="C256" s="0" t="s">
        <v>26</v>
      </c>
      <c r="D256" s="0" t="s">
        <v>103</v>
      </c>
      <c r="E256" s="0" t="str">
        <f>"s1_node_"&amp;D256&amp;"_name"</f>
        <v>s1_node_economy_name</v>
      </c>
      <c r="F256" s="10" t="str">
        <f>"s1_node_"&amp;D256&amp;"_desc"</f>
        <v>s1_node_economy_desc</v>
      </c>
      <c r="G256" s="0" t="s">
        <v>421</v>
      </c>
      <c r="H256" s="0">
        <v>3</v>
      </c>
      <c r="I256" s="0" t="s">
        <v>27</v>
      </c>
      <c r="J256" s="0" t="s">
        <v>519</v>
      </c>
      <c r="K256" s="0">
        <v>1580</v>
      </c>
      <c r="L256" s="10">
        <v>3</v>
      </c>
      <c r="M256" s="0">
        <v>42</v>
      </c>
      <c r="N256" s="0">
        <v>2</v>
      </c>
      <c r="O256" s="0" t="s">
        <v>520</v>
      </c>
      <c r="T256" s="0" t="str">
        <f>_xlfn.TEXTJOIN("_",TRUE,C256,"node_eff",D256,M256,N256)</f>
        <v>s1_node_eff_economy_42_2</v>
      </c>
    </row>
    <row r="257" spans="1:20" x14ac:dyDescent="0.45">
      <c r="A257" s="0" t="str">
        <f>_xlfn.TEXTJOIN("_",TRUE,C257,"node",D257,M257,N257)</f>
        <v>s1_node_economy_42_6</v>
      </c>
      <c r="B257" s="0" t="s">
        <v>0</v>
      </c>
      <c r="C257" s="0" t="s">
        <v>26</v>
      </c>
      <c r="D257" s="0" t="s">
        <v>103</v>
      </c>
      <c r="E257" s="0" t="str">
        <f>"s1_node_"&amp;D257&amp;"_name"</f>
        <v>s1_node_economy_name</v>
      </c>
      <c r="F257" s="10" t="str">
        <f>"s1_node_"&amp;D257&amp;"_desc"</f>
        <v>s1_node_economy_desc</v>
      </c>
      <c r="G257" s="0" t="s">
        <v>417</v>
      </c>
      <c r="H257" s="0">
        <v>3</v>
      </c>
      <c r="I257" s="0" t="s">
        <v>27</v>
      </c>
      <c r="J257" s="0" t="s">
        <v>519</v>
      </c>
      <c r="K257" s="0">
        <v>1580</v>
      </c>
      <c r="L257" s="10">
        <v>3</v>
      </c>
      <c r="M257" s="0">
        <v>42</v>
      </c>
      <c r="N257" s="0">
        <v>6</v>
      </c>
      <c r="O257" s="0" t="s">
        <v>520</v>
      </c>
      <c r="T257" s="0" t="str">
        <f>_xlfn.TEXTJOIN("_",TRUE,C257,"node_eff",D257,M257,N257)</f>
        <v>s1_node_eff_economy_42_6</v>
      </c>
    </row>
    <row r="258" spans="1:20" x14ac:dyDescent="0.45">
      <c r="A258" s="0" t="str">
        <f>_xlfn.TEXTJOIN("_",TRUE,C258,"node",D258,M258,N258)</f>
        <v>s1_node_economy_43_2</v>
      </c>
      <c r="B258" s="0" t="s">
        <v>0</v>
      </c>
      <c r="C258" s="0" t="s">
        <v>26</v>
      </c>
      <c r="D258" s="0" t="s">
        <v>103</v>
      </c>
      <c r="E258" s="0" t="str">
        <f>"s1_node_"&amp;D258&amp;"_name"</f>
        <v>s1_node_economy_name</v>
      </c>
      <c r="F258" s="10" t="str">
        <f>"s1_node_"&amp;D258&amp;"_desc"</f>
        <v>s1_node_economy_desc</v>
      </c>
      <c r="G258" s="0" t="s">
        <v>417</v>
      </c>
      <c r="H258" s="0">
        <v>3</v>
      </c>
      <c r="I258" s="0" t="s">
        <v>27</v>
      </c>
      <c r="J258" s="0" t="s">
        <v>260</v>
      </c>
      <c r="K258" s="0">
        <v>1610</v>
      </c>
      <c r="L258" s="10">
        <v>3</v>
      </c>
      <c r="M258" s="0">
        <v>43</v>
      </c>
      <c r="N258" s="0">
        <v>2</v>
      </c>
      <c r="O258" s="0" t="s">
        <v>521</v>
      </c>
      <c r="T258" s="0" t="str">
        <f>_xlfn.TEXTJOIN("_",TRUE,C258,"node_eff",D258,M258,N258)</f>
        <v>s1_node_eff_economy_43_2</v>
      </c>
    </row>
    <row r="259" spans="1:20" x14ac:dyDescent="0.45">
      <c r="A259" s="0" t="str">
        <f>_xlfn.TEXTJOIN("_",TRUE,C259,"node",D259,M259,N259)</f>
        <v>s1_node_economy_43_6</v>
      </c>
      <c r="B259" s="0" t="s">
        <v>0</v>
      </c>
      <c r="C259" s="0" t="s">
        <v>26</v>
      </c>
      <c r="D259" s="0" t="s">
        <v>103</v>
      </c>
      <c r="E259" s="0" t="str">
        <f>"s1_node_"&amp;D259&amp;"_name"</f>
        <v>s1_node_economy_name</v>
      </c>
      <c r="F259" s="10" t="str">
        <f>"s1_node_"&amp;D259&amp;"_desc"</f>
        <v>s1_node_economy_desc</v>
      </c>
      <c r="G259" s="0" t="s">
        <v>417</v>
      </c>
      <c r="H259" s="0">
        <v>3</v>
      </c>
      <c r="I259" s="0" t="s">
        <v>27</v>
      </c>
      <c r="J259" s="0" t="s">
        <v>260</v>
      </c>
      <c r="K259" s="0">
        <v>1610</v>
      </c>
      <c r="L259" s="10">
        <v>3</v>
      </c>
      <c r="M259" s="0">
        <v>43</v>
      </c>
      <c r="N259" s="0">
        <v>6</v>
      </c>
      <c r="O259" s="0" t="s">
        <v>522</v>
      </c>
      <c r="T259" s="0" t="str">
        <f>_xlfn.TEXTJOIN("_",TRUE,C259,"node_eff",D259,M259,N259)</f>
        <v>s1_node_eff_economy_43_6</v>
      </c>
    </row>
    <row r="260" spans="1:20" x14ac:dyDescent="0.45">
      <c r="A260" s="0" t="str">
        <f>_xlfn.TEXTJOIN("_",TRUE,C260,"node",D260,M260,N260)</f>
        <v>s1_node_economy_44_2</v>
      </c>
      <c r="B260" s="0" t="s">
        <v>0</v>
      </c>
      <c r="C260" s="0" t="s">
        <v>26</v>
      </c>
      <c r="D260" s="0" t="s">
        <v>103</v>
      </c>
      <c r="E260" s="0" t="str">
        <f>"s1_node_"&amp;D260&amp;"_name"</f>
        <v>s1_node_economy_name</v>
      </c>
      <c r="F260" s="10" t="str">
        <f>"s1_node_"&amp;D260&amp;"_desc"</f>
        <v>s1_node_economy_desc</v>
      </c>
      <c r="G260" s="0" t="s">
        <v>417</v>
      </c>
      <c r="H260" s="0">
        <v>3</v>
      </c>
      <c r="I260" s="0" t="s">
        <v>27</v>
      </c>
      <c r="J260" s="0" t="s">
        <v>523</v>
      </c>
      <c r="K260" s="0">
        <v>1650</v>
      </c>
      <c r="L260" s="10">
        <v>3</v>
      </c>
      <c r="M260" s="0">
        <v>44</v>
      </c>
      <c r="N260" s="0">
        <v>2</v>
      </c>
      <c r="O260" s="0" t="s">
        <v>524</v>
      </c>
      <c r="T260" s="0" t="str">
        <f>_xlfn.TEXTJOIN("_",TRUE,C260,"node_eff",D260,M260,N260)</f>
        <v>s1_node_eff_economy_44_2</v>
      </c>
    </row>
    <row r="261" spans="1:20" x14ac:dyDescent="0.45">
      <c r="A261" s="0" t="str">
        <f>_xlfn.TEXTJOIN("_",TRUE,C261,"node",D261,M261,N261)</f>
        <v>s1_node_economy_44_6</v>
      </c>
      <c r="B261" s="0" t="s">
        <v>0</v>
      </c>
      <c r="C261" s="0" t="s">
        <v>26</v>
      </c>
      <c r="D261" s="0" t="s">
        <v>103</v>
      </c>
      <c r="E261" s="0" t="str">
        <f>"s1_node_"&amp;D261&amp;"_name"</f>
        <v>s1_node_economy_name</v>
      </c>
      <c r="F261" s="10" t="str">
        <f>"s1_node_"&amp;D261&amp;"_desc"</f>
        <v>s1_node_economy_desc</v>
      </c>
      <c r="G261" s="0" t="s">
        <v>417</v>
      </c>
      <c r="H261" s="0">
        <v>3</v>
      </c>
      <c r="I261" s="0" t="s">
        <v>27</v>
      </c>
      <c r="J261" s="0" t="s">
        <v>523</v>
      </c>
      <c r="K261" s="0">
        <v>1650</v>
      </c>
      <c r="L261" s="10">
        <v>3</v>
      </c>
      <c r="M261" s="0">
        <v>44</v>
      </c>
      <c r="N261" s="0">
        <v>6</v>
      </c>
      <c r="O261" s="0" t="s">
        <v>525</v>
      </c>
      <c r="T261" s="0" t="str">
        <f>_xlfn.TEXTJOIN("_",TRUE,C261,"node_eff",D261,M261,N261)</f>
        <v>s1_node_eff_economy_44_6</v>
      </c>
    </row>
    <row r="262" spans="1:20" x14ac:dyDescent="0.45">
      <c r="A262" s="0" t="str">
        <f>_xlfn.TEXTJOIN("_",TRUE,C262,"node",D262,M262,N262)</f>
        <v>s1_node_economy_45_2</v>
      </c>
      <c r="B262" s="0" t="s">
        <v>0</v>
      </c>
      <c r="C262" s="0" t="s">
        <v>26</v>
      </c>
      <c r="D262" s="0" t="s">
        <v>103</v>
      </c>
      <c r="E262" s="0" t="str">
        <f>"s1_node_"&amp;D262&amp;"_name"</f>
        <v>s1_node_economy_name</v>
      </c>
      <c r="F262" s="10" t="str">
        <f>"s1_node_"&amp;D262&amp;"_desc"</f>
        <v>s1_node_economy_desc</v>
      </c>
      <c r="G262" s="0" t="s">
        <v>417</v>
      </c>
      <c r="H262" s="0">
        <v>3</v>
      </c>
      <c r="I262" s="0" t="s">
        <v>27</v>
      </c>
      <c r="J262" s="0" t="s">
        <v>266</v>
      </c>
      <c r="K262" s="0">
        <v>1680</v>
      </c>
      <c r="L262" s="10">
        <v>3</v>
      </c>
      <c r="M262" s="0">
        <v>45</v>
      </c>
      <c r="N262" s="0">
        <v>2</v>
      </c>
      <c r="O262" s="0" t="s">
        <v>526</v>
      </c>
      <c r="T262" s="0" t="str">
        <f>_xlfn.TEXTJOIN("_",TRUE,C262,"node_eff",D262,M262,N262)</f>
        <v>s1_node_eff_economy_45_2</v>
      </c>
    </row>
    <row r="263" spans="1:20" x14ac:dyDescent="0.45">
      <c r="A263" s="0" t="str">
        <f>_xlfn.TEXTJOIN("_",TRUE,C263,"node",D263,M263,N263)</f>
        <v>s1_node_economy_45_6</v>
      </c>
      <c r="B263" s="0" t="s">
        <v>0</v>
      </c>
      <c r="C263" s="0" t="s">
        <v>26</v>
      </c>
      <c r="D263" s="0" t="s">
        <v>103</v>
      </c>
      <c r="E263" s="0" t="str">
        <f>"s1_node_"&amp;D263&amp;"_name"</f>
        <v>s1_node_economy_name</v>
      </c>
      <c r="F263" s="10" t="str">
        <f>"s1_node_"&amp;D263&amp;"_desc"</f>
        <v>s1_node_economy_desc</v>
      </c>
      <c r="G263" s="0" t="s">
        <v>417</v>
      </c>
      <c r="H263" s="0">
        <v>3</v>
      </c>
      <c r="I263" s="0" t="s">
        <v>27</v>
      </c>
      <c r="J263" s="0" t="s">
        <v>266</v>
      </c>
      <c r="K263" s="0">
        <v>1680</v>
      </c>
      <c r="L263" s="10">
        <v>3</v>
      </c>
      <c r="M263" s="0">
        <v>45</v>
      </c>
      <c r="N263" s="0">
        <v>6</v>
      </c>
      <c r="O263" s="0" t="s">
        <v>527</v>
      </c>
      <c r="T263" s="0" t="str">
        <f>_xlfn.TEXTJOIN("_",TRUE,C263,"node_eff",D263,M263,N263)</f>
        <v>s1_node_eff_economy_45_6</v>
      </c>
    </row>
    <row r="264" spans="1:20" x14ac:dyDescent="0.45">
      <c r="A264" s="0" t="str">
        <f>_xlfn.TEXTJOIN("_",TRUE,C264,"node",D264,M264,N264)</f>
        <v>s1_node_economy_46_4</v>
      </c>
      <c r="B264" s="0" t="s">
        <v>0</v>
      </c>
      <c r="C264" s="0" t="s">
        <v>26</v>
      </c>
      <c r="D264" s="0" t="s">
        <v>103</v>
      </c>
      <c r="E264" s="0" t="str">
        <f>"s1_node_"&amp;D264&amp;"_name"</f>
        <v>s1_node_economy_name</v>
      </c>
      <c r="F264" s="10" t="str">
        <f>"s1_node_"&amp;D264&amp;"_desc"</f>
        <v>s1_node_economy_desc</v>
      </c>
      <c r="G264" s="0" t="s">
        <v>417</v>
      </c>
      <c r="H264" s="0">
        <v>3</v>
      </c>
      <c r="I264" s="0" t="s">
        <v>27</v>
      </c>
      <c r="J264" s="0" t="s">
        <v>528</v>
      </c>
      <c r="K264" s="0">
        <v>1720</v>
      </c>
      <c r="L264" s="10">
        <v>3</v>
      </c>
      <c r="M264" s="0">
        <v>46</v>
      </c>
      <c r="N264" s="0">
        <v>4</v>
      </c>
      <c r="O264" s="0" t="s">
        <v>529</v>
      </c>
      <c r="P264" s="0" t="s">
        <v>530</v>
      </c>
      <c r="T264" s="0" t="str">
        <f>_xlfn.TEXTJOIN("_",TRUE,C264,"node_eff",D264,M264,N264)</f>
        <v>s1_node_eff_economy_46_4</v>
      </c>
    </row>
    <row r="265" spans="1:20" x14ac:dyDescent="0.45">
      <c r="A265" s="0" t="str">
        <f>_xlfn.TEXTJOIN("_",TRUE,C265,"node",D265,M265,N265)</f>
        <v>s1_node_economy_47_2</v>
      </c>
      <c r="B265" s="0" t="s">
        <v>0</v>
      </c>
      <c r="C265" s="0" t="s">
        <v>26</v>
      </c>
      <c r="D265" s="0" t="s">
        <v>103</v>
      </c>
      <c r="E265" s="0" t="str">
        <f>"s1_node_"&amp;D265&amp;"_name"</f>
        <v>s1_node_economy_name</v>
      </c>
      <c r="F265" s="10" t="str">
        <f>"s1_node_"&amp;D265&amp;"_desc"</f>
        <v>s1_node_economy_desc</v>
      </c>
      <c r="G265" s="0" t="s">
        <v>417</v>
      </c>
      <c r="H265" s="0">
        <v>3</v>
      </c>
      <c r="I265" s="0" t="s">
        <v>27</v>
      </c>
      <c r="J265" s="0" t="s">
        <v>531</v>
      </c>
      <c r="K265" s="0">
        <v>1760</v>
      </c>
      <c r="L265" s="10">
        <v>3</v>
      </c>
      <c r="M265" s="0">
        <v>47</v>
      </c>
      <c r="N265" s="0">
        <v>2</v>
      </c>
      <c r="O265" s="0" t="s">
        <v>532</v>
      </c>
      <c r="T265" s="0" t="str">
        <f>_xlfn.TEXTJOIN("_",TRUE,C265,"node_eff",D265,M265,N265)</f>
        <v>s1_node_eff_economy_47_2</v>
      </c>
    </row>
    <row r="266" spans="1:20" x14ac:dyDescent="0.45">
      <c r="A266" s="0" t="str">
        <f>_xlfn.TEXTJOIN("_",TRUE,C266,"node",D266,M266,N266)</f>
        <v>s1_node_economy_47_6</v>
      </c>
      <c r="B266" s="0" t="s">
        <v>0</v>
      </c>
      <c r="C266" s="0" t="s">
        <v>26</v>
      </c>
      <c r="D266" s="0" t="s">
        <v>103</v>
      </c>
      <c r="E266" s="0" t="str">
        <f>"s1_node_"&amp;D266&amp;"_name"</f>
        <v>s1_node_economy_name</v>
      </c>
      <c r="F266" s="10" t="str">
        <f>"s1_node_"&amp;D266&amp;"_desc"</f>
        <v>s1_node_economy_desc</v>
      </c>
      <c r="G266" s="0" t="s">
        <v>417</v>
      </c>
      <c r="H266" s="0">
        <v>3</v>
      </c>
      <c r="I266" s="0" t="s">
        <v>27</v>
      </c>
      <c r="J266" s="0" t="s">
        <v>531</v>
      </c>
      <c r="K266" s="0">
        <v>1760</v>
      </c>
      <c r="L266" s="10">
        <v>3</v>
      </c>
      <c r="M266" s="0">
        <v>47</v>
      </c>
      <c r="N266" s="0">
        <v>6</v>
      </c>
      <c r="O266" s="0" t="s">
        <v>532</v>
      </c>
      <c r="T266" s="0" t="str">
        <f>_xlfn.TEXTJOIN("_",TRUE,C266,"node_eff",D266,M266,N266)</f>
        <v>s1_node_eff_economy_47_6</v>
      </c>
    </row>
    <row r="267" spans="1:20" x14ac:dyDescent="0.45">
      <c r="A267" s="0" t="str">
        <f>_xlfn.TEXTJOIN("_",TRUE,C267,"node",D267,M267,N267)</f>
        <v>s1_node_economy_48_2</v>
      </c>
      <c r="B267" s="0" t="s">
        <v>0</v>
      </c>
      <c r="C267" s="0" t="s">
        <v>26</v>
      </c>
      <c r="D267" s="0" t="s">
        <v>103</v>
      </c>
      <c r="E267" s="0" t="str">
        <f>"s1_node_"&amp;D267&amp;"_name"</f>
        <v>s1_node_economy_name</v>
      </c>
      <c r="F267" s="10" t="str">
        <f>"s1_node_"&amp;D267&amp;"_desc"</f>
        <v>s1_node_economy_desc</v>
      </c>
      <c r="G267" s="0" t="s">
        <v>417</v>
      </c>
      <c r="H267" s="0">
        <v>3</v>
      </c>
      <c r="I267" s="0" t="s">
        <v>27</v>
      </c>
      <c r="J267" s="0" t="s">
        <v>533</v>
      </c>
      <c r="K267" s="0">
        <v>1790</v>
      </c>
      <c r="L267" s="10">
        <v>3</v>
      </c>
      <c r="M267" s="0">
        <v>48</v>
      </c>
      <c r="N267" s="0">
        <v>2</v>
      </c>
      <c r="O267" s="0" t="s">
        <v>534</v>
      </c>
      <c r="T267" s="0" t="str">
        <f>_xlfn.TEXTJOIN("_",TRUE,C267,"node_eff",D267,M267,N267)</f>
        <v>s1_node_eff_economy_48_2</v>
      </c>
    </row>
    <row r="268" spans="1:20" x14ac:dyDescent="0.45">
      <c r="A268" s="0" t="str">
        <f>_xlfn.TEXTJOIN("_",TRUE,C268,"node",D268,M268,N268)</f>
        <v>s1_node_economy_48_6</v>
      </c>
      <c r="B268" s="0" t="s">
        <v>0</v>
      </c>
      <c r="C268" s="0" t="s">
        <v>26</v>
      </c>
      <c r="D268" s="0" t="s">
        <v>103</v>
      </c>
      <c r="E268" s="0" t="str">
        <f>"s1_node_"&amp;D268&amp;"_name"</f>
        <v>s1_node_economy_name</v>
      </c>
      <c r="F268" s="10" t="str">
        <f>"s1_node_"&amp;D268&amp;"_desc"</f>
        <v>s1_node_economy_desc</v>
      </c>
      <c r="G268" s="0" t="s">
        <v>417</v>
      </c>
      <c r="H268" s="0">
        <v>3</v>
      </c>
      <c r="I268" s="0" t="s">
        <v>27</v>
      </c>
      <c r="J268" s="0" t="s">
        <v>533</v>
      </c>
      <c r="K268" s="0">
        <v>1790</v>
      </c>
      <c r="L268" s="10">
        <v>3</v>
      </c>
      <c r="M268" s="0">
        <v>48</v>
      </c>
      <c r="N268" s="0">
        <v>6</v>
      </c>
      <c r="O268" s="0" t="s">
        <v>535</v>
      </c>
      <c r="T268" s="0" t="str">
        <f>_xlfn.TEXTJOIN("_",TRUE,C268,"node_eff",D268,M268,N268)</f>
        <v>s1_node_eff_economy_48_6</v>
      </c>
    </row>
    <row r="269" spans="1:20" x14ac:dyDescent="0.45">
      <c r="A269" s="0" t="str">
        <f>_xlfn.TEXTJOIN("_",TRUE,C269,"node",D269,M269,N269)</f>
        <v>s1_node_economy_49_2</v>
      </c>
      <c r="B269" s="0" t="s">
        <v>0</v>
      </c>
      <c r="C269" s="0" t="s">
        <v>26</v>
      </c>
      <c r="D269" s="0" t="s">
        <v>103</v>
      </c>
      <c r="E269" s="0" t="str">
        <f>"s1_node_"&amp;D269&amp;"_name"</f>
        <v>s1_node_economy_name</v>
      </c>
      <c r="F269" s="10" t="str">
        <f>"s1_node_"&amp;D269&amp;"_desc"</f>
        <v>s1_node_economy_desc</v>
      </c>
      <c r="G269" s="0" t="s">
        <v>417</v>
      </c>
      <c r="H269" s="0">
        <v>3</v>
      </c>
      <c r="I269" s="0" t="s">
        <v>27</v>
      </c>
      <c r="J269" s="0" t="s">
        <v>536</v>
      </c>
      <c r="K269" s="0">
        <v>1830</v>
      </c>
      <c r="L269" s="10">
        <v>3</v>
      </c>
      <c r="M269" s="0">
        <v>49</v>
      </c>
      <c r="N269" s="0">
        <v>2</v>
      </c>
      <c r="O269" s="0" t="s">
        <v>537</v>
      </c>
      <c r="T269" s="0" t="str">
        <f>_xlfn.TEXTJOIN("_",TRUE,C269,"node_eff",D269,M269,N269)</f>
        <v>s1_node_eff_economy_49_2</v>
      </c>
    </row>
    <row r="270" spans="1:20" x14ac:dyDescent="0.45">
      <c r="A270" s="0" t="str">
        <f>_xlfn.TEXTJOIN("_",TRUE,C270,"node",D270,M270,N270)</f>
        <v>s1_node_economy_49_6</v>
      </c>
      <c r="B270" s="0" t="s">
        <v>0</v>
      </c>
      <c r="C270" s="0" t="s">
        <v>26</v>
      </c>
      <c r="D270" s="0" t="s">
        <v>103</v>
      </c>
      <c r="E270" s="0" t="str">
        <f>"s1_node_"&amp;D270&amp;"_name"</f>
        <v>s1_node_economy_name</v>
      </c>
      <c r="F270" s="10" t="str">
        <f>"s1_node_"&amp;D270&amp;"_desc"</f>
        <v>s1_node_economy_desc</v>
      </c>
      <c r="G270" s="0" t="s">
        <v>421</v>
      </c>
      <c r="H270" s="0">
        <v>3</v>
      </c>
      <c r="I270" s="0" t="s">
        <v>27</v>
      </c>
      <c r="J270" s="0" t="s">
        <v>536</v>
      </c>
      <c r="K270" s="0">
        <v>1830</v>
      </c>
      <c r="L270" s="10">
        <v>3</v>
      </c>
      <c r="M270" s="0">
        <v>49</v>
      </c>
      <c r="N270" s="0">
        <v>6</v>
      </c>
      <c r="O270" s="0" t="s">
        <v>538</v>
      </c>
      <c r="T270" s="0" t="str">
        <f>_xlfn.TEXTJOIN("_",TRUE,C270,"node_eff",D270,M270,N270)</f>
        <v>s1_node_eff_economy_49_6</v>
      </c>
    </row>
    <row r="271" spans="1:20" x14ac:dyDescent="0.45">
      <c r="A271" s="0" t="str">
        <f>_xlfn.TEXTJOIN("_",TRUE,C271,"node",D271,M271,N271)</f>
        <v>s1_node_economy_50_2</v>
      </c>
      <c r="B271" s="0" t="s">
        <v>0</v>
      </c>
      <c r="C271" s="0" t="s">
        <v>26</v>
      </c>
      <c r="D271" s="0" t="s">
        <v>103</v>
      </c>
      <c r="E271" s="0" t="str">
        <f>"s1_node_"&amp;D271&amp;"_name"</f>
        <v>s1_node_economy_name</v>
      </c>
      <c r="F271" s="10" t="str">
        <f>"s1_node_"&amp;D271&amp;"_desc"</f>
        <v>s1_node_economy_desc</v>
      </c>
      <c r="G271" s="0" t="s">
        <v>417</v>
      </c>
      <c r="H271" s="0">
        <v>3</v>
      </c>
      <c r="I271" s="0" t="s">
        <v>27</v>
      </c>
      <c r="J271" s="0" t="s">
        <v>539</v>
      </c>
      <c r="K271" s="0">
        <v>1860</v>
      </c>
      <c r="L271" s="10">
        <v>3</v>
      </c>
      <c r="M271" s="0">
        <v>50</v>
      </c>
      <c r="N271" s="0">
        <v>2</v>
      </c>
      <c r="O271" s="0" t="s">
        <v>540</v>
      </c>
      <c r="T271" s="0" t="str">
        <f>_xlfn.TEXTJOIN("_",TRUE,C271,"node_eff",D271,M271,N271)</f>
        <v>s1_node_eff_economy_50_2</v>
      </c>
    </row>
    <row r="272" spans="1:20" x14ac:dyDescent="0.45">
      <c r="A272" s="0" t="str">
        <f>_xlfn.TEXTJOIN("_",TRUE,C272,"node",D272,M272,N272)</f>
        <v>s1_node_economy_50_6</v>
      </c>
      <c r="B272" s="0" t="s">
        <v>0</v>
      </c>
      <c r="C272" s="0" t="s">
        <v>26</v>
      </c>
      <c r="D272" s="0" t="s">
        <v>103</v>
      </c>
      <c r="E272" s="0" t="str">
        <f>"s1_node_"&amp;D272&amp;"_name"</f>
        <v>s1_node_economy_name</v>
      </c>
      <c r="F272" s="10" t="str">
        <f>"s1_node_"&amp;D272&amp;"_desc"</f>
        <v>s1_node_economy_desc</v>
      </c>
      <c r="G272" s="0" t="s">
        <v>417</v>
      </c>
      <c r="H272" s="0">
        <v>3</v>
      </c>
      <c r="I272" s="0" t="s">
        <v>27</v>
      </c>
      <c r="J272" s="0" t="s">
        <v>539</v>
      </c>
      <c r="K272" s="0">
        <v>1860</v>
      </c>
      <c r="L272" s="10">
        <v>3</v>
      </c>
      <c r="M272" s="0">
        <v>50</v>
      </c>
      <c r="N272" s="0">
        <v>6</v>
      </c>
      <c r="O272" s="0" t="s">
        <v>541</v>
      </c>
      <c r="T272" s="0" t="str">
        <f>_xlfn.TEXTJOIN("_",TRUE,C272,"node_eff",D272,M272,N272)</f>
        <v>s1_node_eff_economy_50_6</v>
      </c>
    </row>
    <row r="273" spans="1:20" x14ac:dyDescent="0.45">
      <c r="A273" s="0" t="str">
        <f>_xlfn.TEXTJOIN("_",TRUE,C273,"node",D273,M273,N273)</f>
        <v>s1_node_economy_51_4</v>
      </c>
      <c r="B273" s="0" t="s">
        <v>0</v>
      </c>
      <c r="C273" s="0" t="s">
        <v>26</v>
      </c>
      <c r="D273" s="0" t="s">
        <v>103</v>
      </c>
      <c r="E273" s="0" t="str">
        <f>"s1_node_"&amp;D273&amp;"_name"</f>
        <v>s1_node_economy_name</v>
      </c>
      <c r="F273" s="10" t="str">
        <f>"s1_node_"&amp;D273&amp;"_desc"</f>
        <v>s1_node_economy_desc</v>
      </c>
      <c r="G273" s="0" t="s">
        <v>417</v>
      </c>
      <c r="H273" s="0">
        <v>3</v>
      </c>
      <c r="I273" s="0" t="s">
        <v>27</v>
      </c>
      <c r="J273" s="0" t="s">
        <v>542</v>
      </c>
      <c r="K273" s="0">
        <v>1900</v>
      </c>
      <c r="L273" s="10">
        <v>3</v>
      </c>
      <c r="M273" s="0">
        <v>51</v>
      </c>
      <c r="N273" s="0">
        <v>4</v>
      </c>
      <c r="O273" s="0" t="s">
        <v>543</v>
      </c>
      <c r="P273" s="0" t="s">
        <v>544</v>
      </c>
      <c r="T273" s="0" t="str">
        <f>_xlfn.TEXTJOIN("_",TRUE,C273,"node_eff",D273,M273,N273)</f>
        <v>s1_node_eff_economy_51_4</v>
      </c>
    </row>
    <row r="274" spans="1:20" x14ac:dyDescent="0.45">
      <c r="A274" s="0" t="str">
        <f>_xlfn.TEXTJOIN("_",TRUE,C274,"node",D274,M274,N274)</f>
        <v>s1_node_economy_52_2</v>
      </c>
      <c r="B274" s="0" t="s">
        <v>0</v>
      </c>
      <c r="C274" s="0" t="s">
        <v>26</v>
      </c>
      <c r="D274" s="0" t="s">
        <v>103</v>
      </c>
      <c r="E274" s="0" t="str">
        <f>"s1_node_"&amp;D274&amp;"_name"</f>
        <v>s1_node_economy_name</v>
      </c>
      <c r="F274" s="10" t="str">
        <f>"s1_node_"&amp;D274&amp;"_desc"</f>
        <v>s1_node_economy_desc</v>
      </c>
      <c r="G274" s="0" t="s">
        <v>417</v>
      </c>
      <c r="H274" s="0">
        <v>3</v>
      </c>
      <c r="I274" s="0" t="s">
        <v>27</v>
      </c>
      <c r="J274" s="0" t="s">
        <v>545</v>
      </c>
      <c r="K274" s="0">
        <v>1930</v>
      </c>
      <c r="L274" s="10">
        <v>3</v>
      </c>
      <c r="M274" s="0">
        <v>52</v>
      </c>
      <c r="N274" s="0">
        <v>2</v>
      </c>
      <c r="O274" s="0" t="s">
        <v>546</v>
      </c>
      <c r="T274" s="0" t="str">
        <f>_xlfn.TEXTJOIN("_",TRUE,C274,"node_eff",D274,M274,N274)</f>
        <v>s1_node_eff_economy_52_2</v>
      </c>
    </row>
    <row r="275" spans="1:20" x14ac:dyDescent="0.45">
      <c r="A275" s="0" t="str">
        <f>_xlfn.TEXTJOIN("_",TRUE,C275,"node",D275,M275,N275)</f>
        <v>s1_node_economy_52_6</v>
      </c>
      <c r="B275" s="0" t="s">
        <v>0</v>
      </c>
      <c r="C275" s="0" t="s">
        <v>26</v>
      </c>
      <c r="D275" s="0" t="s">
        <v>103</v>
      </c>
      <c r="E275" s="0" t="str">
        <f>"s1_node_"&amp;D275&amp;"_name"</f>
        <v>s1_node_economy_name</v>
      </c>
      <c r="F275" s="10" t="str">
        <f>"s1_node_"&amp;D275&amp;"_desc"</f>
        <v>s1_node_economy_desc</v>
      </c>
      <c r="G275" s="0" t="s">
        <v>421</v>
      </c>
      <c r="H275" s="0">
        <v>3</v>
      </c>
      <c r="I275" s="0" t="s">
        <v>27</v>
      </c>
      <c r="J275" s="0" t="s">
        <v>545</v>
      </c>
      <c r="K275" s="0">
        <v>1930</v>
      </c>
      <c r="L275" s="10">
        <v>3</v>
      </c>
      <c r="M275" s="0">
        <v>52</v>
      </c>
      <c r="N275" s="0">
        <v>6</v>
      </c>
      <c r="O275" s="0" t="s">
        <v>546</v>
      </c>
      <c r="T275" s="0" t="str">
        <f>_xlfn.TEXTJOIN("_",TRUE,C275,"node_eff",D275,M275,N275)</f>
        <v>s1_node_eff_economy_52_6</v>
      </c>
    </row>
    <row r="276" spans="1:20" x14ac:dyDescent="0.45">
      <c r="A276" s="0" t="str">
        <f>_xlfn.TEXTJOIN("_",TRUE,C276,"node",D276,M276,N276)</f>
        <v>s1_node_economy_53_2</v>
      </c>
      <c r="B276" s="0" t="s">
        <v>0</v>
      </c>
      <c r="C276" s="0" t="s">
        <v>26</v>
      </c>
      <c r="D276" s="0" t="s">
        <v>103</v>
      </c>
      <c r="E276" s="0" t="str">
        <f>"s1_node_"&amp;D276&amp;"_name"</f>
        <v>s1_node_economy_name</v>
      </c>
      <c r="F276" s="10" t="str">
        <f>"s1_node_"&amp;D276&amp;"_desc"</f>
        <v>s1_node_economy_desc</v>
      </c>
      <c r="G276" s="0" t="s">
        <v>417</v>
      </c>
      <c r="H276" s="0">
        <v>3</v>
      </c>
      <c r="I276" s="0" t="s">
        <v>27</v>
      </c>
      <c r="J276" s="0" t="s">
        <v>547</v>
      </c>
      <c r="K276" s="0">
        <v>1970</v>
      </c>
      <c r="L276" s="10">
        <v>3</v>
      </c>
      <c r="M276" s="0">
        <v>53</v>
      </c>
      <c r="N276" s="0">
        <v>2</v>
      </c>
      <c r="O276" s="0" t="s">
        <v>548</v>
      </c>
      <c r="T276" s="0" t="str">
        <f>_xlfn.TEXTJOIN("_",TRUE,C276,"node_eff",D276,M276,N276)</f>
        <v>s1_node_eff_economy_53_2</v>
      </c>
    </row>
    <row r="277" spans="1:20" x14ac:dyDescent="0.45">
      <c r="A277" s="0" t="str">
        <f>_xlfn.TEXTJOIN("_",TRUE,C277,"node",D277,M277,N277)</f>
        <v>s1_node_economy_53_6</v>
      </c>
      <c r="B277" s="0" t="s">
        <v>0</v>
      </c>
      <c r="C277" s="0" t="s">
        <v>26</v>
      </c>
      <c r="D277" s="0" t="s">
        <v>103</v>
      </c>
      <c r="E277" s="0" t="str">
        <f>"s1_node_"&amp;D277&amp;"_name"</f>
        <v>s1_node_economy_name</v>
      </c>
      <c r="F277" s="10" t="str">
        <f>"s1_node_"&amp;D277&amp;"_desc"</f>
        <v>s1_node_economy_desc</v>
      </c>
      <c r="G277" s="0" t="s">
        <v>417</v>
      </c>
      <c r="H277" s="0">
        <v>3</v>
      </c>
      <c r="I277" s="0" t="s">
        <v>27</v>
      </c>
      <c r="J277" s="0" t="s">
        <v>547</v>
      </c>
      <c r="K277" s="0">
        <v>1970</v>
      </c>
      <c r="L277" s="10">
        <v>3</v>
      </c>
      <c r="M277" s="0">
        <v>53</v>
      </c>
      <c r="N277" s="0">
        <v>6</v>
      </c>
      <c r="O277" s="0" t="s">
        <v>549</v>
      </c>
      <c r="T277" s="0" t="str">
        <f>_xlfn.TEXTJOIN("_",TRUE,C277,"node_eff",D277,M277,N277)</f>
        <v>s1_node_eff_economy_53_6</v>
      </c>
    </row>
    <row r="278" spans="1:20" x14ac:dyDescent="0.45">
      <c r="A278" s="0" t="str">
        <f>_xlfn.TEXTJOIN("_",TRUE,C278,"node",D278,M278,N278)</f>
        <v>s1_node_economy_54_2</v>
      </c>
      <c r="B278" s="0" t="s">
        <v>0</v>
      </c>
      <c r="C278" s="0" t="s">
        <v>26</v>
      </c>
      <c r="D278" s="0" t="s">
        <v>103</v>
      </c>
      <c r="E278" s="0" t="str">
        <f>"s1_node_"&amp;D278&amp;"_name"</f>
        <v>s1_node_economy_name</v>
      </c>
      <c r="F278" s="10" t="str">
        <f>"s1_node_"&amp;D278&amp;"_desc"</f>
        <v>s1_node_economy_desc</v>
      </c>
      <c r="G278" s="0" t="s">
        <v>417</v>
      </c>
      <c r="H278" s="0">
        <v>3</v>
      </c>
      <c r="I278" s="0" t="s">
        <v>27</v>
      </c>
      <c r="J278" s="0" t="s">
        <v>550</v>
      </c>
      <c r="K278" s="0">
        <v>2010</v>
      </c>
      <c r="L278" s="10">
        <v>3</v>
      </c>
      <c r="M278" s="0">
        <v>54</v>
      </c>
      <c r="N278" s="0">
        <v>2</v>
      </c>
      <c r="O278" s="0" t="s">
        <v>551</v>
      </c>
      <c r="T278" s="0" t="str">
        <f>_xlfn.TEXTJOIN("_",TRUE,C278,"node_eff",D278,M278,N278)</f>
        <v>s1_node_eff_economy_54_2</v>
      </c>
    </row>
    <row r="279" spans="1:20" x14ac:dyDescent="0.45">
      <c r="A279" s="0" t="str">
        <f>_xlfn.TEXTJOIN("_",TRUE,C279,"node",D279,M279,N279)</f>
        <v>s1_node_economy_54_6</v>
      </c>
      <c r="B279" s="0" t="s">
        <v>0</v>
      </c>
      <c r="C279" s="0" t="s">
        <v>26</v>
      </c>
      <c r="D279" s="0" t="s">
        <v>103</v>
      </c>
      <c r="E279" s="0" t="str">
        <f>"s1_node_"&amp;D279&amp;"_name"</f>
        <v>s1_node_economy_name</v>
      </c>
      <c r="F279" s="10" t="str">
        <f>"s1_node_"&amp;D279&amp;"_desc"</f>
        <v>s1_node_economy_desc</v>
      </c>
      <c r="G279" s="0" t="s">
        <v>417</v>
      </c>
      <c r="H279" s="0">
        <v>3</v>
      </c>
      <c r="I279" s="0" t="s">
        <v>27</v>
      </c>
      <c r="J279" s="0" t="s">
        <v>550</v>
      </c>
      <c r="K279" s="0">
        <v>2010</v>
      </c>
      <c r="L279" s="10">
        <v>3</v>
      </c>
      <c r="M279" s="0">
        <v>54</v>
      </c>
      <c r="N279" s="0">
        <v>6</v>
      </c>
      <c r="O279" s="0" t="s">
        <v>552</v>
      </c>
      <c r="T279" s="0" t="str">
        <f>_xlfn.TEXTJOIN("_",TRUE,C279,"node_eff",D279,M279,N279)</f>
        <v>s1_node_eff_economy_54_6</v>
      </c>
    </row>
    <row r="280" spans="1:20" x14ac:dyDescent="0.45">
      <c r="A280" s="0" t="str">
        <f>_xlfn.TEXTJOIN("_",TRUE,C280,"node",D280,M280,N280)</f>
        <v>s1_node_economy_55_2</v>
      </c>
      <c r="B280" s="0" t="s">
        <v>0</v>
      </c>
      <c r="C280" s="0" t="s">
        <v>26</v>
      </c>
      <c r="D280" s="0" t="s">
        <v>103</v>
      </c>
      <c r="E280" s="0" t="str">
        <f>"s1_node_"&amp;D280&amp;"_name"</f>
        <v>s1_node_economy_name</v>
      </c>
      <c r="F280" s="10" t="str">
        <f>"s1_node_"&amp;D280&amp;"_desc"</f>
        <v>s1_node_economy_desc</v>
      </c>
      <c r="G280" s="0" t="s">
        <v>421</v>
      </c>
      <c r="H280" s="0">
        <v>3</v>
      </c>
      <c r="I280" s="0" t="s">
        <v>27</v>
      </c>
      <c r="J280" s="0" t="s">
        <v>553</v>
      </c>
      <c r="K280" s="0">
        <v>2040</v>
      </c>
      <c r="L280" s="10">
        <v>3</v>
      </c>
      <c r="M280" s="0">
        <v>55</v>
      </c>
      <c r="N280" s="0">
        <v>2</v>
      </c>
      <c r="O280" s="0" t="s">
        <v>554</v>
      </c>
      <c r="T280" s="0" t="str">
        <f>_xlfn.TEXTJOIN("_",TRUE,C280,"node_eff",D280,M280,N280)</f>
        <v>s1_node_eff_economy_55_2</v>
      </c>
    </row>
    <row r="281" spans="1:20" x14ac:dyDescent="0.45">
      <c r="A281" s="0" t="str">
        <f>_xlfn.TEXTJOIN("_",TRUE,C281,"node",D281,M281,N281)</f>
        <v>s1_node_economy_55_6</v>
      </c>
      <c r="B281" s="0" t="s">
        <v>0</v>
      </c>
      <c r="C281" s="0" t="s">
        <v>26</v>
      </c>
      <c r="D281" s="0" t="s">
        <v>103</v>
      </c>
      <c r="E281" s="0" t="str">
        <f>"s1_node_"&amp;D281&amp;"_name"</f>
        <v>s1_node_economy_name</v>
      </c>
      <c r="F281" s="10" t="str">
        <f>"s1_node_"&amp;D281&amp;"_desc"</f>
        <v>s1_node_economy_desc</v>
      </c>
      <c r="G281" s="0" t="s">
        <v>417</v>
      </c>
      <c r="H281" s="0">
        <v>3</v>
      </c>
      <c r="I281" s="0" t="s">
        <v>27</v>
      </c>
      <c r="J281" s="0" t="s">
        <v>553</v>
      </c>
      <c r="K281" s="0">
        <v>2040</v>
      </c>
      <c r="L281" s="10">
        <v>3</v>
      </c>
      <c r="M281" s="0">
        <v>55</v>
      </c>
      <c r="N281" s="0">
        <v>6</v>
      </c>
      <c r="O281" s="0" t="s">
        <v>555</v>
      </c>
      <c r="T281" s="0" t="str">
        <f>_xlfn.TEXTJOIN("_",TRUE,C281,"node_eff",D281,M281,N281)</f>
        <v>s1_node_eff_economy_55_6</v>
      </c>
    </row>
    <row r="282" spans="1:20" x14ac:dyDescent="0.45">
      <c r="A282" s="0" t="str">
        <f>_xlfn.TEXTJOIN("_",TRUE,C282,"node",D282,M282,N282)</f>
        <v>s1_node_economy_56_4</v>
      </c>
      <c r="B282" s="0" t="s">
        <v>0</v>
      </c>
      <c r="C282" s="0" t="s">
        <v>26</v>
      </c>
      <c r="D282" s="0" t="s">
        <v>103</v>
      </c>
      <c r="E282" s="0" t="str">
        <f>"s1_node_"&amp;D282&amp;"_name"</f>
        <v>s1_node_economy_name</v>
      </c>
      <c r="F282" s="10" t="str">
        <f>"s1_node_"&amp;D282&amp;"_desc"</f>
        <v>s1_node_economy_desc</v>
      </c>
      <c r="G282" s="0" t="s">
        <v>417</v>
      </c>
      <c r="H282" s="0">
        <v>3</v>
      </c>
      <c r="I282" s="0" t="s">
        <v>27</v>
      </c>
      <c r="J282" s="0" t="s">
        <v>556</v>
      </c>
      <c r="K282" s="0">
        <v>2080</v>
      </c>
      <c r="L282" s="10">
        <v>3</v>
      </c>
      <c r="M282" s="0">
        <v>56</v>
      </c>
      <c r="N282" s="0">
        <v>4</v>
      </c>
      <c r="O282" s="0" t="s">
        <v>557</v>
      </c>
      <c r="P282" s="0" t="s">
        <v>558</v>
      </c>
      <c r="T282" s="0" t="str">
        <f>_xlfn.TEXTJOIN("_",TRUE,C282,"node_eff",D282,M282,N282)</f>
        <v>s1_node_eff_economy_56_4</v>
      </c>
    </row>
    <row r="283" spans="1:20" x14ac:dyDescent="0.45">
      <c r="A283" s="0" t="str">
        <f>_xlfn.TEXTJOIN("_",TRUE,C283,"node",D283,M283,N283)</f>
        <v>s1_node_economy_57_2</v>
      </c>
      <c r="B283" s="0" t="s">
        <v>0</v>
      </c>
      <c r="C283" s="0" t="s">
        <v>26</v>
      </c>
      <c r="D283" s="0" t="s">
        <v>103</v>
      </c>
      <c r="E283" s="0" t="str">
        <f>"s1_node_"&amp;D283&amp;"_name"</f>
        <v>s1_node_economy_name</v>
      </c>
      <c r="F283" s="10" t="str">
        <f>"s1_node_"&amp;D283&amp;"_desc"</f>
        <v>s1_node_economy_desc</v>
      </c>
      <c r="G283" s="0" t="s">
        <v>417</v>
      </c>
      <c r="H283" s="0">
        <v>3</v>
      </c>
      <c r="I283" s="0" t="s">
        <v>27</v>
      </c>
      <c r="J283" s="0" t="s">
        <v>559</v>
      </c>
      <c r="K283" s="0">
        <v>2110</v>
      </c>
      <c r="L283" s="10">
        <v>3</v>
      </c>
      <c r="M283" s="0">
        <v>57</v>
      </c>
      <c r="N283" s="0">
        <v>2</v>
      </c>
      <c r="O283" s="0" t="s">
        <v>560</v>
      </c>
      <c r="T283" s="0" t="str">
        <f>_xlfn.TEXTJOIN("_",TRUE,C283,"node_eff",D283,M283,N283)</f>
        <v>s1_node_eff_economy_57_2</v>
      </c>
    </row>
    <row r="284" spans="1:20" x14ac:dyDescent="0.45">
      <c r="A284" s="0" t="str">
        <f>_xlfn.TEXTJOIN("_",TRUE,C284,"node",D284,M284,N284)</f>
        <v>s1_node_economy_57_6</v>
      </c>
      <c r="B284" s="0" t="s">
        <v>0</v>
      </c>
      <c r="C284" s="0" t="s">
        <v>26</v>
      </c>
      <c r="D284" s="0" t="s">
        <v>103</v>
      </c>
      <c r="E284" s="0" t="str">
        <f>"s1_node_"&amp;D284&amp;"_name"</f>
        <v>s1_node_economy_name</v>
      </c>
      <c r="F284" s="10" t="str">
        <f>"s1_node_"&amp;D284&amp;"_desc"</f>
        <v>s1_node_economy_desc</v>
      </c>
      <c r="G284" s="0" t="s">
        <v>417</v>
      </c>
      <c r="H284" s="0">
        <v>3</v>
      </c>
      <c r="I284" s="0" t="s">
        <v>27</v>
      </c>
      <c r="J284" s="0" t="s">
        <v>559</v>
      </c>
      <c r="K284" s="0">
        <v>2110</v>
      </c>
      <c r="L284" s="10">
        <v>3</v>
      </c>
      <c r="M284" s="0">
        <v>57</v>
      </c>
      <c r="N284" s="0">
        <v>6</v>
      </c>
      <c r="O284" s="0" t="s">
        <v>560</v>
      </c>
      <c r="T284" s="0" t="str">
        <f>_xlfn.TEXTJOIN("_",TRUE,C284,"node_eff",D284,M284,N284)</f>
        <v>s1_node_eff_economy_57_6</v>
      </c>
    </row>
    <row r="285" spans="1:20" x14ac:dyDescent="0.45">
      <c r="A285" s="0" t="str">
        <f>_xlfn.TEXTJOIN("_",TRUE,C285,"node",D285,M285,N285)</f>
        <v>s1_node_economy_58_2</v>
      </c>
      <c r="B285" s="0" t="s">
        <v>0</v>
      </c>
      <c r="C285" s="0" t="s">
        <v>26</v>
      </c>
      <c r="D285" s="0" t="s">
        <v>103</v>
      </c>
      <c r="E285" s="0" t="str">
        <f>"s1_node_"&amp;D285&amp;"_name"</f>
        <v>s1_node_economy_name</v>
      </c>
      <c r="F285" s="10" t="str">
        <f>"s1_node_"&amp;D285&amp;"_desc"</f>
        <v>s1_node_economy_desc</v>
      </c>
      <c r="G285" s="0" t="s">
        <v>421</v>
      </c>
      <c r="H285" s="0">
        <v>3</v>
      </c>
      <c r="I285" s="0" t="s">
        <v>27</v>
      </c>
      <c r="J285" s="0" t="s">
        <v>561</v>
      </c>
      <c r="K285" s="0">
        <v>2150</v>
      </c>
      <c r="L285" s="10">
        <v>3</v>
      </c>
      <c r="M285" s="0">
        <v>58</v>
      </c>
      <c r="N285" s="0">
        <v>2</v>
      </c>
      <c r="O285" s="0" t="s">
        <v>562</v>
      </c>
      <c r="T285" s="0" t="str">
        <f>_xlfn.TEXTJOIN("_",TRUE,C285,"node_eff",D285,M285,N285)</f>
        <v>s1_node_eff_economy_58_2</v>
      </c>
    </row>
    <row r="286" spans="1:20" x14ac:dyDescent="0.45">
      <c r="A286" s="0" t="str">
        <f>_xlfn.TEXTJOIN("_",TRUE,C286,"node",D286,M286,N286)</f>
        <v>s1_node_economy_58_6</v>
      </c>
      <c r="B286" s="0" t="s">
        <v>0</v>
      </c>
      <c r="C286" s="0" t="s">
        <v>26</v>
      </c>
      <c r="D286" s="0" t="s">
        <v>103</v>
      </c>
      <c r="E286" s="0" t="str">
        <f>"s1_node_"&amp;D286&amp;"_name"</f>
        <v>s1_node_economy_name</v>
      </c>
      <c r="F286" s="10" t="str">
        <f>"s1_node_"&amp;D286&amp;"_desc"</f>
        <v>s1_node_economy_desc</v>
      </c>
      <c r="G286" s="0" t="s">
        <v>417</v>
      </c>
      <c r="H286" s="0">
        <v>3</v>
      </c>
      <c r="I286" s="0" t="s">
        <v>27</v>
      </c>
      <c r="J286" s="0" t="s">
        <v>561</v>
      </c>
      <c r="K286" s="0">
        <v>2150</v>
      </c>
      <c r="L286" s="10">
        <v>3</v>
      </c>
      <c r="M286" s="0">
        <v>58</v>
      </c>
      <c r="N286" s="0">
        <v>6</v>
      </c>
      <c r="O286" s="0" t="s">
        <v>563</v>
      </c>
      <c r="T286" s="0" t="str">
        <f>_xlfn.TEXTJOIN("_",TRUE,C286,"node_eff",D286,M286,N286)</f>
        <v>s1_node_eff_economy_58_6</v>
      </c>
    </row>
    <row r="287" spans="1:20" x14ac:dyDescent="0.45">
      <c r="A287" s="0" t="str">
        <f>_xlfn.TEXTJOIN("_",TRUE,C287,"node",D287,M287,N287)</f>
        <v>s1_node_economy_59_2</v>
      </c>
      <c r="B287" s="0" t="s">
        <v>0</v>
      </c>
      <c r="C287" s="0" t="s">
        <v>26</v>
      </c>
      <c r="D287" s="0" t="s">
        <v>103</v>
      </c>
      <c r="E287" s="0" t="str">
        <f>"s1_node_"&amp;D287&amp;"_name"</f>
        <v>s1_node_economy_name</v>
      </c>
      <c r="F287" s="10" t="str">
        <f>"s1_node_"&amp;D287&amp;"_desc"</f>
        <v>s1_node_economy_desc</v>
      </c>
      <c r="G287" s="0" t="s">
        <v>417</v>
      </c>
      <c r="H287" s="0">
        <v>3</v>
      </c>
      <c r="I287" s="0" t="s">
        <v>27</v>
      </c>
      <c r="J287" s="0" t="s">
        <v>564</v>
      </c>
      <c r="K287" s="0">
        <v>2180</v>
      </c>
      <c r="L287" s="10">
        <v>3</v>
      </c>
      <c r="M287" s="0">
        <v>59</v>
      </c>
      <c r="N287" s="0">
        <v>2</v>
      </c>
      <c r="O287" s="0" t="s">
        <v>565</v>
      </c>
      <c r="T287" s="0" t="str">
        <f>_xlfn.TEXTJOIN("_",TRUE,C287,"node_eff",D287,M287,N287)</f>
        <v>s1_node_eff_economy_59_2</v>
      </c>
    </row>
    <row r="288" spans="1:20" x14ac:dyDescent="0.45">
      <c r="A288" s="0" t="str">
        <f>_xlfn.TEXTJOIN("_",TRUE,C288,"node",D288,M288,N288)</f>
        <v>s1_node_economy_59_6</v>
      </c>
      <c r="B288" s="0" t="s">
        <v>0</v>
      </c>
      <c r="C288" s="0" t="s">
        <v>26</v>
      </c>
      <c r="D288" s="0" t="s">
        <v>103</v>
      </c>
      <c r="E288" s="0" t="str">
        <f>"s1_node_"&amp;D288&amp;"_name"</f>
        <v>s1_node_economy_name</v>
      </c>
      <c r="F288" s="10" t="str">
        <f>"s1_node_"&amp;D288&amp;"_desc"</f>
        <v>s1_node_economy_desc</v>
      </c>
      <c r="G288" s="0" t="s">
        <v>417</v>
      </c>
      <c r="H288" s="0">
        <v>3</v>
      </c>
      <c r="I288" s="0" t="s">
        <v>27</v>
      </c>
      <c r="J288" s="0" t="s">
        <v>564</v>
      </c>
      <c r="K288" s="0">
        <v>2180</v>
      </c>
      <c r="L288" s="10">
        <v>3</v>
      </c>
      <c r="M288" s="0">
        <v>59</v>
      </c>
      <c r="N288" s="0">
        <v>6</v>
      </c>
      <c r="O288" s="0" t="s">
        <v>566</v>
      </c>
      <c r="T288" s="0" t="str">
        <f>_xlfn.TEXTJOIN("_",TRUE,C288,"node_eff",D288,M288,N288)</f>
        <v>s1_node_eff_economy_59_6</v>
      </c>
    </row>
    <row r="289" spans="1:20" x14ac:dyDescent="0.45">
      <c r="A289" s="0" t="str">
        <f>_xlfn.TEXTJOIN("_",TRUE,C289,"node",D289,M289,N289)</f>
        <v>s1_node_economy_60_2</v>
      </c>
      <c r="B289" s="0" t="s">
        <v>0</v>
      </c>
      <c r="C289" s="0" t="s">
        <v>26</v>
      </c>
      <c r="D289" s="0" t="s">
        <v>103</v>
      </c>
      <c r="E289" s="0" t="str">
        <f>"s1_node_"&amp;D289&amp;"_name"</f>
        <v>s1_node_economy_name</v>
      </c>
      <c r="F289" s="10" t="str">
        <f>"s1_node_"&amp;D289&amp;"_desc"</f>
        <v>s1_node_economy_desc</v>
      </c>
      <c r="G289" s="0" t="s">
        <v>417</v>
      </c>
      <c r="H289" s="0">
        <v>3</v>
      </c>
      <c r="I289" s="0" t="s">
        <v>27</v>
      </c>
      <c r="J289" s="0" t="s">
        <v>567</v>
      </c>
      <c r="K289" s="0">
        <v>2220</v>
      </c>
      <c r="L289" s="10">
        <v>3</v>
      </c>
      <c r="M289" s="0">
        <v>60</v>
      </c>
      <c r="N289" s="0">
        <v>2</v>
      </c>
      <c r="O289" s="0" t="s">
        <v>568</v>
      </c>
      <c r="T289" s="0" t="str">
        <f>_xlfn.TEXTJOIN("_",TRUE,C289,"node_eff",D289,M289,N289)</f>
        <v>s1_node_eff_economy_60_2</v>
      </c>
    </row>
    <row r="290" spans="1:20" x14ac:dyDescent="0.45">
      <c r="A290" s="0" t="str">
        <f>_xlfn.TEXTJOIN("_",TRUE,C290,"node",D290,M290,N290)</f>
        <v>s1_node_economy_60_6</v>
      </c>
      <c r="B290" s="0" t="s">
        <v>0</v>
      </c>
      <c r="C290" s="0" t="s">
        <v>26</v>
      </c>
      <c r="D290" s="0" t="s">
        <v>103</v>
      </c>
      <c r="E290" s="0" t="str">
        <f>"s1_node_"&amp;D290&amp;"_name"</f>
        <v>s1_node_economy_name</v>
      </c>
      <c r="F290" s="10" t="str">
        <f>"s1_node_"&amp;D290&amp;"_desc"</f>
        <v>s1_node_economy_desc</v>
      </c>
      <c r="G290" s="0" t="s">
        <v>421</v>
      </c>
      <c r="H290" s="0">
        <v>3</v>
      </c>
      <c r="I290" s="0" t="s">
        <v>27</v>
      </c>
      <c r="J290" s="0" t="s">
        <v>567</v>
      </c>
      <c r="K290" s="0">
        <v>2220</v>
      </c>
      <c r="L290" s="10">
        <v>3</v>
      </c>
      <c r="M290" s="0">
        <v>60</v>
      </c>
      <c r="N290" s="0">
        <v>6</v>
      </c>
      <c r="O290" s="0" t="s">
        <v>569</v>
      </c>
      <c r="T290" s="0" t="str">
        <f>_xlfn.TEXTJOIN("_",TRUE,C290,"node_eff",D290,M290,N290)</f>
        <v>s1_node_eff_economy_60_6</v>
      </c>
    </row>
    <row r="291" spans="1:20" x14ac:dyDescent="0.45">
      <c r="A291" s="0" t="str">
        <f>_xlfn.TEXTJOIN("_",TRUE,C291,"node",D291,M291,N291)</f>
        <v>s1_node_economy_61_4</v>
      </c>
      <c r="B291" s="0" t="s">
        <v>0</v>
      </c>
      <c r="C291" s="0" t="s">
        <v>26</v>
      </c>
      <c r="D291" s="0" t="s">
        <v>103</v>
      </c>
      <c r="E291" s="0" t="str">
        <f>"s1_node_"&amp;D291&amp;"_name"</f>
        <v>s1_node_economy_name</v>
      </c>
      <c r="F291" s="10" t="str">
        <f>"s1_node_"&amp;D291&amp;"_desc"</f>
        <v>s1_node_economy_desc</v>
      </c>
      <c r="G291" s="0" t="s">
        <v>417</v>
      </c>
      <c r="H291" s="0">
        <v>4</v>
      </c>
      <c r="I291" s="0" t="s">
        <v>27</v>
      </c>
      <c r="J291" s="0" t="s">
        <v>570</v>
      </c>
      <c r="K291" s="0">
        <v>2260</v>
      </c>
      <c r="L291" s="10">
        <v>3</v>
      </c>
      <c r="M291" s="0">
        <v>61</v>
      </c>
      <c r="N291" s="0">
        <v>4</v>
      </c>
      <c r="O291" s="0" t="s">
        <v>571</v>
      </c>
      <c r="P291" s="0" t="s">
        <v>572</v>
      </c>
      <c r="T291" s="0" t="str">
        <f>_xlfn.TEXTJOIN("_",TRUE,C291,"node_eff",D291,M291,N291)</f>
        <v>s1_node_eff_economy_61_4</v>
      </c>
    </row>
    <row r="292" spans="1:20" x14ac:dyDescent="0.45">
      <c r="A292" s="0" t="str">
        <f>_xlfn.TEXTJOIN("_",TRUE,C292,"node",D292,M292,N292)</f>
        <v>s1_node_economy_62_2</v>
      </c>
      <c r="B292" s="0" t="s">
        <v>0</v>
      </c>
      <c r="C292" s="0" t="s">
        <v>26</v>
      </c>
      <c r="D292" s="0" t="s">
        <v>103</v>
      </c>
      <c r="E292" s="0" t="str">
        <f>"s1_node_"&amp;D292&amp;"_name"</f>
        <v>s1_node_economy_name</v>
      </c>
      <c r="F292" s="10" t="str">
        <f>"s1_node_"&amp;D292&amp;"_desc"</f>
        <v>s1_node_economy_desc</v>
      </c>
      <c r="G292" s="0" t="s">
        <v>417</v>
      </c>
      <c r="H292" s="0">
        <v>4</v>
      </c>
      <c r="I292" s="0" t="s">
        <v>27</v>
      </c>
      <c r="J292" s="0" t="s">
        <v>573</v>
      </c>
      <c r="K292" s="0">
        <v>2290</v>
      </c>
      <c r="L292" s="10">
        <v>3</v>
      </c>
      <c r="M292" s="0">
        <v>62</v>
      </c>
      <c r="N292" s="0">
        <v>2</v>
      </c>
      <c r="O292" s="0" t="s">
        <v>574</v>
      </c>
      <c r="T292" s="0" t="str">
        <f>_xlfn.TEXTJOIN("_",TRUE,C292,"node_eff",D292,M292,N292)</f>
        <v>s1_node_eff_economy_62_2</v>
      </c>
    </row>
    <row r="293" spans="1:20" x14ac:dyDescent="0.45">
      <c r="A293" s="0" t="str">
        <f>_xlfn.TEXTJOIN("_",TRUE,C293,"node",D293,M293,N293)</f>
        <v>s1_node_economy_62_6</v>
      </c>
      <c r="B293" s="0" t="s">
        <v>0</v>
      </c>
      <c r="C293" s="0" t="s">
        <v>26</v>
      </c>
      <c r="D293" s="0" t="s">
        <v>103</v>
      </c>
      <c r="E293" s="0" t="str">
        <f>"s1_node_"&amp;D293&amp;"_name"</f>
        <v>s1_node_economy_name</v>
      </c>
      <c r="F293" s="10" t="str">
        <f>"s1_node_"&amp;D293&amp;"_desc"</f>
        <v>s1_node_economy_desc</v>
      </c>
      <c r="G293" s="0" t="s">
        <v>417</v>
      </c>
      <c r="H293" s="0">
        <v>4</v>
      </c>
      <c r="I293" s="0" t="s">
        <v>27</v>
      </c>
      <c r="J293" s="0" t="s">
        <v>573</v>
      </c>
      <c r="K293" s="0">
        <v>2290</v>
      </c>
      <c r="L293" s="10">
        <v>3</v>
      </c>
      <c r="M293" s="0">
        <v>62</v>
      </c>
      <c r="N293" s="0">
        <v>6</v>
      </c>
      <c r="O293" s="0" t="s">
        <v>574</v>
      </c>
      <c r="T293" s="0" t="str">
        <f>_xlfn.TEXTJOIN("_",TRUE,C293,"node_eff",D293,M293,N293)</f>
        <v>s1_node_eff_economy_62_6</v>
      </c>
    </row>
    <row r="294" spans="1:20" x14ac:dyDescent="0.45">
      <c r="A294" s="0" t="str">
        <f>_xlfn.TEXTJOIN("_",TRUE,C294,"node",D294,M294,N294)</f>
        <v>s1_node_economy_63_2</v>
      </c>
      <c r="B294" s="0" t="s">
        <v>0</v>
      </c>
      <c r="C294" s="0" t="s">
        <v>26</v>
      </c>
      <c r="D294" s="0" t="s">
        <v>103</v>
      </c>
      <c r="E294" s="0" t="str">
        <f>"s1_node_"&amp;D294&amp;"_name"</f>
        <v>s1_node_economy_name</v>
      </c>
      <c r="F294" s="10" t="str">
        <f>"s1_node_"&amp;D294&amp;"_desc"</f>
        <v>s1_node_economy_desc</v>
      </c>
      <c r="G294" s="0" t="s">
        <v>417</v>
      </c>
      <c r="H294" s="0">
        <v>4</v>
      </c>
      <c r="I294" s="0" t="s">
        <v>27</v>
      </c>
      <c r="J294" s="0" t="s">
        <v>575</v>
      </c>
      <c r="K294" s="0">
        <v>2330</v>
      </c>
      <c r="L294" s="10">
        <v>3</v>
      </c>
      <c r="M294" s="0">
        <v>63</v>
      </c>
      <c r="N294" s="0">
        <v>2</v>
      </c>
      <c r="O294" s="0" t="s">
        <v>576</v>
      </c>
      <c r="T294" s="0" t="str">
        <f>_xlfn.TEXTJOIN("_",TRUE,C294,"node_eff",D294,M294,N294)</f>
        <v>s1_node_eff_economy_63_2</v>
      </c>
    </row>
    <row r="295" spans="1:20" x14ac:dyDescent="0.45">
      <c r="A295" s="0" t="str">
        <f>_xlfn.TEXTJOIN("_",TRUE,C295,"node",D295,M295,N295)</f>
        <v>s1_node_economy_63_6</v>
      </c>
      <c r="B295" s="0" t="s">
        <v>0</v>
      </c>
      <c r="C295" s="0" t="s">
        <v>26</v>
      </c>
      <c r="D295" s="0" t="s">
        <v>103</v>
      </c>
      <c r="E295" s="0" t="str">
        <f>"s1_node_"&amp;D295&amp;"_name"</f>
        <v>s1_node_economy_name</v>
      </c>
      <c r="F295" s="10" t="str">
        <f>"s1_node_"&amp;D295&amp;"_desc"</f>
        <v>s1_node_economy_desc</v>
      </c>
      <c r="G295" s="0" t="s">
        <v>421</v>
      </c>
      <c r="H295" s="0">
        <v>4</v>
      </c>
      <c r="I295" s="0" t="s">
        <v>27</v>
      </c>
      <c r="J295" s="0" t="s">
        <v>575</v>
      </c>
      <c r="K295" s="0">
        <v>2330</v>
      </c>
      <c r="L295" s="10">
        <v>3</v>
      </c>
      <c r="M295" s="0">
        <v>63</v>
      </c>
      <c r="N295" s="0">
        <v>6</v>
      </c>
      <c r="O295" s="0" t="s">
        <v>577</v>
      </c>
      <c r="T295" s="0" t="str">
        <f>_xlfn.TEXTJOIN("_",TRUE,C295,"node_eff",D295,M295,N295)</f>
        <v>s1_node_eff_economy_63_6</v>
      </c>
    </row>
    <row r="296" spans="1:20" x14ac:dyDescent="0.45">
      <c r="A296" s="0" t="str">
        <f>_xlfn.TEXTJOIN("_",TRUE,C296,"node",D296,M296,N296)</f>
        <v>s1_node_economy_64_2</v>
      </c>
      <c r="B296" s="0" t="s">
        <v>0</v>
      </c>
      <c r="C296" s="0" t="s">
        <v>26</v>
      </c>
      <c r="D296" s="0" t="s">
        <v>103</v>
      </c>
      <c r="E296" s="0" t="str">
        <f>"s1_node_"&amp;D296&amp;"_name"</f>
        <v>s1_node_economy_name</v>
      </c>
      <c r="F296" s="10" t="str">
        <f>"s1_node_"&amp;D296&amp;"_desc"</f>
        <v>s1_node_economy_desc</v>
      </c>
      <c r="G296" s="0" t="s">
        <v>417</v>
      </c>
      <c r="H296" s="0">
        <v>4</v>
      </c>
      <c r="I296" s="0" t="s">
        <v>27</v>
      </c>
      <c r="J296" s="0" t="s">
        <v>578</v>
      </c>
      <c r="K296" s="0">
        <v>2360</v>
      </c>
      <c r="L296" s="10">
        <v>3</v>
      </c>
      <c r="M296" s="0">
        <v>64</v>
      </c>
      <c r="N296" s="0">
        <v>2</v>
      </c>
      <c r="O296" s="0" t="s">
        <v>579</v>
      </c>
      <c r="T296" s="0" t="str">
        <f>_xlfn.TEXTJOIN("_",TRUE,C296,"node_eff",D296,M296,N296)</f>
        <v>s1_node_eff_economy_64_2</v>
      </c>
    </row>
    <row r="297" spans="1:20" x14ac:dyDescent="0.45">
      <c r="A297" s="0" t="str">
        <f>_xlfn.TEXTJOIN("_",TRUE,C297,"node",D297,M297,N297)</f>
        <v>s1_node_economy_64_6</v>
      </c>
      <c r="B297" s="0" t="s">
        <v>0</v>
      </c>
      <c r="C297" s="0" t="s">
        <v>26</v>
      </c>
      <c r="D297" s="0" t="s">
        <v>103</v>
      </c>
      <c r="E297" s="0" t="str">
        <f>"s1_node_"&amp;D297&amp;"_name"</f>
        <v>s1_node_economy_name</v>
      </c>
      <c r="F297" s="10" t="str">
        <f>"s1_node_"&amp;D297&amp;"_desc"</f>
        <v>s1_node_economy_desc</v>
      </c>
      <c r="G297" s="0" t="s">
        <v>417</v>
      </c>
      <c r="H297" s="0">
        <v>4</v>
      </c>
      <c r="I297" s="0" t="s">
        <v>27</v>
      </c>
      <c r="J297" s="0" t="s">
        <v>578</v>
      </c>
      <c r="K297" s="0">
        <v>2360</v>
      </c>
      <c r="L297" s="10">
        <v>3</v>
      </c>
      <c r="M297" s="0">
        <v>64</v>
      </c>
      <c r="N297" s="0">
        <v>6</v>
      </c>
      <c r="O297" s="0" t="s">
        <v>580</v>
      </c>
      <c r="T297" s="0" t="str">
        <f>_xlfn.TEXTJOIN("_",TRUE,C297,"node_eff",D297,M297,N297)</f>
        <v>s1_node_eff_economy_64_6</v>
      </c>
    </row>
    <row r="298" spans="1:20" x14ac:dyDescent="0.45">
      <c r="A298" s="0" t="str">
        <f>_xlfn.TEXTJOIN("_",TRUE,C298,"node",D298,M298,N298)</f>
        <v>s1_node_economy_65_2</v>
      </c>
      <c r="B298" s="0" t="s">
        <v>0</v>
      </c>
      <c r="C298" s="0" t="s">
        <v>26</v>
      </c>
      <c r="D298" s="0" t="s">
        <v>103</v>
      </c>
      <c r="E298" s="0" t="str">
        <f>"s1_node_"&amp;D298&amp;"_name"</f>
        <v>s1_node_economy_name</v>
      </c>
      <c r="F298" s="10" t="str">
        <f>"s1_node_"&amp;D298&amp;"_desc"</f>
        <v>s1_node_economy_desc</v>
      </c>
      <c r="G298" s="0" t="s">
        <v>417</v>
      </c>
      <c r="H298" s="0">
        <v>4</v>
      </c>
      <c r="I298" s="0" t="s">
        <v>27</v>
      </c>
      <c r="J298" s="0" t="s">
        <v>581</v>
      </c>
      <c r="K298" s="0">
        <v>2400</v>
      </c>
      <c r="L298" s="10">
        <v>3</v>
      </c>
      <c r="M298" s="0">
        <v>65</v>
      </c>
      <c r="N298" s="0">
        <v>2</v>
      </c>
      <c r="O298" s="0" t="s">
        <v>582</v>
      </c>
      <c r="T298" s="0" t="str">
        <f>_xlfn.TEXTJOIN("_",TRUE,C298,"node_eff",D298,M298,N298)</f>
        <v>s1_node_eff_economy_65_2</v>
      </c>
    </row>
    <row r="299" spans="1:20" x14ac:dyDescent="0.45">
      <c r="A299" s="0" t="str">
        <f>_xlfn.TEXTJOIN("_",TRUE,C299,"node",D299,M299,N299)</f>
        <v>s1_node_economy_65_6</v>
      </c>
      <c r="B299" s="0" t="s">
        <v>0</v>
      </c>
      <c r="C299" s="0" t="s">
        <v>26</v>
      </c>
      <c r="D299" s="0" t="s">
        <v>103</v>
      </c>
      <c r="E299" s="0" t="str">
        <f>"s1_node_"&amp;D299&amp;"_name"</f>
        <v>s1_node_economy_name</v>
      </c>
      <c r="F299" s="10" t="str">
        <f>"s1_node_"&amp;D299&amp;"_desc"</f>
        <v>s1_node_economy_desc</v>
      </c>
      <c r="G299" s="0" t="s">
        <v>417</v>
      </c>
      <c r="H299" s="0">
        <v>4</v>
      </c>
      <c r="I299" s="0" t="s">
        <v>27</v>
      </c>
      <c r="J299" s="0" t="s">
        <v>581</v>
      </c>
      <c r="K299" s="0">
        <v>2400</v>
      </c>
      <c r="L299" s="10">
        <v>3</v>
      </c>
      <c r="M299" s="0">
        <v>65</v>
      </c>
      <c r="N299" s="0">
        <v>6</v>
      </c>
      <c r="O299" s="0" t="s">
        <v>583</v>
      </c>
      <c r="T299" s="0" t="str">
        <f>_xlfn.TEXTJOIN("_",TRUE,C299,"node_eff",D299,M299,N299)</f>
        <v>s1_node_eff_economy_65_6</v>
      </c>
    </row>
    <row r="300" spans="1:20" x14ac:dyDescent="0.45">
      <c r="A300" s="0" t="str">
        <f>_xlfn.TEXTJOIN("_",TRUE,C300,"node",D300,M300,N300)</f>
        <v>s1_node_economy_66_4</v>
      </c>
      <c r="B300" s="0" t="s">
        <v>0</v>
      </c>
      <c r="C300" s="0" t="s">
        <v>26</v>
      </c>
      <c r="D300" s="0" t="s">
        <v>103</v>
      </c>
      <c r="E300" s="0" t="str">
        <f>"s1_node_"&amp;D300&amp;"_name"</f>
        <v>s1_node_economy_name</v>
      </c>
      <c r="F300" s="10" t="str">
        <f>"s1_node_"&amp;D300&amp;"_desc"</f>
        <v>s1_node_economy_desc</v>
      </c>
      <c r="G300" s="0" t="s">
        <v>421</v>
      </c>
      <c r="H300" s="0">
        <v>4</v>
      </c>
      <c r="I300" s="0" t="s">
        <v>27</v>
      </c>
      <c r="J300" s="0" t="s">
        <v>584</v>
      </c>
      <c r="K300" s="0">
        <v>2430</v>
      </c>
      <c r="L300" s="10">
        <v>3</v>
      </c>
      <c r="M300" s="0">
        <v>66</v>
      </c>
      <c r="N300" s="0">
        <v>4</v>
      </c>
      <c r="O300" s="0" t="s">
        <v>585</v>
      </c>
      <c r="P300" s="0" t="s">
        <v>586</v>
      </c>
      <c r="T300" s="0" t="str">
        <f>_xlfn.TEXTJOIN("_",TRUE,C300,"node_eff",D300,M300,N300)</f>
        <v>s1_node_eff_economy_66_4</v>
      </c>
    </row>
    <row r="301" spans="1:20" x14ac:dyDescent="0.45">
      <c r="A301" s="0" t="str">
        <f>_xlfn.TEXTJOIN("_",TRUE,C301,"node",D301,M301,N301)</f>
        <v>s1_node_economy_67_2</v>
      </c>
      <c r="B301" s="0" t="s">
        <v>0</v>
      </c>
      <c r="C301" s="0" t="s">
        <v>26</v>
      </c>
      <c r="D301" s="0" t="s">
        <v>103</v>
      </c>
      <c r="E301" s="0" t="str">
        <f>"s1_node_"&amp;D301&amp;"_name"</f>
        <v>s1_node_economy_name</v>
      </c>
      <c r="F301" s="10" t="str">
        <f>"s1_node_"&amp;D301&amp;"_desc"</f>
        <v>s1_node_economy_desc</v>
      </c>
      <c r="G301" s="0" t="s">
        <v>417</v>
      </c>
      <c r="H301" s="0">
        <v>4</v>
      </c>
      <c r="I301" s="0" t="s">
        <v>27</v>
      </c>
      <c r="J301" s="0" t="s">
        <v>587</v>
      </c>
      <c r="K301" s="0">
        <v>2470</v>
      </c>
      <c r="L301" s="10">
        <v>3</v>
      </c>
      <c r="M301" s="0">
        <v>67</v>
      </c>
      <c r="N301" s="0">
        <v>2</v>
      </c>
      <c r="O301" s="0" t="s">
        <v>588</v>
      </c>
      <c r="T301" s="0" t="str">
        <f>_xlfn.TEXTJOIN("_",TRUE,C301,"node_eff",D301,M301,N301)</f>
        <v>s1_node_eff_economy_67_2</v>
      </c>
    </row>
    <row r="302" spans="1:20" x14ac:dyDescent="0.45">
      <c r="A302" s="0" t="str">
        <f>_xlfn.TEXTJOIN("_",TRUE,C302,"node",D302,M302,N302)</f>
        <v>s1_node_economy_67_6</v>
      </c>
      <c r="B302" s="0" t="s">
        <v>0</v>
      </c>
      <c r="C302" s="0" t="s">
        <v>26</v>
      </c>
      <c r="D302" s="0" t="s">
        <v>103</v>
      </c>
      <c r="E302" s="0" t="str">
        <f>"s1_node_"&amp;D302&amp;"_name"</f>
        <v>s1_node_economy_name</v>
      </c>
      <c r="F302" s="10" t="str">
        <f>"s1_node_"&amp;D302&amp;"_desc"</f>
        <v>s1_node_economy_desc</v>
      </c>
      <c r="G302" s="0" t="s">
        <v>417</v>
      </c>
      <c r="H302" s="0">
        <v>4</v>
      </c>
      <c r="I302" s="0" t="s">
        <v>27</v>
      </c>
      <c r="J302" s="0" t="s">
        <v>587</v>
      </c>
      <c r="K302" s="0">
        <v>2470</v>
      </c>
      <c r="L302" s="10">
        <v>3</v>
      </c>
      <c r="M302" s="0">
        <v>67</v>
      </c>
      <c r="N302" s="0">
        <v>6</v>
      </c>
      <c r="O302" s="0" t="s">
        <v>588</v>
      </c>
      <c r="T302" s="0" t="str">
        <f>_xlfn.TEXTJOIN("_",TRUE,C302,"node_eff",D302,M302,N302)</f>
        <v>s1_node_eff_economy_67_6</v>
      </c>
    </row>
    <row r="303" spans="1:20" x14ac:dyDescent="0.45">
      <c r="A303" s="0" t="str">
        <f>_xlfn.TEXTJOIN("_",TRUE,C303,"node",D303,M303,N303)</f>
        <v>s1_node_economy_68_2</v>
      </c>
      <c r="B303" s="0" t="s">
        <v>0</v>
      </c>
      <c r="C303" s="0" t="s">
        <v>26</v>
      </c>
      <c r="D303" s="0" t="s">
        <v>103</v>
      </c>
      <c r="E303" s="0" t="str">
        <f>"s1_node_"&amp;D303&amp;"_name"</f>
        <v>s1_node_economy_name</v>
      </c>
      <c r="F303" s="10" t="str">
        <f>"s1_node_"&amp;D303&amp;"_desc"</f>
        <v>s1_node_economy_desc</v>
      </c>
      <c r="G303" s="0" t="s">
        <v>417</v>
      </c>
      <c r="H303" s="0">
        <v>4</v>
      </c>
      <c r="I303" s="0" t="s">
        <v>27</v>
      </c>
      <c r="J303" s="0" t="s">
        <v>333</v>
      </c>
      <c r="K303" s="0">
        <v>2510</v>
      </c>
      <c r="L303" s="10">
        <v>3</v>
      </c>
      <c r="M303" s="0">
        <v>68</v>
      </c>
      <c r="N303" s="0">
        <v>2</v>
      </c>
      <c r="O303" s="0" t="s">
        <v>589</v>
      </c>
      <c r="T303" s="0" t="str">
        <f>_xlfn.TEXTJOIN("_",TRUE,C303,"node_eff",D303,M303,N303)</f>
        <v>s1_node_eff_economy_68_2</v>
      </c>
    </row>
    <row r="304" spans="1:20" x14ac:dyDescent="0.45">
      <c r="A304" s="0" t="str">
        <f>_xlfn.TEXTJOIN("_",TRUE,C304,"node",D304,M304,N304)</f>
        <v>s1_node_economy_68_6</v>
      </c>
      <c r="B304" s="0" t="s">
        <v>0</v>
      </c>
      <c r="C304" s="0" t="s">
        <v>26</v>
      </c>
      <c r="D304" s="0" t="s">
        <v>103</v>
      </c>
      <c r="E304" s="0" t="str">
        <f>"s1_node_"&amp;D304&amp;"_name"</f>
        <v>s1_node_economy_name</v>
      </c>
      <c r="F304" s="10" t="str">
        <f>"s1_node_"&amp;D304&amp;"_desc"</f>
        <v>s1_node_economy_desc</v>
      </c>
      <c r="G304" s="0" t="s">
        <v>417</v>
      </c>
      <c r="H304" s="0">
        <v>4</v>
      </c>
      <c r="I304" s="0" t="s">
        <v>27</v>
      </c>
      <c r="J304" s="0" t="s">
        <v>333</v>
      </c>
      <c r="K304" s="0">
        <v>2510</v>
      </c>
      <c r="L304" s="10">
        <v>3</v>
      </c>
      <c r="M304" s="0">
        <v>68</v>
      </c>
      <c r="N304" s="0">
        <v>6</v>
      </c>
      <c r="O304" s="0" t="s">
        <v>590</v>
      </c>
      <c r="T304" s="0" t="str">
        <f>_xlfn.TEXTJOIN("_",TRUE,C304,"node_eff",D304,M304,N304)</f>
        <v>s1_node_eff_economy_68_6</v>
      </c>
    </row>
    <row r="305" spans="1:20" x14ac:dyDescent="0.45">
      <c r="A305" s="0" t="str">
        <f>_xlfn.TEXTJOIN("_",TRUE,C305,"node",D305,M305,N305)</f>
        <v>s1_node_economy_69_2</v>
      </c>
      <c r="B305" s="0" t="s">
        <v>0</v>
      </c>
      <c r="C305" s="0" t="s">
        <v>26</v>
      </c>
      <c r="D305" s="0" t="s">
        <v>103</v>
      </c>
      <c r="E305" s="0" t="str">
        <f>"s1_node_"&amp;D305&amp;"_name"</f>
        <v>s1_node_economy_name</v>
      </c>
      <c r="F305" s="10" t="str">
        <f>"s1_node_"&amp;D305&amp;"_desc"</f>
        <v>s1_node_economy_desc</v>
      </c>
      <c r="G305" s="0" t="s">
        <v>421</v>
      </c>
      <c r="H305" s="0">
        <v>4</v>
      </c>
      <c r="I305" s="0" t="s">
        <v>27</v>
      </c>
      <c r="J305" s="0" t="s">
        <v>591</v>
      </c>
      <c r="K305" s="0">
        <v>2540</v>
      </c>
      <c r="L305" s="10">
        <v>3</v>
      </c>
      <c r="M305" s="0">
        <v>69</v>
      </c>
      <c r="N305" s="0">
        <v>2</v>
      </c>
      <c r="O305" s="0" t="s">
        <v>592</v>
      </c>
      <c r="T305" s="0" t="str">
        <f>_xlfn.TEXTJOIN("_",TRUE,C305,"node_eff",D305,M305,N305)</f>
        <v>s1_node_eff_economy_69_2</v>
      </c>
    </row>
    <row r="306" spans="1:20" x14ac:dyDescent="0.45">
      <c r="A306" s="0" t="str">
        <f>_xlfn.TEXTJOIN("_",TRUE,C306,"node",D306,M306,N306)</f>
        <v>s1_node_economy_69_6</v>
      </c>
      <c r="B306" s="0" t="s">
        <v>0</v>
      </c>
      <c r="C306" s="0" t="s">
        <v>26</v>
      </c>
      <c r="D306" s="0" t="s">
        <v>103</v>
      </c>
      <c r="E306" s="0" t="str">
        <f>"s1_node_"&amp;D306&amp;"_name"</f>
        <v>s1_node_economy_name</v>
      </c>
      <c r="F306" s="10" t="str">
        <f>"s1_node_"&amp;D306&amp;"_desc"</f>
        <v>s1_node_economy_desc</v>
      </c>
      <c r="G306" s="0" t="s">
        <v>417</v>
      </c>
      <c r="H306" s="0">
        <v>4</v>
      </c>
      <c r="I306" s="0" t="s">
        <v>27</v>
      </c>
      <c r="J306" s="0" t="s">
        <v>591</v>
      </c>
      <c r="K306" s="0">
        <v>2540</v>
      </c>
      <c r="L306" s="10">
        <v>3</v>
      </c>
      <c r="M306" s="0">
        <v>69</v>
      </c>
      <c r="N306" s="0">
        <v>6</v>
      </c>
      <c r="O306" s="0" t="s">
        <v>593</v>
      </c>
      <c r="T306" s="0" t="str">
        <f>_xlfn.TEXTJOIN("_",TRUE,C306,"node_eff",D306,M306,N306)</f>
        <v>s1_node_eff_economy_69_6</v>
      </c>
    </row>
    <row r="307" spans="1:20" x14ac:dyDescent="0.45">
      <c r="A307" s="0" t="str">
        <f>_xlfn.TEXTJOIN("_",TRUE,C307,"node",D307,M307,N307)</f>
        <v>s1_node_economy_70_2</v>
      </c>
      <c r="B307" s="0" t="s">
        <v>0</v>
      </c>
      <c r="C307" s="0" t="s">
        <v>26</v>
      </c>
      <c r="D307" s="0" t="s">
        <v>103</v>
      </c>
      <c r="E307" s="0" t="str">
        <f>"s1_node_"&amp;D307&amp;"_name"</f>
        <v>s1_node_economy_name</v>
      </c>
      <c r="F307" s="10" t="str">
        <f>"s1_node_"&amp;D307&amp;"_desc"</f>
        <v>s1_node_economy_desc</v>
      </c>
      <c r="G307" s="0" t="s">
        <v>417</v>
      </c>
      <c r="H307" s="0">
        <v>4</v>
      </c>
      <c r="I307" s="0" t="s">
        <v>27</v>
      </c>
      <c r="J307" s="0" t="s">
        <v>338</v>
      </c>
      <c r="K307" s="0">
        <v>2580</v>
      </c>
      <c r="L307" s="10">
        <v>3</v>
      </c>
      <c r="M307" s="0">
        <v>70</v>
      </c>
      <c r="N307" s="0">
        <v>2</v>
      </c>
      <c r="O307" s="0" t="s">
        <v>594</v>
      </c>
      <c r="T307" s="0" t="str">
        <f>_xlfn.TEXTJOIN("_",TRUE,C307,"node_eff",D307,M307,N307)</f>
        <v>s1_node_eff_economy_70_2</v>
      </c>
    </row>
    <row r="308" spans="1:20" x14ac:dyDescent="0.45">
      <c r="A308" s="0" t="str">
        <f>_xlfn.TEXTJOIN("_",TRUE,C308,"node",D308,M308,N308)</f>
        <v>s1_node_economy_70_6</v>
      </c>
      <c r="B308" s="0" t="s">
        <v>0</v>
      </c>
      <c r="C308" s="0" t="s">
        <v>26</v>
      </c>
      <c r="D308" s="0" t="s">
        <v>103</v>
      </c>
      <c r="E308" s="0" t="str">
        <f>"s1_node_"&amp;D308&amp;"_name"</f>
        <v>s1_node_economy_name</v>
      </c>
      <c r="F308" s="10" t="str">
        <f>"s1_node_"&amp;D308&amp;"_desc"</f>
        <v>s1_node_economy_desc</v>
      </c>
      <c r="G308" s="0" t="s">
        <v>417</v>
      </c>
      <c r="H308" s="0">
        <v>4</v>
      </c>
      <c r="I308" s="0" t="s">
        <v>27</v>
      </c>
      <c r="J308" s="0" t="s">
        <v>338</v>
      </c>
      <c r="K308" s="0">
        <v>2580</v>
      </c>
      <c r="L308" s="10">
        <v>3</v>
      </c>
      <c r="M308" s="0">
        <v>70</v>
      </c>
      <c r="N308" s="0">
        <v>6</v>
      </c>
      <c r="O308" s="0" t="s">
        <v>595</v>
      </c>
      <c r="T308" s="0" t="str">
        <f>_xlfn.TEXTJOIN("_",TRUE,C308,"node_eff",D308,M308,N308)</f>
        <v>s1_node_eff_economy_70_6</v>
      </c>
    </row>
    <row r="309" spans="1:20" x14ac:dyDescent="0.45">
      <c r="A309" s="0" t="str">
        <f>_xlfn.TEXTJOIN("_",TRUE,C309,"node",D309,M309,N309)</f>
        <v>s1_node_economy_71_4</v>
      </c>
      <c r="B309" s="0" t="s">
        <v>0</v>
      </c>
      <c r="C309" s="0" t="s">
        <v>26</v>
      </c>
      <c r="D309" s="0" t="s">
        <v>103</v>
      </c>
      <c r="E309" s="0" t="str">
        <f>"s1_node_"&amp;D309&amp;"_name"</f>
        <v>s1_node_economy_name</v>
      </c>
      <c r="F309" s="10" t="str">
        <f>"s1_node_"&amp;D309&amp;"_desc"</f>
        <v>s1_node_economy_desc</v>
      </c>
      <c r="G309" s="0" t="s">
        <v>417</v>
      </c>
      <c r="H309" s="0">
        <v>4</v>
      </c>
      <c r="I309" s="0" t="s">
        <v>27</v>
      </c>
      <c r="J309" s="0" t="s">
        <v>596</v>
      </c>
      <c r="K309" s="0">
        <v>2610</v>
      </c>
      <c r="L309" s="10">
        <v>3</v>
      </c>
      <c r="M309" s="0">
        <v>71</v>
      </c>
      <c r="N309" s="0">
        <v>4</v>
      </c>
      <c r="O309" s="0" t="s">
        <v>597</v>
      </c>
      <c r="P309" s="0" t="s">
        <v>598</v>
      </c>
      <c r="T309" s="0" t="str">
        <f>_xlfn.TEXTJOIN("_",TRUE,C309,"node_eff",D309,M309,N309)</f>
        <v>s1_node_eff_economy_71_4</v>
      </c>
    </row>
    <row r="310" spans="1:20" x14ac:dyDescent="0.45">
      <c r="A310" s="0" t="str">
        <f>_xlfn.TEXTJOIN("_",TRUE,C310,"node",D310,M310,N310)</f>
        <v>s1_node_economy_72_2</v>
      </c>
      <c r="B310" s="0" t="s">
        <v>0</v>
      </c>
      <c r="C310" s="0" t="s">
        <v>26</v>
      </c>
      <c r="D310" s="0" t="s">
        <v>103</v>
      </c>
      <c r="E310" s="0" t="str">
        <f>"s1_node_"&amp;D310&amp;"_name"</f>
        <v>s1_node_economy_name</v>
      </c>
      <c r="F310" s="10" t="str">
        <f>"s1_node_"&amp;D310&amp;"_desc"</f>
        <v>s1_node_economy_desc</v>
      </c>
      <c r="G310" s="0" t="s">
        <v>421</v>
      </c>
      <c r="H310" s="0">
        <v>4</v>
      </c>
      <c r="I310" s="0" t="s">
        <v>27</v>
      </c>
      <c r="J310" s="0" t="s">
        <v>344</v>
      </c>
      <c r="K310" s="0">
        <v>2650</v>
      </c>
      <c r="L310" s="10">
        <v>3</v>
      </c>
      <c r="M310" s="0">
        <v>72</v>
      </c>
      <c r="N310" s="0">
        <v>2</v>
      </c>
      <c r="O310" s="0" t="s">
        <v>599</v>
      </c>
      <c r="T310" s="0" t="str">
        <f>_xlfn.TEXTJOIN("_",TRUE,C310,"node_eff",D310,M310,N310)</f>
        <v>s1_node_eff_economy_72_2</v>
      </c>
    </row>
    <row r="311" spans="1:20" x14ac:dyDescent="0.45">
      <c r="A311" s="0" t="str">
        <f>_xlfn.TEXTJOIN("_",TRUE,C311,"node",D311,M311,N311)</f>
        <v>s1_node_economy_72_6</v>
      </c>
      <c r="B311" s="0" t="s">
        <v>0</v>
      </c>
      <c r="C311" s="0" t="s">
        <v>26</v>
      </c>
      <c r="D311" s="0" t="s">
        <v>103</v>
      </c>
      <c r="E311" s="0" t="str">
        <f>"s1_node_"&amp;D311&amp;"_name"</f>
        <v>s1_node_economy_name</v>
      </c>
      <c r="F311" s="10" t="str">
        <f>"s1_node_"&amp;D311&amp;"_desc"</f>
        <v>s1_node_economy_desc</v>
      </c>
      <c r="G311" s="0" t="s">
        <v>417</v>
      </c>
      <c r="H311" s="0">
        <v>4</v>
      </c>
      <c r="I311" s="0" t="s">
        <v>27</v>
      </c>
      <c r="J311" s="0" t="s">
        <v>344</v>
      </c>
      <c r="K311" s="0">
        <v>2650</v>
      </c>
      <c r="L311" s="10">
        <v>3</v>
      </c>
      <c r="M311" s="0">
        <v>72</v>
      </c>
      <c r="N311" s="0">
        <v>6</v>
      </c>
      <c r="O311" s="0" t="s">
        <v>599</v>
      </c>
      <c r="T311" s="0" t="str">
        <f>_xlfn.TEXTJOIN("_",TRUE,C311,"node_eff",D311,M311,N311)</f>
        <v>s1_node_eff_economy_72_6</v>
      </c>
    </row>
    <row r="312" spans="1:20" x14ac:dyDescent="0.45">
      <c r="A312" s="0" t="str">
        <f>_xlfn.TEXTJOIN("_",TRUE,C312,"node",D312,M312,N312)</f>
        <v>s1_node_economy_73_2</v>
      </c>
      <c r="B312" s="0" t="s">
        <v>0</v>
      </c>
      <c r="C312" s="0" t="s">
        <v>26</v>
      </c>
      <c r="D312" s="0" t="s">
        <v>103</v>
      </c>
      <c r="E312" s="0" t="str">
        <f>"s1_node_"&amp;D312&amp;"_name"</f>
        <v>s1_node_economy_name</v>
      </c>
      <c r="F312" s="10" t="str">
        <f>"s1_node_"&amp;D312&amp;"_desc"</f>
        <v>s1_node_economy_desc</v>
      </c>
      <c r="G312" s="0" t="s">
        <v>417</v>
      </c>
      <c r="H312" s="0">
        <v>4</v>
      </c>
      <c r="I312" s="0" t="s">
        <v>27</v>
      </c>
      <c r="J312" s="0" t="s">
        <v>347</v>
      </c>
      <c r="K312" s="0">
        <v>2690</v>
      </c>
      <c r="L312" s="10">
        <v>3</v>
      </c>
      <c r="M312" s="0">
        <v>73</v>
      </c>
      <c r="N312" s="0">
        <v>2</v>
      </c>
      <c r="O312" s="0" t="s">
        <v>600</v>
      </c>
      <c r="T312" s="0" t="str">
        <f>_xlfn.TEXTJOIN("_",TRUE,C312,"node_eff",D312,M312,N312)</f>
        <v>s1_node_eff_economy_73_2</v>
      </c>
    </row>
    <row r="313" spans="1:20" x14ac:dyDescent="0.45">
      <c r="A313" s="0" t="str">
        <f>_xlfn.TEXTJOIN("_",TRUE,C313,"node",D313,M313,N313)</f>
        <v>s1_node_economy_73_6</v>
      </c>
      <c r="B313" s="0" t="s">
        <v>0</v>
      </c>
      <c r="C313" s="0" t="s">
        <v>26</v>
      </c>
      <c r="D313" s="0" t="s">
        <v>103</v>
      </c>
      <c r="E313" s="0" t="str">
        <f>"s1_node_"&amp;D313&amp;"_name"</f>
        <v>s1_node_economy_name</v>
      </c>
      <c r="F313" s="10" t="str">
        <f>"s1_node_"&amp;D313&amp;"_desc"</f>
        <v>s1_node_economy_desc</v>
      </c>
      <c r="G313" s="0" t="s">
        <v>417</v>
      </c>
      <c r="H313" s="0">
        <v>4</v>
      </c>
      <c r="I313" s="0" t="s">
        <v>27</v>
      </c>
      <c r="J313" s="0" t="s">
        <v>347</v>
      </c>
      <c r="K313" s="0">
        <v>2690</v>
      </c>
      <c r="L313" s="10">
        <v>3</v>
      </c>
      <c r="M313" s="0">
        <v>73</v>
      </c>
      <c r="N313" s="0">
        <v>6</v>
      </c>
      <c r="O313" s="0" t="s">
        <v>601</v>
      </c>
      <c r="T313" s="0" t="str">
        <f>_xlfn.TEXTJOIN("_",TRUE,C313,"node_eff",D313,M313,N313)</f>
        <v>s1_node_eff_economy_73_6</v>
      </c>
    </row>
    <row r="314" spans="1:20" x14ac:dyDescent="0.45">
      <c r="A314" s="0" t="str">
        <f>_xlfn.TEXTJOIN("_",TRUE,C314,"node",D314,M314,N314)</f>
        <v>s1_node_economy_74_2</v>
      </c>
      <c r="B314" s="0" t="s">
        <v>0</v>
      </c>
      <c r="C314" s="0" t="s">
        <v>26</v>
      </c>
      <c r="D314" s="0" t="s">
        <v>103</v>
      </c>
      <c r="E314" s="0" t="str">
        <f>"s1_node_"&amp;D314&amp;"_name"</f>
        <v>s1_node_economy_name</v>
      </c>
      <c r="F314" s="10" t="str">
        <f>"s1_node_"&amp;D314&amp;"_desc"</f>
        <v>s1_node_economy_desc</v>
      </c>
      <c r="G314" s="0" t="s">
        <v>417</v>
      </c>
      <c r="H314" s="0">
        <v>4</v>
      </c>
      <c r="I314" s="0" t="s">
        <v>27</v>
      </c>
      <c r="J314" s="0" t="s">
        <v>350</v>
      </c>
      <c r="K314" s="0">
        <v>2720</v>
      </c>
      <c r="L314" s="10">
        <v>3</v>
      </c>
      <c r="M314" s="0">
        <v>74</v>
      </c>
      <c r="N314" s="0">
        <v>2</v>
      </c>
      <c r="O314" s="0" t="s">
        <v>602</v>
      </c>
      <c r="T314" s="0" t="str">
        <f>_xlfn.TEXTJOIN("_",TRUE,C314,"node_eff",D314,M314,N314)</f>
        <v>s1_node_eff_economy_74_2</v>
      </c>
    </row>
    <row r="315" spans="1:20" x14ac:dyDescent="0.45">
      <c r="A315" s="0" t="str">
        <f>_xlfn.TEXTJOIN("_",TRUE,C315,"node",D315,M315,N315)</f>
        <v>s1_node_economy_74_6</v>
      </c>
      <c r="B315" s="0" t="s">
        <v>0</v>
      </c>
      <c r="C315" s="0" t="s">
        <v>26</v>
      </c>
      <c r="D315" s="0" t="s">
        <v>103</v>
      </c>
      <c r="E315" s="0" t="str">
        <f>"s1_node_"&amp;D315&amp;"_name"</f>
        <v>s1_node_economy_name</v>
      </c>
      <c r="F315" s="10" t="str">
        <f>"s1_node_"&amp;D315&amp;"_desc"</f>
        <v>s1_node_economy_desc</v>
      </c>
      <c r="G315" s="0" t="s">
        <v>417</v>
      </c>
      <c r="H315" s="0">
        <v>4</v>
      </c>
      <c r="I315" s="0" t="s">
        <v>27</v>
      </c>
      <c r="J315" s="0" t="s">
        <v>350</v>
      </c>
      <c r="K315" s="0">
        <v>2720</v>
      </c>
      <c r="L315" s="10">
        <v>3</v>
      </c>
      <c r="M315" s="0">
        <v>74</v>
      </c>
      <c r="N315" s="0">
        <v>6</v>
      </c>
      <c r="O315" s="0" t="s">
        <v>603</v>
      </c>
      <c r="T315" s="0" t="str">
        <f>_xlfn.TEXTJOIN("_",TRUE,C315,"node_eff",D315,M315,N315)</f>
        <v>s1_node_eff_economy_74_6</v>
      </c>
    </row>
    <row r="316" spans="1:20" x14ac:dyDescent="0.45">
      <c r="A316" s="0" t="str">
        <f>_xlfn.TEXTJOIN("_",TRUE,C316,"node",D316,M316,N316)</f>
        <v>s1_node_economy_75_2</v>
      </c>
      <c r="B316" s="0" t="s">
        <v>0</v>
      </c>
      <c r="C316" s="0" t="s">
        <v>26</v>
      </c>
      <c r="D316" s="0" t="s">
        <v>103</v>
      </c>
      <c r="E316" s="0" t="str">
        <f>"s1_node_"&amp;D316&amp;"_name"</f>
        <v>s1_node_economy_name</v>
      </c>
      <c r="F316" s="10" t="str">
        <f>"s1_node_"&amp;D316&amp;"_desc"</f>
        <v>s1_node_economy_desc</v>
      </c>
      <c r="G316" s="0" t="s">
        <v>417</v>
      </c>
      <c r="H316" s="0">
        <v>4</v>
      </c>
      <c r="I316" s="0" t="s">
        <v>27</v>
      </c>
      <c r="J316" s="0" t="s">
        <v>352</v>
      </c>
      <c r="K316" s="0">
        <v>2760</v>
      </c>
      <c r="L316" s="10">
        <v>3</v>
      </c>
      <c r="M316" s="0">
        <v>75</v>
      </c>
      <c r="N316" s="0">
        <v>2</v>
      </c>
      <c r="O316" s="0" t="s">
        <v>604</v>
      </c>
      <c r="T316" s="0" t="str">
        <f>_xlfn.TEXTJOIN("_",TRUE,C316,"node_eff",D316,M316,N316)</f>
        <v>s1_node_eff_economy_75_2</v>
      </c>
    </row>
    <row r="317" spans="1:20" x14ac:dyDescent="0.45">
      <c r="A317" s="0" t="str">
        <f>_xlfn.TEXTJOIN("_",TRUE,C317,"node",D317,M317,N317)</f>
        <v>s1_node_economy_75_6</v>
      </c>
      <c r="B317" s="0" t="s">
        <v>0</v>
      </c>
      <c r="C317" s="0" t="s">
        <v>26</v>
      </c>
      <c r="D317" s="0" t="s">
        <v>103</v>
      </c>
      <c r="E317" s="0" t="str">
        <f>"s1_node_"&amp;D317&amp;"_name"</f>
        <v>s1_node_economy_name</v>
      </c>
      <c r="F317" s="10" t="str">
        <f>"s1_node_"&amp;D317&amp;"_desc"</f>
        <v>s1_node_economy_desc</v>
      </c>
      <c r="G317" s="0" t="s">
        <v>417</v>
      </c>
      <c r="H317" s="0">
        <v>4</v>
      </c>
      <c r="I317" s="0" t="s">
        <v>27</v>
      </c>
      <c r="J317" s="0" t="s">
        <v>352</v>
      </c>
      <c r="K317" s="0">
        <v>2760</v>
      </c>
      <c r="L317" s="10">
        <v>3</v>
      </c>
      <c r="M317" s="0">
        <v>75</v>
      </c>
      <c r="N317" s="0">
        <v>6</v>
      </c>
      <c r="O317" s="0" t="s">
        <v>605</v>
      </c>
      <c r="T317" s="0" t="str">
        <f>_xlfn.TEXTJOIN("_",TRUE,C317,"node_eff",D317,M317,N317)</f>
        <v>s1_node_eff_economy_75_6</v>
      </c>
    </row>
    <row r="318" spans="1:20" x14ac:dyDescent="0.45">
      <c r="A318" s="0" t="str">
        <f>_xlfn.TEXTJOIN("_",TRUE,C318,"node",D318,M318,N318)</f>
        <v>s1_node_economy_76_4</v>
      </c>
      <c r="B318" s="0" t="s">
        <v>0</v>
      </c>
      <c r="C318" s="0" t="s">
        <v>26</v>
      </c>
      <c r="D318" s="0" t="s">
        <v>103</v>
      </c>
      <c r="E318" s="0" t="str">
        <f>"s1_node_"&amp;D318&amp;"_name"</f>
        <v>s1_node_economy_name</v>
      </c>
      <c r="F318" s="10" t="str">
        <f>"s1_node_"&amp;D318&amp;"_desc"</f>
        <v>s1_node_economy_desc</v>
      </c>
      <c r="G318" s="0" t="s">
        <v>417</v>
      </c>
      <c r="H318" s="0">
        <v>4</v>
      </c>
      <c r="I318" s="0" t="s">
        <v>27</v>
      </c>
      <c r="J318" s="0" t="s">
        <v>355</v>
      </c>
      <c r="K318" s="0">
        <v>2790</v>
      </c>
      <c r="L318" s="10">
        <v>3</v>
      </c>
      <c r="M318" s="0">
        <v>76</v>
      </c>
      <c r="N318" s="0">
        <v>4</v>
      </c>
      <c r="O318" s="0" t="s">
        <v>606</v>
      </c>
      <c r="P318" s="0" t="s">
        <v>607</v>
      </c>
      <c r="T318" s="0" t="str">
        <f>_xlfn.TEXTJOIN("_",TRUE,C318,"node_eff",D318,M318,N318)</f>
        <v>s1_node_eff_economy_76_4</v>
      </c>
    </row>
    <row r="319" spans="1:20" x14ac:dyDescent="0.45">
      <c r="A319" s="0" t="str">
        <f>_xlfn.TEXTJOIN("_",TRUE,C319,"node",D319,M319,N319)</f>
        <v>s1_node_economy_77_2</v>
      </c>
      <c r="B319" s="0" t="s">
        <v>0</v>
      </c>
      <c r="C319" s="0" t="s">
        <v>26</v>
      </c>
      <c r="D319" s="0" t="s">
        <v>103</v>
      </c>
      <c r="E319" s="0" t="str">
        <f>"s1_node_"&amp;D319&amp;"_name"</f>
        <v>s1_node_economy_name</v>
      </c>
      <c r="F319" s="10" t="str">
        <f>"s1_node_"&amp;D319&amp;"_desc"</f>
        <v>s1_node_economy_desc</v>
      </c>
      <c r="G319" s="0" t="s">
        <v>417</v>
      </c>
      <c r="H319" s="0">
        <v>4</v>
      </c>
      <c r="I319" s="0" t="s">
        <v>27</v>
      </c>
      <c r="J319" s="0" t="s">
        <v>358</v>
      </c>
      <c r="K319" s="0">
        <v>2830</v>
      </c>
      <c r="L319" s="10">
        <v>3</v>
      </c>
      <c r="M319" s="0">
        <v>77</v>
      </c>
      <c r="N319" s="0">
        <v>2</v>
      </c>
      <c r="O319" s="0" t="s">
        <v>608</v>
      </c>
      <c r="T319" s="0" t="str">
        <f>_xlfn.TEXTJOIN("_",TRUE,C319,"node_eff",D319,M319,N319)</f>
        <v>s1_node_eff_economy_77_2</v>
      </c>
    </row>
    <row r="320" spans="1:20" x14ac:dyDescent="0.45">
      <c r="A320" s="0" t="str">
        <f>_xlfn.TEXTJOIN("_",TRUE,C320,"node",D320,M320,N320)</f>
        <v>s1_node_economy_77_6</v>
      </c>
      <c r="B320" s="0" t="s">
        <v>0</v>
      </c>
      <c r="C320" s="0" t="s">
        <v>26</v>
      </c>
      <c r="D320" s="0" t="s">
        <v>103</v>
      </c>
      <c r="E320" s="0" t="str">
        <f>"s1_node_"&amp;D320&amp;"_name"</f>
        <v>s1_node_economy_name</v>
      </c>
      <c r="F320" s="10" t="str">
        <f>"s1_node_"&amp;D320&amp;"_desc"</f>
        <v>s1_node_economy_desc</v>
      </c>
      <c r="G320" s="0" t="s">
        <v>417</v>
      </c>
      <c r="H320" s="0">
        <v>4</v>
      </c>
      <c r="I320" s="0" t="s">
        <v>27</v>
      </c>
      <c r="J320" s="0" t="s">
        <v>358</v>
      </c>
      <c r="K320" s="0">
        <v>2830</v>
      </c>
      <c r="L320" s="10">
        <v>3</v>
      </c>
      <c r="M320" s="0">
        <v>77</v>
      </c>
      <c r="N320" s="0">
        <v>6</v>
      </c>
      <c r="O320" s="0" t="s">
        <v>608</v>
      </c>
      <c r="T320" s="0" t="str">
        <f>_xlfn.TEXTJOIN("_",TRUE,C320,"node_eff",D320,M320,N320)</f>
        <v>s1_node_eff_economy_77_6</v>
      </c>
    </row>
    <row r="321" spans="1:20" x14ac:dyDescent="0.45">
      <c r="A321" s="0" t="str">
        <f>_xlfn.TEXTJOIN("_",TRUE,C321,"node",D321,M321,N321)</f>
        <v>s1_node_economy_78_2</v>
      </c>
      <c r="B321" s="0" t="s">
        <v>0</v>
      </c>
      <c r="C321" s="0" t="s">
        <v>26</v>
      </c>
      <c r="D321" s="0" t="s">
        <v>103</v>
      </c>
      <c r="E321" s="0" t="str">
        <f>"s1_node_"&amp;D321&amp;"_name"</f>
        <v>s1_node_economy_name</v>
      </c>
      <c r="F321" s="10" t="str">
        <f>"s1_node_"&amp;D321&amp;"_desc"</f>
        <v>s1_node_economy_desc</v>
      </c>
      <c r="G321" s="0" t="s">
        <v>417</v>
      </c>
      <c r="H321" s="0">
        <v>4</v>
      </c>
      <c r="I321" s="0" t="s">
        <v>27</v>
      </c>
      <c r="J321" s="0" t="s">
        <v>361</v>
      </c>
      <c r="K321" s="0">
        <v>2860</v>
      </c>
      <c r="L321" s="10">
        <v>3</v>
      </c>
      <c r="M321" s="0">
        <v>78</v>
      </c>
      <c r="N321" s="0">
        <v>2</v>
      </c>
      <c r="O321" s="0" t="s">
        <v>609</v>
      </c>
      <c r="T321" s="0" t="str">
        <f>_xlfn.TEXTJOIN("_",TRUE,C321,"node_eff",D321,M321,N321)</f>
        <v>s1_node_eff_economy_78_2</v>
      </c>
    </row>
    <row r="322" spans="1:20" x14ac:dyDescent="0.45">
      <c r="A322" s="0" t="str">
        <f>_xlfn.TEXTJOIN("_",TRUE,C322,"node",D322,M322,N322)</f>
        <v>s1_node_economy_78_6</v>
      </c>
      <c r="B322" s="0" t="s">
        <v>0</v>
      </c>
      <c r="C322" s="0" t="s">
        <v>26</v>
      </c>
      <c r="D322" s="0" t="s">
        <v>103</v>
      </c>
      <c r="E322" s="0" t="str">
        <f>"s1_node_"&amp;D322&amp;"_name"</f>
        <v>s1_node_economy_name</v>
      </c>
      <c r="F322" s="10" t="str">
        <f>"s1_node_"&amp;D322&amp;"_desc"</f>
        <v>s1_node_economy_desc</v>
      </c>
      <c r="G322" s="0" t="s">
        <v>417</v>
      </c>
      <c r="H322" s="0">
        <v>4</v>
      </c>
      <c r="I322" s="0" t="s">
        <v>27</v>
      </c>
      <c r="J322" s="0" t="s">
        <v>361</v>
      </c>
      <c r="K322" s="0">
        <v>2860</v>
      </c>
      <c r="L322" s="10">
        <v>3</v>
      </c>
      <c r="M322" s="0">
        <v>78</v>
      </c>
      <c r="N322" s="0">
        <v>6</v>
      </c>
      <c r="O322" s="0" t="s">
        <v>610</v>
      </c>
      <c r="T322" s="0" t="str">
        <f>_xlfn.TEXTJOIN("_",TRUE,C322,"node_eff",D322,M322,N322)</f>
        <v>s1_node_eff_economy_78_6</v>
      </c>
    </row>
    <row r="323" spans="1:20" x14ac:dyDescent="0.45">
      <c r="A323" s="0" t="str">
        <f>_xlfn.TEXTJOIN("_",TRUE,C323,"node",D323,M323,N323)</f>
        <v>s1_node_economy_79_2</v>
      </c>
      <c r="B323" s="0" t="s">
        <v>0</v>
      </c>
      <c r="C323" s="0" t="s">
        <v>26</v>
      </c>
      <c r="D323" s="0" t="s">
        <v>103</v>
      </c>
      <c r="E323" s="0" t="str">
        <f>"s1_node_"&amp;D323&amp;"_name"</f>
        <v>s1_node_economy_name</v>
      </c>
      <c r="F323" s="10" t="str">
        <f>"s1_node_"&amp;D323&amp;"_desc"</f>
        <v>s1_node_economy_desc</v>
      </c>
      <c r="G323" s="0" t="s">
        <v>417</v>
      </c>
      <c r="H323" s="0">
        <v>4</v>
      </c>
      <c r="I323" s="0" t="s">
        <v>27</v>
      </c>
      <c r="J323" s="0" t="s">
        <v>364</v>
      </c>
      <c r="K323" s="0">
        <v>2900</v>
      </c>
      <c r="L323" s="10">
        <v>3</v>
      </c>
      <c r="M323" s="0">
        <v>79</v>
      </c>
      <c r="N323" s="0">
        <v>2</v>
      </c>
      <c r="O323" s="0" t="s">
        <v>611</v>
      </c>
      <c r="T323" s="0" t="str">
        <f>_xlfn.TEXTJOIN("_",TRUE,C323,"node_eff",D323,M323,N323)</f>
        <v>s1_node_eff_economy_79_2</v>
      </c>
    </row>
    <row r="324" spans="1:20" x14ac:dyDescent="0.45">
      <c r="A324" s="0" t="str">
        <f>_xlfn.TEXTJOIN("_",TRUE,C324,"node",D324,M324,N324)</f>
        <v>s1_node_economy_79_6</v>
      </c>
      <c r="B324" s="0" t="s">
        <v>0</v>
      </c>
      <c r="C324" s="0" t="s">
        <v>26</v>
      </c>
      <c r="D324" s="0" t="s">
        <v>103</v>
      </c>
      <c r="E324" s="0" t="str">
        <f>"s1_node_"&amp;D324&amp;"_name"</f>
        <v>s1_node_economy_name</v>
      </c>
      <c r="F324" s="10" t="str">
        <f>"s1_node_"&amp;D324&amp;"_desc"</f>
        <v>s1_node_economy_desc</v>
      </c>
      <c r="G324" s="0" t="s">
        <v>421</v>
      </c>
      <c r="H324" s="0">
        <v>4</v>
      </c>
      <c r="I324" s="0" t="s">
        <v>27</v>
      </c>
      <c r="J324" s="0" t="s">
        <v>364</v>
      </c>
      <c r="K324" s="0">
        <v>2900</v>
      </c>
      <c r="L324" s="10">
        <v>3</v>
      </c>
      <c r="M324" s="0">
        <v>79</v>
      </c>
      <c r="N324" s="0">
        <v>6</v>
      </c>
      <c r="O324" s="0" t="s">
        <v>612</v>
      </c>
      <c r="T324" s="0" t="str">
        <f>_xlfn.TEXTJOIN("_",TRUE,C324,"node_eff",D324,M324,N324)</f>
        <v>s1_node_eff_economy_79_6</v>
      </c>
    </row>
    <row r="325" spans="1:20" x14ac:dyDescent="0.45">
      <c r="A325" s="0" t="str">
        <f>_xlfn.TEXTJOIN("_",TRUE,C325,"node",D325,M325,N325)</f>
        <v>s1_node_economy_80_2</v>
      </c>
      <c r="B325" s="0" t="s">
        <v>0</v>
      </c>
      <c r="C325" s="0" t="s">
        <v>26</v>
      </c>
      <c r="D325" s="0" t="s">
        <v>103</v>
      </c>
      <c r="E325" s="0" t="str">
        <f>"s1_node_"&amp;D325&amp;"_name"</f>
        <v>s1_node_economy_name</v>
      </c>
      <c r="F325" s="10" t="str">
        <f>"s1_node_"&amp;D325&amp;"_desc"</f>
        <v>s1_node_economy_desc</v>
      </c>
      <c r="G325" s="0" t="s">
        <v>417</v>
      </c>
      <c r="H325" s="0">
        <v>4</v>
      </c>
      <c r="I325" s="0" t="s">
        <v>27</v>
      </c>
      <c r="J325" s="0" t="s">
        <v>613</v>
      </c>
      <c r="K325" s="0">
        <v>2940</v>
      </c>
      <c r="L325" s="10">
        <v>3</v>
      </c>
      <c r="M325" s="0">
        <v>80</v>
      </c>
      <c r="N325" s="0">
        <v>2</v>
      </c>
      <c r="O325" s="0" t="s">
        <v>614</v>
      </c>
      <c r="T325" s="0" t="str">
        <f>_xlfn.TEXTJOIN("_",TRUE,C325,"node_eff",D325,M325,N325)</f>
        <v>s1_node_eff_economy_80_2</v>
      </c>
    </row>
    <row r="326" spans="1:20" x14ac:dyDescent="0.45">
      <c r="A326" s="0" t="str">
        <f>_xlfn.TEXTJOIN("_",TRUE,C326,"node",D326,M326,N326)</f>
        <v>s1_node_economy_80_6</v>
      </c>
      <c r="B326" s="0" t="s">
        <v>0</v>
      </c>
      <c r="C326" s="0" t="s">
        <v>26</v>
      </c>
      <c r="D326" s="0" t="s">
        <v>103</v>
      </c>
      <c r="E326" s="0" t="str">
        <f>"s1_node_"&amp;D326&amp;"_name"</f>
        <v>s1_node_economy_name</v>
      </c>
      <c r="F326" s="10" t="str">
        <f>"s1_node_"&amp;D326&amp;"_desc"</f>
        <v>s1_node_economy_desc</v>
      </c>
      <c r="G326" s="0" t="s">
        <v>417</v>
      </c>
      <c r="H326" s="0">
        <v>4</v>
      </c>
      <c r="I326" s="0" t="s">
        <v>27</v>
      </c>
      <c r="J326" s="0" t="s">
        <v>613</v>
      </c>
      <c r="K326" s="0">
        <v>2940</v>
      </c>
      <c r="L326" s="10">
        <v>3</v>
      </c>
      <c r="M326" s="0">
        <v>80</v>
      </c>
      <c r="N326" s="0">
        <v>6</v>
      </c>
      <c r="O326" s="0" t="s">
        <v>615</v>
      </c>
      <c r="T326" s="0" t="str">
        <f>_xlfn.TEXTJOIN("_",TRUE,C326,"node_eff",D326,M326,N326)</f>
        <v>s1_node_eff_economy_80_6</v>
      </c>
    </row>
    <row r="327" spans="1:20" x14ac:dyDescent="0.45">
      <c r="A327" s="0" t="str">
        <f>_xlfn.TEXTJOIN("_",TRUE,C327,"node",D327,M327,N327)</f>
        <v>s1_node_economy_81_4</v>
      </c>
      <c r="B327" s="0" t="s">
        <v>0</v>
      </c>
      <c r="C327" s="0" t="s">
        <v>26</v>
      </c>
      <c r="D327" s="0" t="s">
        <v>103</v>
      </c>
      <c r="E327" s="0" t="str">
        <f>"s1_node_"&amp;D327&amp;"_name"</f>
        <v>s1_node_economy_name</v>
      </c>
      <c r="F327" s="10" t="str">
        <f>"s1_node_"&amp;D327&amp;"_desc"</f>
        <v>s1_node_economy_desc</v>
      </c>
      <c r="G327" s="0" t="s">
        <v>417</v>
      </c>
      <c r="H327" s="0">
        <v>5</v>
      </c>
      <c r="I327" s="0" t="s">
        <v>27</v>
      </c>
      <c r="J327" s="0" t="s">
        <v>616</v>
      </c>
      <c r="K327" s="0">
        <v>2970</v>
      </c>
      <c r="L327" s="10">
        <v>3</v>
      </c>
      <c r="M327" s="0">
        <v>81</v>
      </c>
      <c r="N327" s="0">
        <v>4</v>
      </c>
      <c r="O327" s="0" t="s">
        <v>617</v>
      </c>
      <c r="P327" s="0" t="s">
        <v>618</v>
      </c>
      <c r="T327" s="0" t="str">
        <f>_xlfn.TEXTJOIN("_",TRUE,C327,"node_eff",D327,M327,N327)</f>
        <v>s1_node_eff_economy_81_4</v>
      </c>
    </row>
    <row r="328" spans="1:20" x14ac:dyDescent="0.45">
      <c r="A328" s="0" t="str">
        <f>_xlfn.TEXTJOIN("_",TRUE,C328,"node",D328,M328,N328)</f>
        <v>s1_node_economy_82_2</v>
      </c>
      <c r="B328" s="0" t="s">
        <v>0</v>
      </c>
      <c r="C328" s="0" t="s">
        <v>26</v>
      </c>
      <c r="D328" s="0" t="s">
        <v>103</v>
      </c>
      <c r="E328" s="0" t="str">
        <f>"s1_node_"&amp;D328&amp;"_name"</f>
        <v>s1_node_economy_name</v>
      </c>
      <c r="F328" s="10" t="str">
        <f>"s1_node_"&amp;D328&amp;"_desc"</f>
        <v>s1_node_economy_desc</v>
      </c>
      <c r="G328" s="0" t="s">
        <v>417</v>
      </c>
      <c r="H328" s="0">
        <v>5</v>
      </c>
      <c r="I328" s="0" t="s">
        <v>27</v>
      </c>
      <c r="J328" s="0" t="s">
        <v>619</v>
      </c>
      <c r="K328" s="0">
        <v>3010</v>
      </c>
      <c r="L328" s="10">
        <v>3</v>
      </c>
      <c r="M328" s="0">
        <v>82</v>
      </c>
      <c r="N328" s="0">
        <v>2</v>
      </c>
      <c r="O328" s="0" t="s">
        <v>620</v>
      </c>
      <c r="T328" s="0" t="str">
        <f>_xlfn.TEXTJOIN("_",TRUE,C328,"node_eff",D328,M328,N328)</f>
        <v>s1_node_eff_economy_82_2</v>
      </c>
    </row>
    <row r="329" spans="1:20" x14ac:dyDescent="0.45">
      <c r="A329" s="0" t="str">
        <f>_xlfn.TEXTJOIN("_",TRUE,C329,"node",D329,M329,N329)</f>
        <v>s1_node_economy_82_6</v>
      </c>
      <c r="B329" s="0" t="s">
        <v>0</v>
      </c>
      <c r="C329" s="0" t="s">
        <v>26</v>
      </c>
      <c r="D329" s="0" t="s">
        <v>103</v>
      </c>
      <c r="E329" s="0" t="str">
        <f>"s1_node_"&amp;D329&amp;"_name"</f>
        <v>s1_node_economy_name</v>
      </c>
      <c r="F329" s="10" t="str">
        <f>"s1_node_"&amp;D329&amp;"_desc"</f>
        <v>s1_node_economy_desc</v>
      </c>
      <c r="G329" s="0" t="s">
        <v>421</v>
      </c>
      <c r="H329" s="0">
        <v>5</v>
      </c>
      <c r="I329" s="0" t="s">
        <v>27</v>
      </c>
      <c r="J329" s="0" t="s">
        <v>619</v>
      </c>
      <c r="K329" s="0">
        <v>3010</v>
      </c>
      <c r="L329" s="10">
        <v>3</v>
      </c>
      <c r="M329" s="0">
        <v>82</v>
      </c>
      <c r="N329" s="0">
        <v>6</v>
      </c>
      <c r="O329" s="0" t="s">
        <v>620</v>
      </c>
      <c r="T329" s="0" t="str">
        <f>_xlfn.TEXTJOIN("_",TRUE,C329,"node_eff",D329,M329,N329)</f>
        <v>s1_node_eff_economy_82_6</v>
      </c>
    </row>
    <row r="330" spans="1:20" x14ac:dyDescent="0.45">
      <c r="A330" s="0" t="str">
        <f>_xlfn.TEXTJOIN("_",TRUE,C330,"node",D330,M330,N330)</f>
        <v>s1_node_economy_83_2</v>
      </c>
      <c r="B330" s="0" t="s">
        <v>0</v>
      </c>
      <c r="C330" s="0" t="s">
        <v>26</v>
      </c>
      <c r="D330" s="0" t="s">
        <v>103</v>
      </c>
      <c r="E330" s="0" t="str">
        <f>"s1_node_"&amp;D330&amp;"_name"</f>
        <v>s1_node_economy_name</v>
      </c>
      <c r="F330" s="10" t="str">
        <f>"s1_node_"&amp;D330&amp;"_desc"</f>
        <v>s1_node_economy_desc</v>
      </c>
      <c r="G330" s="0" t="s">
        <v>417</v>
      </c>
      <c r="H330" s="0">
        <v>5</v>
      </c>
      <c r="I330" s="0" t="s">
        <v>27</v>
      </c>
      <c r="J330" s="0" t="s">
        <v>621</v>
      </c>
      <c r="K330" s="0">
        <v>3040</v>
      </c>
      <c r="L330" s="10">
        <v>3</v>
      </c>
      <c r="M330" s="0">
        <v>83</v>
      </c>
      <c r="N330" s="0">
        <v>2</v>
      </c>
      <c r="O330" s="0" t="s">
        <v>622</v>
      </c>
      <c r="T330" s="0" t="str">
        <f>_xlfn.TEXTJOIN("_",TRUE,C330,"node_eff",D330,M330,N330)</f>
        <v>s1_node_eff_economy_83_2</v>
      </c>
    </row>
    <row r="331" spans="1:20" x14ac:dyDescent="0.45">
      <c r="A331" s="0" t="str">
        <f>_xlfn.TEXTJOIN("_",TRUE,C331,"node",D331,M331,N331)</f>
        <v>s1_node_economy_83_6</v>
      </c>
      <c r="B331" s="0" t="s">
        <v>0</v>
      </c>
      <c r="C331" s="0" t="s">
        <v>26</v>
      </c>
      <c r="D331" s="0" t="s">
        <v>103</v>
      </c>
      <c r="E331" s="0" t="str">
        <f>"s1_node_"&amp;D331&amp;"_name"</f>
        <v>s1_node_economy_name</v>
      </c>
      <c r="F331" s="10" t="str">
        <f>"s1_node_"&amp;D331&amp;"_desc"</f>
        <v>s1_node_economy_desc</v>
      </c>
      <c r="G331" s="0" t="s">
        <v>417</v>
      </c>
      <c r="H331" s="0">
        <v>5</v>
      </c>
      <c r="I331" s="0" t="s">
        <v>27</v>
      </c>
      <c r="J331" s="0" t="s">
        <v>621</v>
      </c>
      <c r="K331" s="0">
        <v>3040</v>
      </c>
      <c r="L331" s="10">
        <v>3</v>
      </c>
      <c r="M331" s="0">
        <v>83</v>
      </c>
      <c r="N331" s="0">
        <v>6</v>
      </c>
      <c r="O331" s="0" t="s">
        <v>623</v>
      </c>
      <c r="T331" s="0" t="str">
        <f>_xlfn.TEXTJOIN("_",TRUE,C331,"node_eff",D331,M331,N331)</f>
        <v>s1_node_eff_economy_83_6</v>
      </c>
    </row>
    <row r="332" spans="1:20" x14ac:dyDescent="0.45">
      <c r="A332" s="0" t="str">
        <f>_xlfn.TEXTJOIN("_",TRUE,C332,"node",D332,M332,N332)</f>
        <v>s1_node_economy_84_2</v>
      </c>
      <c r="B332" s="0" t="s">
        <v>0</v>
      </c>
      <c r="C332" s="0" t="s">
        <v>26</v>
      </c>
      <c r="D332" s="0" t="s">
        <v>103</v>
      </c>
      <c r="E332" s="0" t="str">
        <f>"s1_node_"&amp;D332&amp;"_name"</f>
        <v>s1_node_economy_name</v>
      </c>
      <c r="F332" s="10" t="str">
        <f>"s1_node_"&amp;D332&amp;"_desc"</f>
        <v>s1_node_economy_desc</v>
      </c>
      <c r="G332" s="0" t="s">
        <v>417</v>
      </c>
      <c r="H332" s="0">
        <v>5</v>
      </c>
      <c r="I332" s="0" t="s">
        <v>27</v>
      </c>
      <c r="J332" s="0" t="s">
        <v>624</v>
      </c>
      <c r="K332" s="0">
        <v>3080</v>
      </c>
      <c r="L332" s="10">
        <v>3</v>
      </c>
      <c r="M332" s="0">
        <v>84</v>
      </c>
      <c r="N332" s="0">
        <v>2</v>
      </c>
      <c r="O332" s="0" t="s">
        <v>625</v>
      </c>
      <c r="T332" s="0" t="str">
        <f>_xlfn.TEXTJOIN("_",TRUE,C332,"node_eff",D332,M332,N332)</f>
        <v>s1_node_eff_economy_84_2</v>
      </c>
    </row>
    <row r="333" spans="1:20" x14ac:dyDescent="0.45">
      <c r="A333" s="0" t="str">
        <f>_xlfn.TEXTJOIN("_",TRUE,C333,"node",D333,M333,N333)</f>
        <v>s1_node_economy_84_6</v>
      </c>
      <c r="B333" s="0" t="s">
        <v>0</v>
      </c>
      <c r="C333" s="0" t="s">
        <v>26</v>
      </c>
      <c r="D333" s="0" t="s">
        <v>103</v>
      </c>
      <c r="E333" s="0" t="str">
        <f>"s1_node_"&amp;D333&amp;"_name"</f>
        <v>s1_node_economy_name</v>
      </c>
      <c r="F333" s="10" t="str">
        <f>"s1_node_"&amp;D333&amp;"_desc"</f>
        <v>s1_node_economy_desc</v>
      </c>
      <c r="G333" s="0" t="s">
        <v>417</v>
      </c>
      <c r="H333" s="0">
        <v>5</v>
      </c>
      <c r="I333" s="0" t="s">
        <v>27</v>
      </c>
      <c r="J333" s="0" t="s">
        <v>624</v>
      </c>
      <c r="K333" s="0">
        <v>3080</v>
      </c>
      <c r="L333" s="10">
        <v>3</v>
      </c>
      <c r="M333" s="0">
        <v>84</v>
      </c>
      <c r="N333" s="0">
        <v>6</v>
      </c>
      <c r="O333" s="0" t="s">
        <v>626</v>
      </c>
      <c r="T333" s="0" t="str">
        <f>_xlfn.TEXTJOIN("_",TRUE,C333,"node_eff",D333,M333,N333)</f>
        <v>s1_node_eff_economy_84_6</v>
      </c>
    </row>
    <row r="334" spans="1:20" x14ac:dyDescent="0.45">
      <c r="A334" s="0" t="str">
        <f>_xlfn.TEXTJOIN("_",TRUE,C334,"node",D334,M334,N334)</f>
        <v>s1_node_economy_85_2</v>
      </c>
      <c r="B334" s="0" t="s">
        <v>0</v>
      </c>
      <c r="C334" s="0" t="s">
        <v>26</v>
      </c>
      <c r="D334" s="0" t="s">
        <v>103</v>
      </c>
      <c r="E334" s="0" t="str">
        <f>"s1_node_"&amp;D334&amp;"_name"</f>
        <v>s1_node_economy_name</v>
      </c>
      <c r="F334" s="10" t="str">
        <f>"s1_node_"&amp;D334&amp;"_desc"</f>
        <v>s1_node_economy_desc</v>
      </c>
      <c r="G334" s="0" t="s">
        <v>421</v>
      </c>
      <c r="H334" s="0">
        <v>5</v>
      </c>
      <c r="I334" s="0" t="s">
        <v>27</v>
      </c>
      <c r="J334" s="0" t="s">
        <v>627</v>
      </c>
      <c r="K334" s="0">
        <v>3110</v>
      </c>
      <c r="L334" s="10">
        <v>3</v>
      </c>
      <c r="M334" s="0">
        <v>85</v>
      </c>
      <c r="N334" s="0">
        <v>2</v>
      </c>
      <c r="O334" s="0" t="s">
        <v>628</v>
      </c>
      <c r="T334" s="0" t="str">
        <f>_xlfn.TEXTJOIN("_",TRUE,C334,"node_eff",D334,M334,N334)</f>
        <v>s1_node_eff_economy_85_2</v>
      </c>
    </row>
    <row r="335" spans="1:20" x14ac:dyDescent="0.45">
      <c r="A335" s="0" t="str">
        <f>_xlfn.TEXTJOIN("_",TRUE,C335,"node",D335,M335,N335)</f>
        <v>s1_node_economy_85_6</v>
      </c>
      <c r="B335" s="0" t="s">
        <v>0</v>
      </c>
      <c r="C335" s="0" t="s">
        <v>26</v>
      </c>
      <c r="D335" s="0" t="s">
        <v>103</v>
      </c>
      <c r="E335" s="0" t="str">
        <f>"s1_node_"&amp;D335&amp;"_name"</f>
        <v>s1_node_economy_name</v>
      </c>
      <c r="F335" s="10" t="str">
        <f>"s1_node_"&amp;D335&amp;"_desc"</f>
        <v>s1_node_economy_desc</v>
      </c>
      <c r="G335" s="0" t="s">
        <v>417</v>
      </c>
      <c r="H335" s="0">
        <v>5</v>
      </c>
      <c r="I335" s="0" t="s">
        <v>27</v>
      </c>
      <c r="J335" s="0" t="s">
        <v>627</v>
      </c>
      <c r="K335" s="0">
        <v>3110</v>
      </c>
      <c r="L335" s="10">
        <v>3</v>
      </c>
      <c r="M335" s="0">
        <v>85</v>
      </c>
      <c r="N335" s="0">
        <v>6</v>
      </c>
      <c r="O335" s="0" t="s">
        <v>629</v>
      </c>
      <c r="T335" s="0" t="str">
        <f>_xlfn.TEXTJOIN("_",TRUE,C335,"node_eff",D335,M335,N335)</f>
        <v>s1_node_eff_economy_85_6</v>
      </c>
    </row>
    <row r="336" spans="1:20" x14ac:dyDescent="0.45">
      <c r="A336" s="0" t="str">
        <f>_xlfn.TEXTJOIN("_",TRUE,C336,"node",D336,M336,N336)</f>
        <v>s1_node_economy_86_4</v>
      </c>
      <c r="B336" s="0" t="s">
        <v>0</v>
      </c>
      <c r="C336" s="0" t="s">
        <v>26</v>
      </c>
      <c r="D336" s="0" t="s">
        <v>103</v>
      </c>
      <c r="E336" s="0" t="str">
        <f>"s1_node_"&amp;D336&amp;"_name"</f>
        <v>s1_node_economy_name</v>
      </c>
      <c r="F336" s="10" t="str">
        <f>"s1_node_"&amp;D336&amp;"_desc"</f>
        <v>s1_node_economy_desc</v>
      </c>
      <c r="G336" s="0" t="s">
        <v>417</v>
      </c>
      <c r="H336" s="0">
        <v>5</v>
      </c>
      <c r="I336" s="0" t="s">
        <v>27</v>
      </c>
      <c r="J336" s="0" t="s">
        <v>630</v>
      </c>
      <c r="K336" s="0">
        <v>3150</v>
      </c>
      <c r="L336" s="10">
        <v>3</v>
      </c>
      <c r="M336" s="0">
        <v>86</v>
      </c>
      <c r="N336" s="0">
        <v>4</v>
      </c>
      <c r="O336" s="0" t="s">
        <v>631</v>
      </c>
      <c r="P336" s="0" t="s">
        <v>632</v>
      </c>
      <c r="T336" s="0" t="str">
        <f>_xlfn.TEXTJOIN("_",TRUE,C336,"node_eff",D336,M336,N336)</f>
        <v>s1_node_eff_economy_86_4</v>
      </c>
    </row>
    <row r="337" spans="1:20" x14ac:dyDescent="0.45">
      <c r="A337" s="0" t="str">
        <f>_xlfn.TEXTJOIN("_",TRUE,C337,"node",D337,M337,N337)</f>
        <v>s1_node_economy_87_2</v>
      </c>
      <c r="B337" s="0" t="s">
        <v>0</v>
      </c>
      <c r="C337" s="0" t="s">
        <v>26</v>
      </c>
      <c r="D337" s="0" t="s">
        <v>103</v>
      </c>
      <c r="E337" s="0" t="str">
        <f>"s1_node_"&amp;D337&amp;"_name"</f>
        <v>s1_node_economy_name</v>
      </c>
      <c r="F337" s="10" t="str">
        <f>"s1_node_"&amp;D337&amp;"_desc"</f>
        <v>s1_node_economy_desc</v>
      </c>
      <c r="G337" s="0" t="s">
        <v>417</v>
      </c>
      <c r="H337" s="0">
        <v>5</v>
      </c>
      <c r="I337" s="0" t="s">
        <v>27</v>
      </c>
      <c r="J337" s="0" t="s">
        <v>633</v>
      </c>
      <c r="K337" s="0">
        <v>3190</v>
      </c>
      <c r="L337" s="10">
        <v>3</v>
      </c>
      <c r="M337" s="0">
        <v>87</v>
      </c>
      <c r="N337" s="0">
        <v>2</v>
      </c>
      <c r="O337" s="0" t="s">
        <v>634</v>
      </c>
      <c r="T337" s="0" t="str">
        <f>_xlfn.TEXTJOIN("_",TRUE,C337,"node_eff",D337,M337,N337)</f>
        <v>s1_node_eff_economy_87_2</v>
      </c>
    </row>
    <row r="338" spans="1:20" x14ac:dyDescent="0.45">
      <c r="A338" s="0" t="str">
        <f>_xlfn.TEXTJOIN("_",TRUE,C338,"node",D338,M338,N338)</f>
        <v>s1_node_economy_87_6</v>
      </c>
      <c r="B338" s="0" t="s">
        <v>0</v>
      </c>
      <c r="C338" s="0" t="s">
        <v>26</v>
      </c>
      <c r="D338" s="0" t="s">
        <v>103</v>
      </c>
      <c r="E338" s="0" t="str">
        <f>"s1_node_"&amp;D338&amp;"_name"</f>
        <v>s1_node_economy_name</v>
      </c>
      <c r="F338" s="10" t="str">
        <f>"s1_node_"&amp;D338&amp;"_desc"</f>
        <v>s1_node_economy_desc</v>
      </c>
      <c r="G338" s="0" t="s">
        <v>417</v>
      </c>
      <c r="H338" s="0">
        <v>5</v>
      </c>
      <c r="I338" s="0" t="s">
        <v>27</v>
      </c>
      <c r="J338" s="0" t="s">
        <v>633</v>
      </c>
      <c r="K338" s="0">
        <v>3190</v>
      </c>
      <c r="L338" s="10">
        <v>3</v>
      </c>
      <c r="M338" s="0">
        <v>87</v>
      </c>
      <c r="N338" s="0">
        <v>6</v>
      </c>
      <c r="O338" s="0" t="s">
        <v>634</v>
      </c>
      <c r="T338" s="0" t="str">
        <f>_xlfn.TEXTJOIN("_",TRUE,C338,"node_eff",D338,M338,N338)</f>
        <v>s1_node_eff_economy_87_6</v>
      </c>
    </row>
    <row r="339" spans="1:20" x14ac:dyDescent="0.45">
      <c r="A339" s="0" t="str">
        <f>_xlfn.TEXTJOIN("_",TRUE,C339,"node",D339,M339,N339)</f>
        <v>s1_node_economy_88_2</v>
      </c>
      <c r="B339" s="0" t="s">
        <v>0</v>
      </c>
      <c r="C339" s="0" t="s">
        <v>26</v>
      </c>
      <c r="D339" s="0" t="s">
        <v>103</v>
      </c>
      <c r="E339" s="0" t="str">
        <f>"s1_node_"&amp;D339&amp;"_name"</f>
        <v>s1_node_economy_name</v>
      </c>
      <c r="F339" s="10" t="str">
        <f>"s1_node_"&amp;D339&amp;"_desc"</f>
        <v>s1_node_economy_desc</v>
      </c>
      <c r="G339" s="0" t="s">
        <v>421</v>
      </c>
      <c r="H339" s="0">
        <v>5</v>
      </c>
      <c r="I339" s="0" t="s">
        <v>27</v>
      </c>
      <c r="J339" s="0" t="s">
        <v>635</v>
      </c>
      <c r="K339" s="0">
        <v>3220</v>
      </c>
      <c r="L339" s="10">
        <v>3</v>
      </c>
      <c r="M339" s="0">
        <v>88</v>
      </c>
      <c r="N339" s="0">
        <v>2</v>
      </c>
      <c r="O339" s="0" t="s">
        <v>636</v>
      </c>
      <c r="T339" s="0" t="str">
        <f>_xlfn.TEXTJOIN("_",TRUE,C339,"node_eff",D339,M339,N339)</f>
        <v>s1_node_eff_economy_88_2</v>
      </c>
    </row>
    <row r="340" spans="1:20" x14ac:dyDescent="0.45">
      <c r="A340" s="0" t="str">
        <f>_xlfn.TEXTJOIN("_",TRUE,C340,"node",D340,M340,N340)</f>
        <v>s1_node_economy_88_6</v>
      </c>
      <c r="B340" s="0" t="s">
        <v>0</v>
      </c>
      <c r="C340" s="0" t="s">
        <v>26</v>
      </c>
      <c r="D340" s="0" t="s">
        <v>103</v>
      </c>
      <c r="E340" s="0" t="str">
        <f>"s1_node_"&amp;D340&amp;"_name"</f>
        <v>s1_node_economy_name</v>
      </c>
      <c r="F340" s="10" t="str">
        <f>"s1_node_"&amp;D340&amp;"_desc"</f>
        <v>s1_node_economy_desc</v>
      </c>
      <c r="G340" s="0" t="s">
        <v>417</v>
      </c>
      <c r="H340" s="0">
        <v>5</v>
      </c>
      <c r="I340" s="0" t="s">
        <v>27</v>
      </c>
      <c r="J340" s="0" t="s">
        <v>635</v>
      </c>
      <c r="K340" s="0">
        <v>3220</v>
      </c>
      <c r="L340" s="10">
        <v>3</v>
      </c>
      <c r="M340" s="0">
        <v>88</v>
      </c>
      <c r="N340" s="0">
        <v>6</v>
      </c>
      <c r="O340" s="0" t="s">
        <v>637</v>
      </c>
      <c r="T340" s="0" t="str">
        <f>_xlfn.TEXTJOIN("_",TRUE,C340,"node_eff",D340,M340,N340)</f>
        <v>s1_node_eff_economy_88_6</v>
      </c>
    </row>
    <row r="341" spans="1:20" x14ac:dyDescent="0.45">
      <c r="A341" s="0" t="str">
        <f>_xlfn.TEXTJOIN("_",TRUE,C341,"node",D341,M341,N341)</f>
        <v>s1_node_economy_89_2</v>
      </c>
      <c r="B341" s="0" t="s">
        <v>0</v>
      </c>
      <c r="C341" s="0" t="s">
        <v>26</v>
      </c>
      <c r="D341" s="0" t="s">
        <v>103</v>
      </c>
      <c r="E341" s="0" t="str">
        <f>"s1_node_"&amp;D341&amp;"_name"</f>
        <v>s1_node_economy_name</v>
      </c>
      <c r="F341" s="10" t="str">
        <f>"s1_node_"&amp;D341&amp;"_desc"</f>
        <v>s1_node_economy_desc</v>
      </c>
      <c r="G341" s="0" t="s">
        <v>417</v>
      </c>
      <c r="H341" s="0">
        <v>5</v>
      </c>
      <c r="I341" s="0" t="s">
        <v>27</v>
      </c>
      <c r="J341" s="0" t="s">
        <v>638</v>
      </c>
      <c r="K341" s="0">
        <v>3260</v>
      </c>
      <c r="L341" s="10">
        <v>3</v>
      </c>
      <c r="M341" s="0">
        <v>89</v>
      </c>
      <c r="N341" s="0">
        <v>2</v>
      </c>
      <c r="O341" s="0" t="s">
        <v>639</v>
      </c>
      <c r="T341" s="0" t="str">
        <f>_xlfn.TEXTJOIN("_",TRUE,C341,"node_eff",D341,M341,N341)</f>
        <v>s1_node_eff_economy_89_2</v>
      </c>
    </row>
    <row r="342" spans="1:20" x14ac:dyDescent="0.45">
      <c r="A342" s="0" t="str">
        <f>_xlfn.TEXTJOIN("_",TRUE,C342,"node",D342,M342,N342)</f>
        <v>s1_node_economy_89_6</v>
      </c>
      <c r="B342" s="0" t="s">
        <v>0</v>
      </c>
      <c r="C342" s="0" t="s">
        <v>26</v>
      </c>
      <c r="D342" s="0" t="s">
        <v>103</v>
      </c>
      <c r="E342" s="0" t="str">
        <f>"s1_node_"&amp;D342&amp;"_name"</f>
        <v>s1_node_economy_name</v>
      </c>
      <c r="F342" s="10" t="str">
        <f>"s1_node_"&amp;D342&amp;"_desc"</f>
        <v>s1_node_economy_desc</v>
      </c>
      <c r="G342" s="0" t="s">
        <v>417</v>
      </c>
      <c r="H342" s="0">
        <v>5</v>
      </c>
      <c r="I342" s="0" t="s">
        <v>27</v>
      </c>
      <c r="J342" s="0" t="s">
        <v>638</v>
      </c>
      <c r="K342" s="0">
        <v>3260</v>
      </c>
      <c r="L342" s="10">
        <v>3</v>
      </c>
      <c r="M342" s="0">
        <v>89</v>
      </c>
      <c r="N342" s="0">
        <v>6</v>
      </c>
      <c r="O342" s="0" t="s">
        <v>640</v>
      </c>
      <c r="T342" s="0" t="str">
        <f>_xlfn.TEXTJOIN("_",TRUE,C342,"node_eff",D342,M342,N342)</f>
        <v>s1_node_eff_economy_89_6</v>
      </c>
    </row>
    <row r="343" spans="1:20" x14ac:dyDescent="0.45">
      <c r="A343" s="0" t="str">
        <f>_xlfn.TEXTJOIN("_",TRUE,C343,"node",D343,M343,N343)</f>
        <v>s1_node_economy_90_2</v>
      </c>
      <c r="B343" s="0" t="s">
        <v>0</v>
      </c>
      <c r="C343" s="0" t="s">
        <v>26</v>
      </c>
      <c r="D343" s="0" t="s">
        <v>103</v>
      </c>
      <c r="E343" s="0" t="str">
        <f>"s1_node_"&amp;D343&amp;"_name"</f>
        <v>s1_node_economy_name</v>
      </c>
      <c r="F343" s="10" t="str">
        <f>"s1_node_"&amp;D343&amp;"_desc"</f>
        <v>s1_node_economy_desc</v>
      </c>
      <c r="G343" s="0" t="s">
        <v>417</v>
      </c>
      <c r="H343" s="0">
        <v>5</v>
      </c>
      <c r="I343" s="0" t="s">
        <v>27</v>
      </c>
      <c r="J343" s="0" t="s">
        <v>641</v>
      </c>
      <c r="K343" s="0">
        <v>3290</v>
      </c>
      <c r="L343" s="10">
        <v>3</v>
      </c>
      <c r="M343" s="0">
        <v>90</v>
      </c>
      <c r="N343" s="0">
        <v>2</v>
      </c>
      <c r="O343" s="0" t="s">
        <v>642</v>
      </c>
      <c r="T343" s="0" t="str">
        <f>_xlfn.TEXTJOIN("_",TRUE,C343,"node_eff",D343,M343,N343)</f>
        <v>s1_node_eff_economy_90_2</v>
      </c>
    </row>
    <row r="344" spans="1:20" x14ac:dyDescent="0.45">
      <c r="A344" s="0" t="str">
        <f>_xlfn.TEXTJOIN("_",TRUE,C344,"node",D344,M344,N344)</f>
        <v>s1_node_economy_90_6</v>
      </c>
      <c r="B344" s="0" t="s">
        <v>0</v>
      </c>
      <c r="C344" s="0" t="s">
        <v>26</v>
      </c>
      <c r="D344" s="0" t="s">
        <v>103</v>
      </c>
      <c r="E344" s="0" t="str">
        <f>"s1_node_"&amp;D344&amp;"_name"</f>
        <v>s1_node_economy_name</v>
      </c>
      <c r="F344" s="10" t="str">
        <f>"s1_node_"&amp;D344&amp;"_desc"</f>
        <v>s1_node_economy_desc</v>
      </c>
      <c r="G344" s="0" t="s">
        <v>421</v>
      </c>
      <c r="H344" s="0">
        <v>5</v>
      </c>
      <c r="I344" s="0" t="s">
        <v>27</v>
      </c>
      <c r="J344" s="0" t="s">
        <v>641</v>
      </c>
      <c r="K344" s="0">
        <v>3290</v>
      </c>
      <c r="L344" s="10">
        <v>3</v>
      </c>
      <c r="M344" s="0">
        <v>90</v>
      </c>
      <c r="N344" s="0">
        <v>6</v>
      </c>
      <c r="O344" s="0" t="s">
        <v>643</v>
      </c>
      <c r="T344" s="0" t="str">
        <f>_xlfn.TEXTJOIN("_",TRUE,C344,"node_eff",D344,M344,N344)</f>
        <v>s1_node_eff_economy_90_6</v>
      </c>
    </row>
    <row r="345" spans="1:20" x14ac:dyDescent="0.45">
      <c r="A345" s="0" t="str">
        <f>_xlfn.TEXTJOIN("_",TRUE,C345,"node",D345,M345,N345)</f>
        <v>s1_node_economy_91_4</v>
      </c>
      <c r="B345" s="0" t="s">
        <v>0</v>
      </c>
      <c r="C345" s="0" t="s">
        <v>26</v>
      </c>
      <c r="D345" s="0" t="s">
        <v>103</v>
      </c>
      <c r="E345" s="0" t="str">
        <f>"s1_node_"&amp;D345&amp;"_name"</f>
        <v>s1_node_economy_name</v>
      </c>
      <c r="F345" s="10" t="str">
        <f>"s1_node_"&amp;D345&amp;"_desc"</f>
        <v>s1_node_economy_desc</v>
      </c>
      <c r="G345" s="0" t="s">
        <v>417</v>
      </c>
      <c r="H345" s="0">
        <v>5</v>
      </c>
      <c r="I345" s="0" t="s">
        <v>27</v>
      </c>
      <c r="J345" s="0" t="s">
        <v>644</v>
      </c>
      <c r="K345" s="0">
        <v>3330</v>
      </c>
      <c r="L345" s="10">
        <v>3</v>
      </c>
      <c r="M345" s="0">
        <v>91</v>
      </c>
      <c r="N345" s="0">
        <v>4</v>
      </c>
      <c r="O345" s="0" t="s">
        <v>645</v>
      </c>
      <c r="P345" s="0" t="s">
        <v>646</v>
      </c>
      <c r="T345" s="0" t="str">
        <f>_xlfn.TEXTJOIN("_",TRUE,C345,"node_eff",D345,M345,N345)</f>
        <v>s1_node_eff_economy_91_4</v>
      </c>
    </row>
    <row r="346" spans="1:20" x14ac:dyDescent="0.45">
      <c r="A346" s="0" t="str">
        <f>_xlfn.TEXTJOIN("_",TRUE,C346,"node",D346,M346,N346)</f>
        <v>s1_node_economy_92_2</v>
      </c>
      <c r="B346" s="0" t="s">
        <v>0</v>
      </c>
      <c r="C346" s="0" t="s">
        <v>26</v>
      </c>
      <c r="D346" s="0" t="s">
        <v>103</v>
      </c>
      <c r="E346" s="0" t="str">
        <f>"s1_node_"&amp;D346&amp;"_name"</f>
        <v>s1_node_economy_name</v>
      </c>
      <c r="F346" s="10" t="str">
        <f>"s1_node_"&amp;D346&amp;"_desc"</f>
        <v>s1_node_economy_desc</v>
      </c>
      <c r="G346" s="0" t="s">
        <v>417</v>
      </c>
      <c r="H346" s="0">
        <v>5</v>
      </c>
      <c r="I346" s="0" t="s">
        <v>27</v>
      </c>
      <c r="J346" s="0" t="s">
        <v>647</v>
      </c>
      <c r="K346" s="0">
        <v>3360</v>
      </c>
      <c r="L346" s="10">
        <v>3</v>
      </c>
      <c r="M346" s="0">
        <v>92</v>
      </c>
      <c r="N346" s="0">
        <v>2</v>
      </c>
      <c r="O346" s="0" t="s">
        <v>648</v>
      </c>
      <c r="T346" s="0" t="str">
        <f>_xlfn.TEXTJOIN("_",TRUE,C346,"node_eff",D346,M346,N346)</f>
        <v>s1_node_eff_economy_92_2</v>
      </c>
    </row>
    <row r="347" spans="1:20" x14ac:dyDescent="0.45">
      <c r="A347" s="0" t="str">
        <f>_xlfn.TEXTJOIN("_",TRUE,C347,"node",D347,M347,N347)</f>
        <v>s1_node_economy_92_6</v>
      </c>
      <c r="B347" s="0" t="s">
        <v>0</v>
      </c>
      <c r="C347" s="0" t="s">
        <v>26</v>
      </c>
      <c r="D347" s="0" t="s">
        <v>103</v>
      </c>
      <c r="E347" s="0" t="str">
        <f>"s1_node_"&amp;D347&amp;"_name"</f>
        <v>s1_node_economy_name</v>
      </c>
      <c r="F347" s="10" t="str">
        <f>"s1_node_"&amp;D347&amp;"_desc"</f>
        <v>s1_node_economy_desc</v>
      </c>
      <c r="G347" s="0" t="s">
        <v>417</v>
      </c>
      <c r="H347" s="0">
        <v>5</v>
      </c>
      <c r="I347" s="0" t="s">
        <v>27</v>
      </c>
      <c r="J347" s="0" t="s">
        <v>647</v>
      </c>
      <c r="K347" s="0">
        <v>3360</v>
      </c>
      <c r="L347" s="10">
        <v>3</v>
      </c>
      <c r="M347" s="0">
        <v>92</v>
      </c>
      <c r="N347" s="0">
        <v>6</v>
      </c>
      <c r="O347" s="0" t="s">
        <v>648</v>
      </c>
      <c r="T347" s="0" t="str">
        <f>_xlfn.TEXTJOIN("_",TRUE,C347,"node_eff",D347,M347,N347)</f>
        <v>s1_node_eff_economy_92_6</v>
      </c>
    </row>
    <row r="348" spans="1:20" x14ac:dyDescent="0.45">
      <c r="A348" s="0" t="str">
        <f>_xlfn.TEXTJOIN("_",TRUE,C348,"node",D348,M348,N348)</f>
        <v>s1_node_economy_93_2</v>
      </c>
      <c r="B348" s="0" t="s">
        <v>0</v>
      </c>
      <c r="C348" s="0" t="s">
        <v>26</v>
      </c>
      <c r="D348" s="0" t="s">
        <v>103</v>
      </c>
      <c r="E348" s="0" t="str">
        <f>"s1_node_"&amp;D348&amp;"_name"</f>
        <v>s1_node_economy_name</v>
      </c>
      <c r="F348" s="10" t="str">
        <f>"s1_node_"&amp;D348&amp;"_desc"</f>
        <v>s1_node_economy_desc</v>
      </c>
      <c r="G348" s="0" t="s">
        <v>417</v>
      </c>
      <c r="H348" s="0">
        <v>5</v>
      </c>
      <c r="I348" s="0" t="s">
        <v>27</v>
      </c>
      <c r="J348" s="0" t="s">
        <v>649</v>
      </c>
      <c r="K348" s="0">
        <v>3400</v>
      </c>
      <c r="L348" s="10">
        <v>3</v>
      </c>
      <c r="M348" s="0">
        <v>93</v>
      </c>
      <c r="N348" s="0">
        <v>2</v>
      </c>
      <c r="O348" s="0" t="s">
        <v>650</v>
      </c>
      <c r="T348" s="0" t="str">
        <f>_xlfn.TEXTJOIN("_",TRUE,C348,"node_eff",D348,M348,N348)</f>
        <v>s1_node_eff_economy_93_2</v>
      </c>
    </row>
    <row r="349" spans="1:20" x14ac:dyDescent="0.45">
      <c r="A349" s="0" t="str">
        <f>_xlfn.TEXTJOIN("_",TRUE,C349,"node",D349,M349,N349)</f>
        <v>s1_node_economy_93_6</v>
      </c>
      <c r="B349" s="0" t="s">
        <v>0</v>
      </c>
      <c r="C349" s="0" t="s">
        <v>26</v>
      </c>
      <c r="D349" s="0" t="s">
        <v>103</v>
      </c>
      <c r="E349" s="0" t="str">
        <f>"s1_node_"&amp;D349&amp;"_name"</f>
        <v>s1_node_economy_name</v>
      </c>
      <c r="F349" s="10" t="str">
        <f>"s1_node_"&amp;D349&amp;"_desc"</f>
        <v>s1_node_economy_desc</v>
      </c>
      <c r="G349" s="0" t="s">
        <v>421</v>
      </c>
      <c r="H349" s="0">
        <v>5</v>
      </c>
      <c r="I349" s="0" t="s">
        <v>27</v>
      </c>
      <c r="J349" s="0" t="s">
        <v>649</v>
      </c>
      <c r="K349" s="0">
        <v>3400</v>
      </c>
      <c r="L349" s="10">
        <v>3</v>
      </c>
      <c r="M349" s="0">
        <v>93</v>
      </c>
      <c r="N349" s="0">
        <v>6</v>
      </c>
      <c r="O349" s="0" t="s">
        <v>651</v>
      </c>
      <c r="T349" s="0" t="str">
        <f>_xlfn.TEXTJOIN("_",TRUE,C349,"node_eff",D349,M349,N349)</f>
        <v>s1_node_eff_economy_93_6</v>
      </c>
    </row>
    <row r="350" spans="1:20" x14ac:dyDescent="0.45">
      <c r="A350" s="0" t="str">
        <f>_xlfn.TEXTJOIN("_",TRUE,C350,"node",D350,M350,N350)</f>
        <v>s1_node_economy_94_2</v>
      </c>
      <c r="B350" s="0" t="s">
        <v>0</v>
      </c>
      <c r="C350" s="0" t="s">
        <v>26</v>
      </c>
      <c r="D350" s="0" t="s">
        <v>103</v>
      </c>
      <c r="E350" s="0" t="str">
        <f>"s1_node_"&amp;D350&amp;"_name"</f>
        <v>s1_node_economy_name</v>
      </c>
      <c r="F350" s="10" t="str">
        <f>"s1_node_"&amp;D350&amp;"_desc"</f>
        <v>s1_node_economy_desc</v>
      </c>
      <c r="G350" s="0" t="s">
        <v>417</v>
      </c>
      <c r="H350" s="0">
        <v>5</v>
      </c>
      <c r="I350" s="0" t="s">
        <v>27</v>
      </c>
      <c r="J350" s="0" t="s">
        <v>652</v>
      </c>
      <c r="K350" s="0">
        <v>3440</v>
      </c>
      <c r="L350" s="10">
        <v>3</v>
      </c>
      <c r="M350" s="0">
        <v>94</v>
      </c>
      <c r="N350" s="0">
        <v>2</v>
      </c>
      <c r="O350" s="0" t="s">
        <v>653</v>
      </c>
      <c r="T350" s="0" t="str">
        <f>_xlfn.TEXTJOIN("_",TRUE,C350,"node_eff",D350,M350,N350)</f>
        <v>s1_node_eff_economy_94_2</v>
      </c>
    </row>
    <row r="351" spans="1:20" x14ac:dyDescent="0.45">
      <c r="A351" s="0" t="str">
        <f>_xlfn.TEXTJOIN("_",TRUE,C351,"node",D351,M351,N351)</f>
        <v>s1_node_economy_94_6</v>
      </c>
      <c r="B351" s="0" t="s">
        <v>0</v>
      </c>
      <c r="C351" s="0" t="s">
        <v>26</v>
      </c>
      <c r="D351" s="0" t="s">
        <v>103</v>
      </c>
      <c r="E351" s="0" t="str">
        <f>"s1_node_"&amp;D351&amp;"_name"</f>
        <v>s1_node_economy_name</v>
      </c>
      <c r="F351" s="10" t="str">
        <f>"s1_node_"&amp;D351&amp;"_desc"</f>
        <v>s1_node_economy_desc</v>
      </c>
      <c r="G351" s="0" t="s">
        <v>417</v>
      </c>
      <c r="H351" s="0">
        <v>5</v>
      </c>
      <c r="I351" s="0" t="s">
        <v>27</v>
      </c>
      <c r="J351" s="0" t="s">
        <v>652</v>
      </c>
      <c r="K351" s="0">
        <v>3440</v>
      </c>
      <c r="L351" s="10">
        <v>3</v>
      </c>
      <c r="M351" s="0">
        <v>94</v>
      </c>
      <c r="N351" s="0">
        <v>6</v>
      </c>
      <c r="O351" s="0" t="s">
        <v>654</v>
      </c>
      <c r="T351" s="0" t="str">
        <f>_xlfn.TEXTJOIN("_",TRUE,C351,"node_eff",D351,M351,N351)</f>
        <v>s1_node_eff_economy_94_6</v>
      </c>
    </row>
    <row r="352" spans="1:20" x14ac:dyDescent="0.45">
      <c r="A352" s="0" t="str">
        <f>_xlfn.TEXTJOIN("_",TRUE,C352,"node",D352,M352,N352)</f>
        <v>s1_node_economy_95_2</v>
      </c>
      <c r="B352" s="0" t="s">
        <v>0</v>
      </c>
      <c r="C352" s="0" t="s">
        <v>26</v>
      </c>
      <c r="D352" s="0" t="s">
        <v>103</v>
      </c>
      <c r="E352" s="0" t="str">
        <f>"s1_node_"&amp;D352&amp;"_name"</f>
        <v>s1_node_economy_name</v>
      </c>
      <c r="F352" s="10" t="str">
        <f>"s1_node_"&amp;D352&amp;"_desc"</f>
        <v>s1_node_economy_desc</v>
      </c>
      <c r="G352" s="0" t="s">
        <v>417</v>
      </c>
      <c r="H352" s="0">
        <v>5</v>
      </c>
      <c r="I352" s="0" t="s">
        <v>27</v>
      </c>
      <c r="J352" s="0" t="s">
        <v>655</v>
      </c>
      <c r="K352" s="0">
        <v>3470</v>
      </c>
      <c r="L352" s="10">
        <v>3</v>
      </c>
      <c r="M352" s="0">
        <v>95</v>
      </c>
      <c r="N352" s="0">
        <v>2</v>
      </c>
      <c r="O352" s="0" t="s">
        <v>656</v>
      </c>
      <c r="T352" s="0" t="str">
        <f>_xlfn.TEXTJOIN("_",TRUE,C352,"node_eff",D352,M352,N352)</f>
        <v>s1_node_eff_economy_95_2</v>
      </c>
    </row>
    <row r="353" spans="1:20" x14ac:dyDescent="0.45">
      <c r="A353" s="0" t="str">
        <f>_xlfn.TEXTJOIN("_",TRUE,C353,"node",D353,M353,N353)</f>
        <v>s1_node_economy_95_6</v>
      </c>
      <c r="B353" s="0" t="s">
        <v>0</v>
      </c>
      <c r="C353" s="0" t="s">
        <v>26</v>
      </c>
      <c r="D353" s="0" t="s">
        <v>103</v>
      </c>
      <c r="E353" s="0" t="str">
        <f>"s1_node_"&amp;D353&amp;"_name"</f>
        <v>s1_node_economy_name</v>
      </c>
      <c r="F353" s="10" t="str">
        <f>"s1_node_"&amp;D353&amp;"_desc"</f>
        <v>s1_node_economy_desc</v>
      </c>
      <c r="G353" s="0" t="s">
        <v>417</v>
      </c>
      <c r="H353" s="0">
        <v>5</v>
      </c>
      <c r="I353" s="0" t="s">
        <v>27</v>
      </c>
      <c r="J353" s="0" t="s">
        <v>655</v>
      </c>
      <c r="K353" s="0">
        <v>3470</v>
      </c>
      <c r="L353" s="10">
        <v>3</v>
      </c>
      <c r="M353" s="0">
        <v>95</v>
      </c>
      <c r="N353" s="0">
        <v>6</v>
      </c>
      <c r="O353" s="0" t="s">
        <v>657</v>
      </c>
      <c r="T353" s="0" t="str">
        <f>_xlfn.TEXTJOIN("_",TRUE,C353,"node_eff",D353,M353,N353)</f>
        <v>s1_node_eff_economy_95_6</v>
      </c>
    </row>
    <row r="354" spans="1:20" x14ac:dyDescent="0.45">
      <c r="A354" s="0" t="str">
        <f>_xlfn.TEXTJOIN("_",TRUE,C354,"node",D354,M354,N354)</f>
        <v>s1_node_economy_96_4</v>
      </c>
      <c r="B354" s="0" t="s">
        <v>0</v>
      </c>
      <c r="C354" s="0" t="s">
        <v>26</v>
      </c>
      <c r="D354" s="0" t="s">
        <v>103</v>
      </c>
      <c r="E354" s="0" t="str">
        <f>"s1_node_"&amp;D354&amp;"_name"</f>
        <v>s1_node_economy_name</v>
      </c>
      <c r="F354" s="10" t="str">
        <f>"s1_node_"&amp;D354&amp;"_desc"</f>
        <v>s1_node_economy_desc</v>
      </c>
      <c r="G354" s="0" t="s">
        <v>421</v>
      </c>
      <c r="H354" s="0">
        <v>5</v>
      </c>
      <c r="I354" s="0" t="s">
        <v>27</v>
      </c>
      <c r="J354" s="0" t="s">
        <v>658</v>
      </c>
      <c r="K354" s="0">
        <v>3510</v>
      </c>
      <c r="L354" s="10">
        <v>3</v>
      </c>
      <c r="M354" s="0">
        <v>96</v>
      </c>
      <c r="N354" s="0">
        <v>4</v>
      </c>
      <c r="O354" s="0" t="s">
        <v>659</v>
      </c>
      <c r="P354" s="0" t="s">
        <v>660</v>
      </c>
      <c r="T354" s="0" t="str">
        <f>_xlfn.TEXTJOIN("_",TRUE,C354,"node_eff",D354,M354,N354)</f>
        <v>s1_node_eff_economy_96_4</v>
      </c>
    </row>
    <row r="355" spans="1:20" x14ac:dyDescent="0.45">
      <c r="A355" s="0" t="str">
        <f>_xlfn.TEXTJOIN("_",TRUE,C355,"node",D355,M355,N355)</f>
        <v>s1_node_economy_97_2</v>
      </c>
      <c r="B355" s="0" t="s">
        <v>0</v>
      </c>
      <c r="C355" s="0" t="s">
        <v>26</v>
      </c>
      <c r="D355" s="0" t="s">
        <v>103</v>
      </c>
      <c r="E355" s="0" t="str">
        <f>"s1_node_"&amp;D355&amp;"_name"</f>
        <v>s1_node_economy_name</v>
      </c>
      <c r="F355" s="10" t="str">
        <f>"s1_node_"&amp;D355&amp;"_desc"</f>
        <v>s1_node_economy_desc</v>
      </c>
      <c r="G355" s="0" t="s">
        <v>417</v>
      </c>
      <c r="H355" s="0">
        <v>5</v>
      </c>
      <c r="I355" s="0" t="s">
        <v>27</v>
      </c>
      <c r="J355" s="0" t="s">
        <v>661</v>
      </c>
      <c r="K355" s="0">
        <v>3540</v>
      </c>
      <c r="L355" s="10">
        <v>3</v>
      </c>
      <c r="M355" s="0">
        <v>97</v>
      </c>
      <c r="N355" s="0">
        <v>2</v>
      </c>
      <c r="O355" s="0" t="s">
        <v>662</v>
      </c>
      <c r="T355" s="0" t="str">
        <f>_xlfn.TEXTJOIN("_",TRUE,C355,"node_eff",D355,M355,N355)</f>
        <v>s1_node_eff_economy_97_2</v>
      </c>
    </row>
    <row r="356" spans="1:20" x14ac:dyDescent="0.45">
      <c r="A356" s="0" t="str">
        <f>_xlfn.TEXTJOIN("_",TRUE,C356,"node",D356,M356,N356)</f>
        <v>s1_node_economy_97_6</v>
      </c>
      <c r="B356" s="0" t="s">
        <v>0</v>
      </c>
      <c r="C356" s="0" t="s">
        <v>26</v>
      </c>
      <c r="D356" s="0" t="s">
        <v>103</v>
      </c>
      <c r="E356" s="0" t="str">
        <f>"s1_node_"&amp;D356&amp;"_name"</f>
        <v>s1_node_economy_name</v>
      </c>
      <c r="F356" s="10" t="str">
        <f>"s1_node_"&amp;D356&amp;"_desc"</f>
        <v>s1_node_economy_desc</v>
      </c>
      <c r="G356" s="0" t="s">
        <v>417</v>
      </c>
      <c r="H356" s="0">
        <v>5</v>
      </c>
      <c r="I356" s="0" t="s">
        <v>27</v>
      </c>
      <c r="J356" s="0" t="s">
        <v>661</v>
      </c>
      <c r="K356" s="0">
        <v>3540</v>
      </c>
      <c r="L356" s="10">
        <v>3</v>
      </c>
      <c r="M356" s="0">
        <v>97</v>
      </c>
      <c r="N356" s="0">
        <v>6</v>
      </c>
      <c r="O356" s="0" t="s">
        <v>662</v>
      </c>
      <c r="T356" s="0" t="str">
        <f>_xlfn.TEXTJOIN("_",TRUE,C356,"node_eff",D356,M356,N356)</f>
        <v>s1_node_eff_economy_97_6</v>
      </c>
    </row>
    <row r="357" spans="1:20" x14ac:dyDescent="0.45">
      <c r="A357" s="0" t="str">
        <f>_xlfn.TEXTJOIN("_",TRUE,C357,"node",D357,M357,N357)</f>
        <v>s1_node_economy_98_2</v>
      </c>
      <c r="B357" s="0" t="s">
        <v>0</v>
      </c>
      <c r="C357" s="0" t="s">
        <v>26</v>
      </c>
      <c r="D357" s="0" t="s">
        <v>103</v>
      </c>
      <c r="E357" s="0" t="str">
        <f>"s1_node_"&amp;D357&amp;"_name"</f>
        <v>s1_node_economy_name</v>
      </c>
      <c r="F357" s="10" t="str">
        <f>"s1_node_"&amp;D357&amp;"_desc"</f>
        <v>s1_node_economy_desc</v>
      </c>
      <c r="G357" s="0" t="s">
        <v>417</v>
      </c>
      <c r="H357" s="0">
        <v>5</v>
      </c>
      <c r="I357" s="0" t="s">
        <v>27</v>
      </c>
      <c r="J357" s="0" t="s">
        <v>663</v>
      </c>
      <c r="K357" s="0">
        <v>3580</v>
      </c>
      <c r="L357" s="10">
        <v>3</v>
      </c>
      <c r="M357" s="0">
        <v>98</v>
      </c>
      <c r="N357" s="0">
        <v>2</v>
      </c>
      <c r="O357" s="0" t="s">
        <v>664</v>
      </c>
      <c r="T357" s="0" t="str">
        <f>_xlfn.TEXTJOIN("_",TRUE,C357,"node_eff",D357,M357,N357)</f>
        <v>s1_node_eff_economy_98_2</v>
      </c>
    </row>
    <row r="358" spans="1:20" x14ac:dyDescent="0.45">
      <c r="A358" s="0" t="str">
        <f>_xlfn.TEXTJOIN("_",TRUE,C358,"node",D358,M358,N358)</f>
        <v>s1_node_economy_98_6</v>
      </c>
      <c r="B358" s="0" t="s">
        <v>0</v>
      </c>
      <c r="C358" s="0" t="s">
        <v>26</v>
      </c>
      <c r="D358" s="0" t="s">
        <v>103</v>
      </c>
      <c r="E358" s="0" t="str">
        <f>"s1_node_"&amp;D358&amp;"_name"</f>
        <v>s1_node_economy_name</v>
      </c>
      <c r="F358" s="10" t="str">
        <f>"s1_node_"&amp;D358&amp;"_desc"</f>
        <v>s1_node_economy_desc</v>
      </c>
      <c r="G358" s="0" t="s">
        <v>417</v>
      </c>
      <c r="H358" s="0">
        <v>5</v>
      </c>
      <c r="I358" s="0" t="s">
        <v>27</v>
      </c>
      <c r="J358" s="0" t="s">
        <v>663</v>
      </c>
      <c r="K358" s="0">
        <v>3580</v>
      </c>
      <c r="L358" s="10">
        <v>3</v>
      </c>
      <c r="M358" s="0">
        <v>98</v>
      </c>
      <c r="N358" s="0">
        <v>6</v>
      </c>
      <c r="O358" s="0" t="s">
        <v>665</v>
      </c>
      <c r="T358" s="0" t="str">
        <f>_xlfn.TEXTJOIN("_",TRUE,C358,"node_eff",D358,M358,N358)</f>
        <v>s1_node_eff_economy_98_6</v>
      </c>
    </row>
    <row r="359" spans="1:20" x14ac:dyDescent="0.45">
      <c r="A359" s="0" t="str">
        <f>_xlfn.TEXTJOIN("_",TRUE,C359,"node",D359,M359,N359)</f>
        <v>s1_node_economy_99_2</v>
      </c>
      <c r="B359" s="0" t="s">
        <v>0</v>
      </c>
      <c r="C359" s="0" t="s">
        <v>26</v>
      </c>
      <c r="D359" s="0" t="s">
        <v>103</v>
      </c>
      <c r="E359" s="0" t="str">
        <f>"s1_node_"&amp;D359&amp;"_name"</f>
        <v>s1_node_economy_name</v>
      </c>
      <c r="F359" s="10" t="str">
        <f>"s1_node_"&amp;D359&amp;"_desc"</f>
        <v>s1_node_economy_desc</v>
      </c>
      <c r="G359" s="0" t="s">
        <v>421</v>
      </c>
      <c r="H359" s="0">
        <v>5</v>
      </c>
      <c r="I359" s="0" t="s">
        <v>27</v>
      </c>
      <c r="J359" s="0" t="s">
        <v>666</v>
      </c>
      <c r="K359" s="0">
        <v>3610</v>
      </c>
      <c r="L359" s="10">
        <v>3</v>
      </c>
      <c r="M359" s="0">
        <v>99</v>
      </c>
      <c r="N359" s="0">
        <v>2</v>
      </c>
      <c r="O359" s="0" t="s">
        <v>667</v>
      </c>
      <c r="T359" s="0" t="str">
        <f>_xlfn.TEXTJOIN("_",TRUE,C359,"node_eff",D359,M359,N359)</f>
        <v>s1_node_eff_economy_99_2</v>
      </c>
    </row>
    <row r="360" spans="1:20" x14ac:dyDescent="0.45">
      <c r="A360" s="0" t="str">
        <f>_xlfn.TEXTJOIN("_",TRUE,C360,"node",D360,M360,N360)</f>
        <v>s1_node_economy_99_6</v>
      </c>
      <c r="B360" s="0" t="s">
        <v>0</v>
      </c>
      <c r="C360" s="0" t="s">
        <v>26</v>
      </c>
      <c r="D360" s="0" t="s">
        <v>103</v>
      </c>
      <c r="E360" s="0" t="str">
        <f>"s1_node_"&amp;D360&amp;"_name"</f>
        <v>s1_node_economy_name</v>
      </c>
      <c r="F360" s="10" t="str">
        <f>"s1_node_"&amp;D360&amp;"_desc"</f>
        <v>s1_node_economy_desc</v>
      </c>
      <c r="G360" s="0" t="s">
        <v>417</v>
      </c>
      <c r="H360" s="0">
        <v>5</v>
      </c>
      <c r="I360" s="0" t="s">
        <v>27</v>
      </c>
      <c r="J360" s="0" t="s">
        <v>666</v>
      </c>
      <c r="K360" s="0">
        <v>3610</v>
      </c>
      <c r="L360" s="10">
        <v>3</v>
      </c>
      <c r="M360" s="0">
        <v>99</v>
      </c>
      <c r="N360" s="0">
        <v>6</v>
      </c>
      <c r="O360" s="0" t="s">
        <v>668</v>
      </c>
      <c r="T360" s="0" t="str">
        <f>_xlfn.TEXTJOIN("_",TRUE,C360,"node_eff",D360,M360,N360)</f>
        <v>s1_node_eff_economy_99_6</v>
      </c>
    </row>
    <row r="361" spans="1:20" x14ac:dyDescent="0.45">
      <c r="A361" s="0" t="str">
        <f>_xlfn.TEXTJOIN("_",TRUE,C361,"node",D361,M361,N361)</f>
        <v>s1_node_economy_100_4</v>
      </c>
      <c r="B361" s="0" t="s">
        <v>0</v>
      </c>
      <c r="C361" s="0" t="s">
        <v>26</v>
      </c>
      <c r="D361" s="0" t="s">
        <v>103</v>
      </c>
      <c r="E361" s="0" t="str">
        <f>"s1_node_"&amp;D361&amp;"_name"</f>
        <v>s1_node_economy_name</v>
      </c>
      <c r="F361" s="10" t="str">
        <f>"s1_node_"&amp;D361&amp;"_desc"</f>
        <v>s1_node_economy_desc</v>
      </c>
      <c r="G361" s="0" t="s">
        <v>417</v>
      </c>
      <c r="H361" s="0">
        <v>5</v>
      </c>
      <c r="I361" s="0" t="s">
        <v>27</v>
      </c>
      <c r="J361" s="0" t="s">
        <v>669</v>
      </c>
      <c r="K361" s="0">
        <v>3650</v>
      </c>
      <c r="L361" s="10">
        <v>3</v>
      </c>
      <c r="M361" s="0">
        <v>100</v>
      </c>
      <c r="N361" s="0">
        <v>4</v>
      </c>
      <c r="O361" s="0" t="s">
        <v>670</v>
      </c>
      <c r="P361" s="0" t="s">
        <v>671</v>
      </c>
      <c r="T361" s="0" t="str">
        <f>_xlfn.TEXTJOIN("_",TRUE,C361,"node_eff",D361,M361,N361)</f>
        <v>s1_node_eff_economy_100_4</v>
      </c>
    </row>
    <row r="362" spans="1:20" x14ac:dyDescent="0.45">
      <c r="A362" s="0" t="str">
        <f>_xlfn.TEXTJOIN("_",TRUE,C362,"node",D362,M362,N362)</f>
        <v>s1_node_relic_1_4</v>
      </c>
      <c r="B362" s="0" t="s">
        <v>0</v>
      </c>
      <c r="C362" s="0" t="s">
        <v>26</v>
      </c>
      <c r="D362" s="0" t="s">
        <v>104</v>
      </c>
      <c r="E362" s="0" t="str">
        <f>"s1_node_"&amp;D362&amp;"_name"</f>
        <v>s1_node_relic_name</v>
      </c>
      <c r="F362" s="10" t="str">
        <f>"s1_node_"&amp;D362&amp;"_desc"</f>
        <v>s1_node_relic_desc</v>
      </c>
      <c r="G362" s="0" t="s">
        <v>672</v>
      </c>
      <c r="H362" s="0">
        <v>1</v>
      </c>
      <c r="I362" s="0" t="s">
        <v>27</v>
      </c>
      <c r="J362" s="0" t="s">
        <v>673</v>
      </c>
      <c r="K362" s="0">
        <v>160</v>
      </c>
      <c r="L362" s="10">
        <v>3</v>
      </c>
      <c r="M362" s="0">
        <v>1</v>
      </c>
      <c r="N362" s="0">
        <v>4</v>
      </c>
      <c r="O362" s="10"/>
      <c r="P362" s="10"/>
      <c r="T362" s="0" t="str">
        <f>_xlfn.TEXTJOIN("_",TRUE,C362,"node_eff",D362,M362,N362)</f>
        <v>s1_node_eff_relic_1_4</v>
      </c>
    </row>
    <row r="363" spans="1:20" x14ac:dyDescent="0.45">
      <c r="A363" s="0" t="str">
        <f>_xlfn.TEXTJOIN("_",TRUE,C363,"node",D363,M363,N363)</f>
        <v>s1_node_relic_2_2</v>
      </c>
      <c r="B363" s="0" t="s">
        <v>0</v>
      </c>
      <c r="C363" s="0" t="s">
        <v>26</v>
      </c>
      <c r="D363" s="0" t="s">
        <v>104</v>
      </c>
      <c r="E363" s="0" t="str">
        <f>"s1_node_"&amp;D363&amp;"_name"</f>
        <v>s1_node_relic_name</v>
      </c>
      <c r="F363" s="10" t="str">
        <f>"s1_node_"&amp;D363&amp;"_desc"</f>
        <v>s1_node_relic_desc</v>
      </c>
      <c r="G363" s="0" t="s">
        <v>147</v>
      </c>
      <c r="H363" s="0">
        <v>1</v>
      </c>
      <c r="I363" s="0" t="s">
        <v>27</v>
      </c>
      <c r="J363" s="0" t="s">
        <v>674</v>
      </c>
      <c r="K363" s="0">
        <v>200</v>
      </c>
      <c r="L363" s="10">
        <v>3</v>
      </c>
      <c r="M363" s="0">
        <v>2</v>
      </c>
      <c r="N363" s="0">
        <v>2</v>
      </c>
      <c r="O363" s="10" t="s">
        <v>675</v>
      </c>
      <c r="P363" s="10"/>
      <c r="T363" s="0" t="str">
        <f>_xlfn.TEXTJOIN("_",TRUE,C363,"node_eff",D363,M363,N363)</f>
        <v>s1_node_eff_relic_2_2</v>
      </c>
    </row>
    <row r="364" spans="1:20" x14ac:dyDescent="0.45">
      <c r="A364" s="0" t="str">
        <f>_xlfn.TEXTJOIN("_",TRUE,C364,"node",D364,M364,N364)</f>
        <v>s1_node_relic_2_6</v>
      </c>
      <c r="B364" s="0" t="s">
        <v>0</v>
      </c>
      <c r="C364" s="0" t="s">
        <v>26</v>
      </c>
      <c r="D364" s="0" t="s">
        <v>104</v>
      </c>
      <c r="E364" s="0" t="str">
        <f>"s1_node_"&amp;D364&amp;"_name"</f>
        <v>s1_node_relic_name</v>
      </c>
      <c r="F364" s="10" t="str">
        <f>"s1_node_"&amp;D364&amp;"_desc"</f>
        <v>s1_node_relic_desc</v>
      </c>
      <c r="G364" s="0" t="s">
        <v>417</v>
      </c>
      <c r="H364" s="0">
        <v>1</v>
      </c>
      <c r="I364" s="0" t="s">
        <v>27</v>
      </c>
      <c r="J364" s="0" t="s">
        <v>674</v>
      </c>
      <c r="K364" s="0">
        <v>200</v>
      </c>
      <c r="L364" s="10">
        <v>3</v>
      </c>
      <c r="M364" s="0">
        <v>2</v>
      </c>
      <c r="N364" s="0">
        <v>6</v>
      </c>
      <c r="O364" s="10" t="s">
        <v>675</v>
      </c>
      <c r="P364" s="10"/>
      <c r="T364" s="0" t="str">
        <f>_xlfn.TEXTJOIN("_",TRUE,C364,"node_eff",D364,M364,N364)</f>
        <v>s1_node_eff_relic_2_6</v>
      </c>
    </row>
    <row r="365" spans="1:20" x14ac:dyDescent="0.45">
      <c r="A365" s="0" t="str">
        <f>_xlfn.TEXTJOIN("_",TRUE,C365,"node",D365,M365,N365)</f>
        <v>s1_node_relic_3_2</v>
      </c>
      <c r="B365" s="0" t="s">
        <v>0</v>
      </c>
      <c r="C365" s="0" t="s">
        <v>26</v>
      </c>
      <c r="D365" s="0" t="s">
        <v>104</v>
      </c>
      <c r="E365" s="0" t="str">
        <f>"s1_node_"&amp;D365&amp;"_name"</f>
        <v>s1_node_relic_name</v>
      </c>
      <c r="F365" s="10" t="str">
        <f>"s1_node_"&amp;D365&amp;"_desc"</f>
        <v>s1_node_relic_desc</v>
      </c>
      <c r="G365" s="0" t="s">
        <v>136</v>
      </c>
      <c r="H365" s="0">
        <v>1</v>
      </c>
      <c r="I365" s="0" t="s">
        <v>27</v>
      </c>
      <c r="J365" s="0" t="s">
        <v>676</v>
      </c>
      <c r="K365" s="0">
        <v>240</v>
      </c>
      <c r="L365" s="10">
        <v>3</v>
      </c>
      <c r="M365" s="0">
        <v>3</v>
      </c>
      <c r="N365" s="0">
        <v>2</v>
      </c>
      <c r="O365" s="10" t="s">
        <v>677</v>
      </c>
      <c r="P365" s="10"/>
      <c r="T365" s="0" t="str">
        <f>_xlfn.TEXTJOIN("_",TRUE,C365,"node_eff",D365,M365,N365)</f>
        <v>s1_node_eff_relic_3_2</v>
      </c>
    </row>
    <row r="366" spans="1:20" x14ac:dyDescent="0.45">
      <c r="A366" s="0" t="str">
        <f>_xlfn.TEXTJOIN("_",TRUE,C366,"node",D366,M366,N366)</f>
        <v>s1_node_relic_3_6</v>
      </c>
      <c r="B366" s="0" t="s">
        <v>0</v>
      </c>
      <c r="C366" s="0" t="s">
        <v>26</v>
      </c>
      <c r="D366" s="0" t="s">
        <v>104</v>
      </c>
      <c r="E366" s="0" t="str">
        <f>"s1_node_"&amp;D366&amp;"_name"</f>
        <v>s1_node_relic_name</v>
      </c>
      <c r="F366" s="10" t="str">
        <f>"s1_node_"&amp;D366&amp;"_desc"</f>
        <v>s1_node_relic_desc</v>
      </c>
      <c r="G366" s="0" t="s">
        <v>147</v>
      </c>
      <c r="H366" s="0">
        <v>1</v>
      </c>
      <c r="I366" s="0" t="s">
        <v>27</v>
      </c>
      <c r="J366" s="0" t="s">
        <v>676</v>
      </c>
      <c r="K366" s="0">
        <v>240</v>
      </c>
      <c r="L366" s="10">
        <v>3</v>
      </c>
      <c r="M366" s="0">
        <v>3</v>
      </c>
      <c r="N366" s="0">
        <v>6</v>
      </c>
      <c r="O366" s="10" t="s">
        <v>678</v>
      </c>
      <c r="P366" s="10"/>
      <c r="T366" s="0" t="str">
        <f>_xlfn.TEXTJOIN("_",TRUE,C366,"node_eff",D366,M366,N366)</f>
        <v>s1_node_eff_relic_3_6</v>
      </c>
    </row>
    <row r="367" spans="1:20" x14ac:dyDescent="0.45">
      <c r="A367" s="0" t="str">
        <f>_xlfn.TEXTJOIN("_",TRUE,C367,"node",D367,M367,N367)</f>
        <v>s1_node_relic_4_2</v>
      </c>
      <c r="B367" s="0" t="s">
        <v>0</v>
      </c>
      <c r="C367" s="0" t="s">
        <v>26</v>
      </c>
      <c r="D367" s="0" t="s">
        <v>104</v>
      </c>
      <c r="E367" s="0" t="str">
        <f>"s1_node_"&amp;D367&amp;"_name"</f>
        <v>s1_node_relic_name</v>
      </c>
      <c r="F367" s="10" t="str">
        <f>"s1_node_"&amp;D367&amp;"_desc"</f>
        <v>s1_node_relic_desc</v>
      </c>
      <c r="G367" s="0" t="s">
        <v>147</v>
      </c>
      <c r="H367" s="0">
        <v>1</v>
      </c>
      <c r="I367" s="0" t="s">
        <v>27</v>
      </c>
      <c r="J367" s="0" t="s">
        <v>679</v>
      </c>
      <c r="K367" s="0">
        <v>270</v>
      </c>
      <c r="L367" s="10">
        <v>3</v>
      </c>
      <c r="M367" s="0">
        <v>4</v>
      </c>
      <c r="N367" s="0">
        <v>2</v>
      </c>
      <c r="O367" s="10" t="s">
        <v>680</v>
      </c>
      <c r="P367" s="10"/>
      <c r="T367" s="0" t="str">
        <f>_xlfn.TEXTJOIN("_",TRUE,C367,"node_eff",D367,M367,N367)</f>
        <v>s1_node_eff_relic_4_2</v>
      </c>
    </row>
    <row r="368" spans="1:20" x14ac:dyDescent="0.45">
      <c r="A368" s="0" t="str">
        <f>_xlfn.TEXTJOIN("_",TRUE,C368,"node",D368,M368,N368)</f>
        <v>s1_node_relic_4_6</v>
      </c>
      <c r="B368" s="0" t="s">
        <v>0</v>
      </c>
      <c r="C368" s="0" t="s">
        <v>26</v>
      </c>
      <c r="D368" s="0" t="s">
        <v>104</v>
      </c>
      <c r="E368" s="0" t="str">
        <f>"s1_node_"&amp;D368&amp;"_name"</f>
        <v>s1_node_relic_name</v>
      </c>
      <c r="F368" s="10" t="str">
        <f>"s1_node_"&amp;D368&amp;"_desc"</f>
        <v>s1_node_relic_desc</v>
      </c>
      <c r="G368" s="0" t="s">
        <v>136</v>
      </c>
      <c r="H368" s="0">
        <v>1</v>
      </c>
      <c r="I368" s="0" t="s">
        <v>27</v>
      </c>
      <c r="J368" s="0" t="s">
        <v>679</v>
      </c>
      <c r="K368" s="0">
        <v>270</v>
      </c>
      <c r="L368" s="10">
        <v>3</v>
      </c>
      <c r="M368" s="0">
        <v>4</v>
      </c>
      <c r="N368" s="0">
        <v>6</v>
      </c>
      <c r="O368" s="10" t="s">
        <v>681</v>
      </c>
      <c r="P368" s="10"/>
      <c r="T368" s="0" t="str">
        <f>_xlfn.TEXTJOIN("_",TRUE,C368,"node_eff",D368,M368,N368)</f>
        <v>s1_node_eff_relic_4_6</v>
      </c>
    </row>
    <row r="369" spans="1:20" x14ac:dyDescent="0.45">
      <c r="A369" s="0" t="str">
        <f>_xlfn.TEXTJOIN("_",TRUE,C369,"node",D369,M369,N369)</f>
        <v>s1_node_relic_5_2</v>
      </c>
      <c r="B369" s="0" t="s">
        <v>0</v>
      </c>
      <c r="C369" s="0" t="s">
        <v>26</v>
      </c>
      <c r="D369" s="0" t="s">
        <v>104</v>
      </c>
      <c r="E369" s="0" t="str">
        <f>"s1_node_"&amp;D369&amp;"_name"</f>
        <v>s1_node_relic_name</v>
      </c>
      <c r="F369" s="10" t="str">
        <f>"s1_node_"&amp;D369&amp;"_desc"</f>
        <v>s1_node_relic_desc</v>
      </c>
      <c r="G369" s="0" t="s">
        <v>147</v>
      </c>
      <c r="H369" s="0">
        <v>1</v>
      </c>
      <c r="I369" s="0" t="s">
        <v>27</v>
      </c>
      <c r="J369" s="0" t="s">
        <v>682</v>
      </c>
      <c r="K369" s="0">
        <v>310</v>
      </c>
      <c r="L369" s="10">
        <v>3</v>
      </c>
      <c r="M369" s="0">
        <v>5</v>
      </c>
      <c r="N369" s="0">
        <v>2</v>
      </c>
      <c r="O369" s="10" t="s">
        <v>683</v>
      </c>
      <c r="P369" s="10"/>
      <c r="T369" s="0" t="str">
        <f>_xlfn.TEXTJOIN("_",TRUE,C369,"node_eff",D369,M369,N369)</f>
        <v>s1_node_eff_relic_5_2</v>
      </c>
    </row>
    <row r="370" spans="1:20" x14ac:dyDescent="0.45">
      <c r="A370" s="0" t="str">
        <f>_xlfn.TEXTJOIN("_",TRUE,C370,"node",D370,M370,N370)</f>
        <v>s1_node_relic_5_6</v>
      </c>
      <c r="B370" s="0" t="s">
        <v>0</v>
      </c>
      <c r="C370" s="0" t="s">
        <v>26</v>
      </c>
      <c r="D370" s="0" t="s">
        <v>104</v>
      </c>
      <c r="E370" s="0" t="str">
        <f>"s1_node_"&amp;D370&amp;"_name"</f>
        <v>s1_node_relic_name</v>
      </c>
      <c r="F370" s="10" t="str">
        <f>"s1_node_"&amp;D370&amp;"_desc"</f>
        <v>s1_node_relic_desc</v>
      </c>
      <c r="G370" s="0" t="s">
        <v>672</v>
      </c>
      <c r="H370" s="0">
        <v>1</v>
      </c>
      <c r="I370" s="0" t="s">
        <v>27</v>
      </c>
      <c r="J370" s="0" t="s">
        <v>682</v>
      </c>
      <c r="K370" s="0">
        <v>310</v>
      </c>
      <c r="L370" s="10">
        <v>3</v>
      </c>
      <c r="M370" s="0">
        <v>5</v>
      </c>
      <c r="N370" s="0">
        <v>6</v>
      </c>
      <c r="O370" s="10" t="s">
        <v>684</v>
      </c>
      <c r="P370" s="10"/>
      <c r="T370" s="0" t="str">
        <f>_xlfn.TEXTJOIN("_",TRUE,C370,"node_eff",D370,M370,N370)</f>
        <v>s1_node_eff_relic_5_6</v>
      </c>
    </row>
    <row r="371" spans="1:20" x14ac:dyDescent="0.45">
      <c r="A371" s="0" t="str">
        <f>_xlfn.TEXTJOIN("_",TRUE,C371,"node",D371,M371,N371)</f>
        <v>s1_node_relic_6_4</v>
      </c>
      <c r="B371" s="0" t="s">
        <v>0</v>
      </c>
      <c r="C371" s="0" t="s">
        <v>26</v>
      </c>
      <c r="D371" s="0" t="s">
        <v>104</v>
      </c>
      <c r="E371" s="0" t="str">
        <f>"s1_node_"&amp;D371&amp;"_name"</f>
        <v>s1_node_relic_name</v>
      </c>
      <c r="F371" s="10" t="str">
        <f>"s1_node_"&amp;D371&amp;"_desc"</f>
        <v>s1_node_relic_desc</v>
      </c>
      <c r="G371" s="0" t="s">
        <v>147</v>
      </c>
      <c r="H371" s="0">
        <v>1</v>
      </c>
      <c r="I371" s="0" t="s">
        <v>27</v>
      </c>
      <c r="J371" s="0" t="s">
        <v>685</v>
      </c>
      <c r="K371" s="0">
        <v>350</v>
      </c>
      <c r="L371" s="10">
        <v>3</v>
      </c>
      <c r="M371" s="0">
        <v>6</v>
      </c>
      <c r="N371" s="0">
        <v>4</v>
      </c>
      <c r="O371" s="10" t="s">
        <v>686</v>
      </c>
      <c r="P371" s="10" t="s">
        <v>687</v>
      </c>
      <c r="T371" s="0" t="str">
        <f>_xlfn.TEXTJOIN("_",TRUE,C371,"node_eff",D371,M371,N371)</f>
        <v>s1_node_eff_relic_6_4</v>
      </c>
    </row>
    <row r="372" spans="1:20" x14ac:dyDescent="0.45">
      <c r="A372" s="0" t="str">
        <f>_xlfn.TEXTJOIN("_",TRUE,C372,"node",D372,M372,N372)</f>
        <v>s1_node_relic_7_2</v>
      </c>
      <c r="B372" s="0" t="s">
        <v>0</v>
      </c>
      <c r="C372" s="0" t="s">
        <v>26</v>
      </c>
      <c r="D372" s="0" t="s">
        <v>104</v>
      </c>
      <c r="E372" s="0" t="str">
        <f>"s1_node_"&amp;D372&amp;"_name"</f>
        <v>s1_node_relic_name</v>
      </c>
      <c r="F372" s="10" t="str">
        <f>"s1_node_"&amp;D372&amp;"_desc"</f>
        <v>s1_node_relic_desc</v>
      </c>
      <c r="G372" s="0" t="s">
        <v>140</v>
      </c>
      <c r="H372" s="0">
        <v>1</v>
      </c>
      <c r="I372" s="0" t="s">
        <v>27</v>
      </c>
      <c r="J372" s="0" t="s">
        <v>162</v>
      </c>
      <c r="K372" s="0">
        <v>390</v>
      </c>
      <c r="L372" s="10">
        <v>3</v>
      </c>
      <c r="M372" s="0">
        <v>7</v>
      </c>
      <c r="N372" s="0">
        <v>2</v>
      </c>
      <c r="O372" s="10" t="s">
        <v>688</v>
      </c>
      <c r="P372" s="10"/>
      <c r="T372" s="0" t="str">
        <f>_xlfn.TEXTJOIN("_",TRUE,C372,"node_eff",D372,M372,N372)</f>
        <v>s1_node_eff_relic_7_2</v>
      </c>
    </row>
    <row r="373" spans="1:20" x14ac:dyDescent="0.45">
      <c r="A373" s="0" t="str">
        <f>_xlfn.TEXTJOIN("_",TRUE,C373,"node",D373,M373,N373)</f>
        <v>s1_node_relic_7_6</v>
      </c>
      <c r="B373" s="0" t="s">
        <v>0</v>
      </c>
      <c r="C373" s="0" t="s">
        <v>26</v>
      </c>
      <c r="D373" s="0" t="s">
        <v>104</v>
      </c>
      <c r="E373" s="0" t="str">
        <f>"s1_node_"&amp;D373&amp;"_name"</f>
        <v>s1_node_relic_name</v>
      </c>
      <c r="F373" s="10" t="str">
        <f>"s1_node_"&amp;D373&amp;"_desc"</f>
        <v>s1_node_relic_desc</v>
      </c>
      <c r="G373" s="0" t="s">
        <v>136</v>
      </c>
      <c r="H373" s="0">
        <v>1</v>
      </c>
      <c r="I373" s="0" t="s">
        <v>27</v>
      </c>
      <c r="J373" s="0" t="s">
        <v>162</v>
      </c>
      <c r="K373" s="0">
        <v>390</v>
      </c>
      <c r="L373" s="10">
        <v>3</v>
      </c>
      <c r="M373" s="0">
        <v>7</v>
      </c>
      <c r="N373" s="0">
        <v>6</v>
      </c>
      <c r="O373" s="10" t="s">
        <v>688</v>
      </c>
      <c r="P373" s="10"/>
      <c r="T373" s="0" t="str">
        <f>_xlfn.TEXTJOIN("_",TRUE,C373,"node_eff",D373,M373,N373)</f>
        <v>s1_node_eff_relic_7_6</v>
      </c>
    </row>
    <row r="374" spans="1:20" x14ac:dyDescent="0.45">
      <c r="A374" s="0" t="str">
        <f>_xlfn.TEXTJOIN("_",TRUE,C374,"node",D374,M374,N374)</f>
        <v>s1_node_relic_8_2</v>
      </c>
      <c r="B374" s="0" t="s">
        <v>0</v>
      </c>
      <c r="C374" s="0" t="s">
        <v>26</v>
      </c>
      <c r="D374" s="0" t="s">
        <v>104</v>
      </c>
      <c r="E374" s="0" t="str">
        <f>"s1_node_"&amp;D374&amp;"_name"</f>
        <v>s1_node_relic_name</v>
      </c>
      <c r="F374" s="10" t="str">
        <f>"s1_node_"&amp;D374&amp;"_desc"</f>
        <v>s1_node_relic_desc</v>
      </c>
      <c r="G374" s="0" t="s">
        <v>147</v>
      </c>
      <c r="H374" s="0">
        <v>1</v>
      </c>
      <c r="I374" s="0" t="s">
        <v>27</v>
      </c>
      <c r="J374" s="0" t="s">
        <v>165</v>
      </c>
      <c r="K374" s="0">
        <v>430</v>
      </c>
      <c r="L374" s="10">
        <v>3</v>
      </c>
      <c r="M374" s="0">
        <v>8</v>
      </c>
      <c r="N374" s="0">
        <v>2</v>
      </c>
      <c r="O374" s="10" t="s">
        <v>689</v>
      </c>
      <c r="P374" s="10"/>
      <c r="T374" s="0" t="str">
        <f>_xlfn.TEXTJOIN("_",TRUE,C374,"node_eff",D374,M374,N374)</f>
        <v>s1_node_eff_relic_8_2</v>
      </c>
    </row>
    <row r="375" spans="1:20" x14ac:dyDescent="0.45">
      <c r="A375" s="0" t="str">
        <f>_xlfn.TEXTJOIN("_",TRUE,C375,"node",D375,M375,N375)</f>
        <v>s1_node_relic_8_6</v>
      </c>
      <c r="B375" s="0" t="s">
        <v>0</v>
      </c>
      <c r="C375" s="0" t="s">
        <v>26</v>
      </c>
      <c r="D375" s="0" t="s">
        <v>104</v>
      </c>
      <c r="E375" s="0" t="str">
        <f>"s1_node_"&amp;D375&amp;"_name"</f>
        <v>s1_node_relic_name</v>
      </c>
      <c r="F375" s="10" t="str">
        <f>"s1_node_"&amp;D375&amp;"_desc"</f>
        <v>s1_node_relic_desc</v>
      </c>
      <c r="G375" s="0" t="s">
        <v>147</v>
      </c>
      <c r="H375" s="0">
        <v>1</v>
      </c>
      <c r="I375" s="0" t="s">
        <v>27</v>
      </c>
      <c r="J375" s="0" t="s">
        <v>165</v>
      </c>
      <c r="K375" s="0">
        <v>430</v>
      </c>
      <c r="L375" s="10">
        <v>3</v>
      </c>
      <c r="M375" s="0">
        <v>8</v>
      </c>
      <c r="N375" s="0">
        <v>6</v>
      </c>
      <c r="O375" s="10" t="s">
        <v>690</v>
      </c>
      <c r="P375" s="10"/>
      <c r="T375" s="0" t="str">
        <f>_xlfn.TEXTJOIN("_",TRUE,C375,"node_eff",D375,M375,N375)</f>
        <v>s1_node_eff_relic_8_6</v>
      </c>
    </row>
    <row r="376" spans="1:20" x14ac:dyDescent="0.45">
      <c r="A376" s="0" t="str">
        <f>_xlfn.TEXTJOIN("_",TRUE,C376,"node",D376,M376,N376)</f>
        <v>s1_node_relic_9_2</v>
      </c>
      <c r="B376" s="0" t="s">
        <v>0</v>
      </c>
      <c r="C376" s="0" t="s">
        <v>26</v>
      </c>
      <c r="D376" s="0" t="s">
        <v>104</v>
      </c>
      <c r="E376" s="0" t="str">
        <f>"s1_node_"&amp;D376&amp;"_name"</f>
        <v>s1_node_relic_name</v>
      </c>
      <c r="F376" s="10" t="str">
        <f>"s1_node_"&amp;D376&amp;"_desc"</f>
        <v>s1_node_relic_desc</v>
      </c>
      <c r="G376" s="0" t="s">
        <v>691</v>
      </c>
      <c r="H376" s="0">
        <v>1</v>
      </c>
      <c r="I376" s="0" t="s">
        <v>27</v>
      </c>
      <c r="J376" s="0" t="s">
        <v>168</v>
      </c>
      <c r="K376" s="0">
        <v>460</v>
      </c>
      <c r="L376" s="10">
        <v>3</v>
      </c>
      <c r="M376" s="0">
        <v>9</v>
      </c>
      <c r="N376" s="0">
        <v>2</v>
      </c>
      <c r="O376" s="10" t="s">
        <v>692</v>
      </c>
      <c r="P376" s="10"/>
      <c r="T376" s="0" t="str">
        <f>_xlfn.TEXTJOIN("_",TRUE,C376,"node_eff",D376,M376,N376)</f>
        <v>s1_node_eff_relic_9_2</v>
      </c>
    </row>
    <row r="377" spans="1:20" x14ac:dyDescent="0.45">
      <c r="A377" s="0" t="str">
        <f>_xlfn.TEXTJOIN("_",TRUE,C377,"node",D377,M377,N377)</f>
        <v>s1_node_relic_9_6</v>
      </c>
      <c r="B377" s="0" t="s">
        <v>0</v>
      </c>
      <c r="C377" s="0" t="s">
        <v>26</v>
      </c>
      <c r="D377" s="0" t="s">
        <v>104</v>
      </c>
      <c r="E377" s="0" t="str">
        <f>"s1_node_"&amp;D377&amp;"_name"</f>
        <v>s1_node_relic_name</v>
      </c>
      <c r="F377" s="10" t="str">
        <f>"s1_node_"&amp;D377&amp;"_desc"</f>
        <v>s1_node_relic_desc</v>
      </c>
      <c r="G377" s="0" t="s">
        <v>147</v>
      </c>
      <c r="H377" s="0">
        <v>1</v>
      </c>
      <c r="I377" s="0" t="s">
        <v>27</v>
      </c>
      <c r="J377" s="0" t="s">
        <v>168</v>
      </c>
      <c r="K377" s="0">
        <v>460</v>
      </c>
      <c r="L377" s="10">
        <v>3</v>
      </c>
      <c r="M377" s="0">
        <v>9</v>
      </c>
      <c r="N377" s="0">
        <v>6</v>
      </c>
      <c r="O377" s="10" t="s">
        <v>693</v>
      </c>
      <c r="P377" s="10"/>
      <c r="T377" s="0" t="str">
        <f>_xlfn.TEXTJOIN("_",TRUE,C377,"node_eff",D377,M377,N377)</f>
        <v>s1_node_eff_relic_9_6</v>
      </c>
    </row>
    <row r="378" spans="1:20" x14ac:dyDescent="0.45">
      <c r="A378" s="0" t="str">
        <f>_xlfn.TEXTJOIN("_",TRUE,C378,"node",D378,M378,N378)</f>
        <v>s1_node_relic_10_2</v>
      </c>
      <c r="B378" s="0" t="s">
        <v>0</v>
      </c>
      <c r="C378" s="0" t="s">
        <v>26</v>
      </c>
      <c r="D378" s="0" t="s">
        <v>104</v>
      </c>
      <c r="E378" s="0" t="str">
        <f>"s1_node_"&amp;D378&amp;"_name"</f>
        <v>s1_node_relic_name</v>
      </c>
      <c r="F378" s="10" t="str">
        <f>"s1_node_"&amp;D378&amp;"_desc"</f>
        <v>s1_node_relic_desc</v>
      </c>
      <c r="G378" s="0" t="s">
        <v>672</v>
      </c>
      <c r="H378" s="0">
        <v>1</v>
      </c>
      <c r="I378" s="0" t="s">
        <v>27</v>
      </c>
      <c r="J378" s="0" t="s">
        <v>170</v>
      </c>
      <c r="K378" s="0">
        <v>500</v>
      </c>
      <c r="L378" s="10">
        <v>3</v>
      </c>
      <c r="M378" s="0">
        <v>10</v>
      </c>
      <c r="N378" s="0">
        <v>2</v>
      </c>
      <c r="O378" s="10" t="s">
        <v>694</v>
      </c>
      <c r="P378" s="10"/>
      <c r="T378" s="0" t="str">
        <f>_xlfn.TEXTJOIN("_",TRUE,C378,"node_eff",D378,M378,N378)</f>
        <v>s1_node_eff_relic_10_2</v>
      </c>
    </row>
    <row r="379" spans="1:20" x14ac:dyDescent="0.45">
      <c r="A379" s="0" t="str">
        <f>_xlfn.TEXTJOIN("_",TRUE,C379,"node",D379,M379,N379)</f>
        <v>s1_node_relic_10_6</v>
      </c>
      <c r="B379" s="0" t="s">
        <v>0</v>
      </c>
      <c r="C379" s="0" t="s">
        <v>26</v>
      </c>
      <c r="D379" s="0" t="s">
        <v>104</v>
      </c>
      <c r="E379" s="0" t="str">
        <f>"s1_node_"&amp;D379&amp;"_name"</f>
        <v>s1_node_relic_name</v>
      </c>
      <c r="F379" s="10" t="str">
        <f>"s1_node_"&amp;D379&amp;"_desc"</f>
        <v>s1_node_relic_desc</v>
      </c>
      <c r="G379" s="0" t="s">
        <v>147</v>
      </c>
      <c r="H379" s="0">
        <v>1</v>
      </c>
      <c r="I379" s="0" t="s">
        <v>27</v>
      </c>
      <c r="J379" s="0" t="s">
        <v>170</v>
      </c>
      <c r="K379" s="0">
        <v>500</v>
      </c>
      <c r="L379" s="10">
        <v>3</v>
      </c>
      <c r="M379" s="0">
        <v>10</v>
      </c>
      <c r="N379" s="0">
        <v>6</v>
      </c>
      <c r="O379" s="10" t="s">
        <v>695</v>
      </c>
      <c r="P379" s="10"/>
      <c r="T379" s="0" t="str">
        <f>_xlfn.TEXTJOIN("_",TRUE,C379,"node_eff",D379,M379,N379)</f>
        <v>s1_node_eff_relic_10_6</v>
      </c>
    </row>
    <row r="380" spans="1:20" x14ac:dyDescent="0.45">
      <c r="A380" s="0" t="str">
        <f>_xlfn.TEXTJOIN("_",TRUE,C380,"node",D380,M380,N380)</f>
        <v>s1_node_relic_11_4</v>
      </c>
      <c r="B380" s="0" t="s">
        <v>0</v>
      </c>
      <c r="C380" s="0" t="s">
        <v>26</v>
      </c>
      <c r="D380" s="0" t="s">
        <v>104</v>
      </c>
      <c r="E380" s="0" t="str">
        <f>"s1_node_"&amp;D380&amp;"_name"</f>
        <v>s1_node_relic_name</v>
      </c>
      <c r="F380" s="10" t="str">
        <f>"s1_node_"&amp;D380&amp;"_desc"</f>
        <v>s1_node_relic_desc</v>
      </c>
      <c r="G380" s="0" t="s">
        <v>140</v>
      </c>
      <c r="H380" s="0">
        <v>1</v>
      </c>
      <c r="I380" s="0" t="s">
        <v>27</v>
      </c>
      <c r="J380" s="0" t="s">
        <v>442</v>
      </c>
      <c r="K380" s="0">
        <v>540</v>
      </c>
      <c r="L380" s="10">
        <v>3</v>
      </c>
      <c r="M380" s="0">
        <v>11</v>
      </c>
      <c r="N380" s="0">
        <v>4</v>
      </c>
      <c r="O380" s="10" t="s">
        <v>696</v>
      </c>
      <c r="P380" s="10" t="s">
        <v>697</v>
      </c>
      <c r="T380" s="0" t="str">
        <f>_xlfn.TEXTJOIN("_",TRUE,C380,"node_eff",D380,M380,N380)</f>
        <v>s1_node_eff_relic_11_4</v>
      </c>
    </row>
    <row r="381" spans="1:20" x14ac:dyDescent="0.45">
      <c r="A381" s="0" t="str">
        <f>_xlfn.TEXTJOIN("_",TRUE,C381,"node",D381,M381,N381)</f>
        <v>s1_node_relic_12_2</v>
      </c>
      <c r="B381" s="0" t="s">
        <v>0</v>
      </c>
      <c r="C381" s="0" t="s">
        <v>26</v>
      </c>
      <c r="D381" s="0" t="s">
        <v>104</v>
      </c>
      <c r="E381" s="0" t="str">
        <f>"s1_node_"&amp;D381&amp;"_name"</f>
        <v>s1_node_relic_name</v>
      </c>
      <c r="F381" s="10" t="str">
        <f>"s1_node_"&amp;D381&amp;"_desc"</f>
        <v>s1_node_relic_desc</v>
      </c>
      <c r="G381" s="0" t="s">
        <v>417</v>
      </c>
      <c r="H381" s="0">
        <v>1</v>
      </c>
      <c r="I381" s="0" t="s">
        <v>27</v>
      </c>
      <c r="J381" s="0" t="s">
        <v>445</v>
      </c>
      <c r="K381" s="0">
        <v>580</v>
      </c>
      <c r="L381" s="10">
        <v>3</v>
      </c>
      <c r="M381" s="0">
        <v>12</v>
      </c>
      <c r="N381" s="0">
        <v>2</v>
      </c>
      <c r="O381" s="10" t="s">
        <v>698</v>
      </c>
      <c r="P381" s="10"/>
      <c r="T381" s="0" t="str">
        <f>_xlfn.TEXTJOIN("_",TRUE,C381,"node_eff",D381,M381,N381)</f>
        <v>s1_node_eff_relic_12_2</v>
      </c>
    </row>
    <row r="382" spans="1:20" x14ac:dyDescent="0.45">
      <c r="A382" s="0" t="str">
        <f>_xlfn.TEXTJOIN("_",TRUE,C382,"node",D382,M382,N382)</f>
        <v>s1_node_relic_12_6</v>
      </c>
      <c r="B382" s="0" t="s">
        <v>0</v>
      </c>
      <c r="C382" s="0" t="s">
        <v>26</v>
      </c>
      <c r="D382" s="0" t="s">
        <v>104</v>
      </c>
      <c r="E382" s="0" t="str">
        <f>"s1_node_"&amp;D382&amp;"_name"</f>
        <v>s1_node_relic_name</v>
      </c>
      <c r="F382" s="10" t="str">
        <f>"s1_node_"&amp;D382&amp;"_desc"</f>
        <v>s1_node_relic_desc</v>
      </c>
      <c r="G382" s="0" t="s">
        <v>147</v>
      </c>
      <c r="H382" s="0">
        <v>1</v>
      </c>
      <c r="I382" s="0" t="s">
        <v>27</v>
      </c>
      <c r="J382" s="0" t="s">
        <v>445</v>
      </c>
      <c r="K382" s="0">
        <v>580</v>
      </c>
      <c r="L382" s="10">
        <v>3</v>
      </c>
      <c r="M382" s="0">
        <v>12</v>
      </c>
      <c r="N382" s="0">
        <v>6</v>
      </c>
      <c r="O382" s="10" t="s">
        <v>698</v>
      </c>
      <c r="P382" s="10"/>
      <c r="T382" s="0" t="str">
        <f>_xlfn.TEXTJOIN("_",TRUE,C382,"node_eff",D382,M382,N382)</f>
        <v>s1_node_eff_relic_12_6</v>
      </c>
    </row>
    <row r="383" spans="1:20" x14ac:dyDescent="0.45">
      <c r="A383" s="0" t="str">
        <f>_xlfn.TEXTJOIN("_",TRUE,C383,"node",D383,M383,N383)</f>
        <v>s1_node_relic_13_2</v>
      </c>
      <c r="B383" s="0" t="s">
        <v>0</v>
      </c>
      <c r="C383" s="0" t="s">
        <v>26</v>
      </c>
      <c r="D383" s="0" t="s">
        <v>104</v>
      </c>
      <c r="E383" s="0" t="str">
        <f>"s1_node_"&amp;D383&amp;"_name"</f>
        <v>s1_node_relic_name</v>
      </c>
      <c r="F383" s="10" t="str">
        <f>"s1_node_"&amp;D383&amp;"_desc"</f>
        <v>s1_node_relic_desc</v>
      </c>
      <c r="G383" s="0" t="s">
        <v>147</v>
      </c>
      <c r="H383" s="0">
        <v>1</v>
      </c>
      <c r="I383" s="0" t="s">
        <v>27</v>
      </c>
      <c r="J383" s="0" t="s">
        <v>699</v>
      </c>
      <c r="K383" s="0">
        <v>620</v>
      </c>
      <c r="L383" s="10">
        <v>3</v>
      </c>
      <c r="M383" s="0">
        <v>13</v>
      </c>
      <c r="N383" s="0">
        <v>2</v>
      </c>
      <c r="O383" s="10" t="s">
        <v>700</v>
      </c>
      <c r="P383" s="10"/>
      <c r="T383" s="0" t="str">
        <f>_xlfn.TEXTJOIN("_",TRUE,C383,"node_eff",D383,M383,N383)</f>
        <v>s1_node_eff_relic_13_2</v>
      </c>
    </row>
    <row r="384" spans="1:20" x14ac:dyDescent="0.45">
      <c r="A384" s="0" t="str">
        <f>_xlfn.TEXTJOIN("_",TRUE,C384,"node",D384,M384,N384)</f>
        <v>s1_node_relic_13_6</v>
      </c>
      <c r="B384" s="0" t="s">
        <v>0</v>
      </c>
      <c r="C384" s="0" t="s">
        <v>26</v>
      </c>
      <c r="D384" s="0" t="s">
        <v>104</v>
      </c>
      <c r="E384" s="0" t="str">
        <f>"s1_node_"&amp;D384&amp;"_name"</f>
        <v>s1_node_relic_name</v>
      </c>
      <c r="F384" s="10" t="str">
        <f>"s1_node_"&amp;D384&amp;"_desc"</f>
        <v>s1_node_relic_desc</v>
      </c>
      <c r="G384" s="0" t="s">
        <v>691</v>
      </c>
      <c r="H384" s="0">
        <v>1</v>
      </c>
      <c r="I384" s="0" t="s">
        <v>27</v>
      </c>
      <c r="J384" s="0" t="s">
        <v>699</v>
      </c>
      <c r="K384" s="0">
        <v>620</v>
      </c>
      <c r="L384" s="10">
        <v>3</v>
      </c>
      <c r="M384" s="0">
        <v>13</v>
      </c>
      <c r="N384" s="0">
        <v>6</v>
      </c>
      <c r="O384" s="10" t="s">
        <v>701</v>
      </c>
      <c r="P384" s="10"/>
      <c r="T384" s="0" t="str">
        <f>_xlfn.TEXTJOIN("_",TRUE,C384,"node_eff",D384,M384,N384)</f>
        <v>s1_node_eff_relic_13_6</v>
      </c>
    </row>
    <row r="385" spans="1:20" x14ac:dyDescent="0.45">
      <c r="A385" s="0" t="str">
        <f>_xlfn.TEXTJOIN("_",TRUE,C385,"node",D385,M385,N385)</f>
        <v>s1_node_relic_14_2</v>
      </c>
      <c r="B385" s="0" t="s">
        <v>0</v>
      </c>
      <c r="C385" s="0" t="s">
        <v>26</v>
      </c>
      <c r="D385" s="0" t="s">
        <v>104</v>
      </c>
      <c r="E385" s="0" t="str">
        <f>"s1_node_"&amp;D385&amp;"_name"</f>
        <v>s1_node_relic_name</v>
      </c>
      <c r="F385" s="10" t="str">
        <f>"s1_node_"&amp;D385&amp;"_desc"</f>
        <v>s1_node_relic_desc</v>
      </c>
      <c r="G385" s="0" t="s">
        <v>136</v>
      </c>
      <c r="H385" s="0">
        <v>1</v>
      </c>
      <c r="I385" s="0" t="s">
        <v>27</v>
      </c>
      <c r="J385" s="0" t="s">
        <v>451</v>
      </c>
      <c r="K385" s="0">
        <v>650</v>
      </c>
      <c r="L385" s="10">
        <v>3</v>
      </c>
      <c r="M385" s="0">
        <v>14</v>
      </c>
      <c r="N385" s="0">
        <v>2</v>
      </c>
      <c r="O385" s="10" t="s">
        <v>702</v>
      </c>
      <c r="P385" s="10"/>
      <c r="T385" s="0" t="str">
        <f>_xlfn.TEXTJOIN("_",TRUE,C385,"node_eff",D385,M385,N385)</f>
        <v>s1_node_eff_relic_14_2</v>
      </c>
    </row>
    <row r="386" spans="1:20" x14ac:dyDescent="0.45">
      <c r="A386" s="0" t="str">
        <f>_xlfn.TEXTJOIN("_",TRUE,C386,"node",D386,M386,N386)</f>
        <v>s1_node_relic_14_6</v>
      </c>
      <c r="B386" s="0" t="s">
        <v>0</v>
      </c>
      <c r="C386" s="0" t="s">
        <v>26</v>
      </c>
      <c r="D386" s="0" t="s">
        <v>104</v>
      </c>
      <c r="E386" s="0" t="str">
        <f>"s1_node_"&amp;D386&amp;"_name"</f>
        <v>s1_node_relic_name</v>
      </c>
      <c r="F386" s="10" t="str">
        <f>"s1_node_"&amp;D386&amp;"_desc"</f>
        <v>s1_node_relic_desc</v>
      </c>
      <c r="G386" s="0" t="s">
        <v>672</v>
      </c>
      <c r="H386" s="0">
        <v>1</v>
      </c>
      <c r="I386" s="0" t="s">
        <v>27</v>
      </c>
      <c r="J386" s="0" t="s">
        <v>451</v>
      </c>
      <c r="K386" s="0">
        <v>650</v>
      </c>
      <c r="L386" s="10">
        <v>3</v>
      </c>
      <c r="M386" s="0">
        <v>14</v>
      </c>
      <c r="N386" s="0">
        <v>6</v>
      </c>
      <c r="O386" s="10" t="s">
        <v>703</v>
      </c>
      <c r="P386" s="10"/>
      <c r="T386" s="0" t="str">
        <f>_xlfn.TEXTJOIN("_",TRUE,C386,"node_eff",D386,M386,N386)</f>
        <v>s1_node_eff_relic_14_6</v>
      </c>
    </row>
    <row r="387" spans="1:20" x14ac:dyDescent="0.45">
      <c r="A387" s="0" t="str">
        <f>_xlfn.TEXTJOIN("_",TRUE,C387,"node",D387,M387,N387)</f>
        <v>s1_node_relic_15_2</v>
      </c>
      <c r="B387" s="0" t="s">
        <v>0</v>
      </c>
      <c r="C387" s="0" t="s">
        <v>26</v>
      </c>
      <c r="D387" s="0" t="s">
        <v>104</v>
      </c>
      <c r="E387" s="0" t="str">
        <f>"s1_node_"&amp;D387&amp;"_name"</f>
        <v>s1_node_relic_name</v>
      </c>
      <c r="F387" s="10" t="str">
        <f>"s1_node_"&amp;D387&amp;"_desc"</f>
        <v>s1_node_relic_desc</v>
      </c>
      <c r="G387" s="0" t="s">
        <v>147</v>
      </c>
      <c r="H387" s="0">
        <v>1</v>
      </c>
      <c r="I387" s="0" t="s">
        <v>27</v>
      </c>
      <c r="J387" s="0" t="s">
        <v>704</v>
      </c>
      <c r="K387" s="0">
        <v>690</v>
      </c>
      <c r="L387" s="10">
        <v>3</v>
      </c>
      <c r="M387" s="0">
        <v>15</v>
      </c>
      <c r="N387" s="0">
        <v>2</v>
      </c>
      <c r="O387" s="10" t="s">
        <v>705</v>
      </c>
      <c r="P387" s="10"/>
      <c r="T387" s="0" t="str">
        <f>_xlfn.TEXTJOIN("_",TRUE,C387,"node_eff",D387,M387,N387)</f>
        <v>s1_node_eff_relic_15_2</v>
      </c>
    </row>
    <row r="388" spans="1:20" x14ac:dyDescent="0.45">
      <c r="A388" s="0" t="str">
        <f>_xlfn.TEXTJOIN("_",TRUE,C388,"node",D388,M388,N388)</f>
        <v>s1_node_relic_15_6</v>
      </c>
      <c r="B388" s="0" t="s">
        <v>0</v>
      </c>
      <c r="C388" s="0" t="s">
        <v>26</v>
      </c>
      <c r="D388" s="0" t="s">
        <v>104</v>
      </c>
      <c r="E388" s="0" t="str">
        <f>"s1_node_"&amp;D388&amp;"_name"</f>
        <v>s1_node_relic_name</v>
      </c>
      <c r="F388" s="10" t="str">
        <f>"s1_node_"&amp;D388&amp;"_desc"</f>
        <v>s1_node_relic_desc</v>
      </c>
      <c r="G388" s="0" t="s">
        <v>140</v>
      </c>
      <c r="H388" s="0">
        <v>1</v>
      </c>
      <c r="I388" s="0" t="s">
        <v>27</v>
      </c>
      <c r="J388" s="0" t="s">
        <v>704</v>
      </c>
      <c r="K388" s="0">
        <v>690</v>
      </c>
      <c r="L388" s="10">
        <v>3</v>
      </c>
      <c r="M388" s="0">
        <v>15</v>
      </c>
      <c r="N388" s="0">
        <v>6</v>
      </c>
      <c r="O388" s="10" t="s">
        <v>706</v>
      </c>
      <c r="P388" s="10"/>
      <c r="T388" s="0" t="str">
        <f>_xlfn.TEXTJOIN("_",TRUE,C388,"node_eff",D388,M388,N388)</f>
        <v>s1_node_eff_relic_15_6</v>
      </c>
    </row>
    <row r="389" spans="1:20" x14ac:dyDescent="0.45">
      <c r="A389" s="0" t="str">
        <f>_xlfn.TEXTJOIN("_",TRUE,C389,"node",D389,M389,N389)</f>
        <v>s1_node_relic_16_4</v>
      </c>
      <c r="B389" s="0" t="s">
        <v>0</v>
      </c>
      <c r="C389" s="0" t="s">
        <v>26</v>
      </c>
      <c r="D389" s="0" t="s">
        <v>104</v>
      </c>
      <c r="E389" s="0" t="str">
        <f>"s1_node_"&amp;D389&amp;"_name"</f>
        <v>s1_node_relic_name</v>
      </c>
      <c r="F389" s="10" t="str">
        <f>"s1_node_"&amp;D389&amp;"_desc"</f>
        <v>s1_node_relic_desc</v>
      </c>
      <c r="G389" s="0" t="s">
        <v>417</v>
      </c>
      <c r="H389" s="0">
        <v>1</v>
      </c>
      <c r="I389" s="0" t="s">
        <v>27</v>
      </c>
      <c r="J389" s="0" t="s">
        <v>707</v>
      </c>
      <c r="K389" s="0">
        <v>730</v>
      </c>
      <c r="L389" s="10">
        <v>3</v>
      </c>
      <c r="M389" s="0">
        <v>16</v>
      </c>
      <c r="N389" s="0">
        <v>4</v>
      </c>
      <c r="O389" s="10" t="s">
        <v>708</v>
      </c>
      <c r="P389" s="10" t="s">
        <v>709</v>
      </c>
      <c r="T389" s="0" t="str">
        <f>_xlfn.TEXTJOIN("_",TRUE,C389,"node_eff",D389,M389,N389)</f>
        <v>s1_node_eff_relic_16_4</v>
      </c>
    </row>
    <row r="390" spans="1:20" x14ac:dyDescent="0.45">
      <c r="A390" s="0" t="str">
        <f>_xlfn.TEXTJOIN("_",TRUE,C390,"node",D390,M390,N390)</f>
        <v>s1_node_relic_17_2</v>
      </c>
      <c r="B390" s="0" t="s">
        <v>0</v>
      </c>
      <c r="C390" s="0" t="s">
        <v>26</v>
      </c>
      <c r="D390" s="0" t="s">
        <v>104</v>
      </c>
      <c r="E390" s="0" t="str">
        <f>"s1_node_"&amp;D390&amp;"_name"</f>
        <v>s1_node_relic_name</v>
      </c>
      <c r="F390" s="10" t="str">
        <f>"s1_node_"&amp;D390&amp;"_desc"</f>
        <v>s1_node_relic_desc</v>
      </c>
      <c r="G390" s="0" t="s">
        <v>136</v>
      </c>
      <c r="H390" s="0">
        <v>1</v>
      </c>
      <c r="I390" s="0" t="s">
        <v>27</v>
      </c>
      <c r="J390" s="0" t="s">
        <v>710</v>
      </c>
      <c r="K390" s="0">
        <v>770</v>
      </c>
      <c r="L390" s="10">
        <v>3</v>
      </c>
      <c r="M390" s="0">
        <v>17</v>
      </c>
      <c r="N390" s="0">
        <v>2</v>
      </c>
      <c r="O390" s="10" t="s">
        <v>711</v>
      </c>
      <c r="P390" s="10"/>
      <c r="T390" s="0" t="str">
        <f>_xlfn.TEXTJOIN("_",TRUE,C390,"node_eff",D390,M390,N390)</f>
        <v>s1_node_eff_relic_17_2</v>
      </c>
    </row>
    <row r="391" spans="1:20" x14ac:dyDescent="0.45">
      <c r="A391" s="0" t="str">
        <f>_xlfn.TEXTJOIN("_",TRUE,C391,"node",D391,M391,N391)</f>
        <v>s1_node_relic_17_6</v>
      </c>
      <c r="B391" s="0" t="s">
        <v>0</v>
      </c>
      <c r="C391" s="0" t="s">
        <v>26</v>
      </c>
      <c r="D391" s="0" t="s">
        <v>104</v>
      </c>
      <c r="E391" s="0" t="str">
        <f>"s1_node_"&amp;D391&amp;"_name"</f>
        <v>s1_node_relic_name</v>
      </c>
      <c r="F391" s="10" t="str">
        <f>"s1_node_"&amp;D391&amp;"_desc"</f>
        <v>s1_node_relic_desc</v>
      </c>
      <c r="G391" s="0" t="s">
        <v>147</v>
      </c>
      <c r="H391" s="0">
        <v>1</v>
      </c>
      <c r="I391" s="0" t="s">
        <v>27</v>
      </c>
      <c r="J391" s="0" t="s">
        <v>710</v>
      </c>
      <c r="K391" s="0">
        <v>770</v>
      </c>
      <c r="L391" s="10">
        <v>3</v>
      </c>
      <c r="M391" s="0">
        <v>17</v>
      </c>
      <c r="N391" s="0">
        <v>6</v>
      </c>
      <c r="O391" s="10" t="s">
        <v>711</v>
      </c>
      <c r="P391" s="10"/>
      <c r="T391" s="0" t="str">
        <f>_xlfn.TEXTJOIN("_",TRUE,C391,"node_eff",D391,M391,N391)</f>
        <v>s1_node_eff_relic_17_6</v>
      </c>
    </row>
    <row r="392" spans="1:20" x14ac:dyDescent="0.45">
      <c r="A392" s="0" t="str">
        <f>_xlfn.TEXTJOIN("_",TRUE,C392,"node",D392,M392,N392)</f>
        <v>s1_node_relic_18_2</v>
      </c>
      <c r="B392" s="0" t="s">
        <v>0</v>
      </c>
      <c r="C392" s="0" t="s">
        <v>26</v>
      </c>
      <c r="D392" s="0" t="s">
        <v>104</v>
      </c>
      <c r="E392" s="0" t="str">
        <f>"s1_node_"&amp;D392&amp;"_name"</f>
        <v>s1_node_relic_name</v>
      </c>
      <c r="F392" s="10" t="str">
        <f>"s1_node_"&amp;D392&amp;"_desc"</f>
        <v>s1_node_relic_desc</v>
      </c>
      <c r="G392" s="0" t="s">
        <v>691</v>
      </c>
      <c r="H392" s="0">
        <v>1</v>
      </c>
      <c r="I392" s="0" t="s">
        <v>27</v>
      </c>
      <c r="J392" s="0" t="s">
        <v>196</v>
      </c>
      <c r="K392" s="0">
        <v>810</v>
      </c>
      <c r="L392" s="10">
        <v>3</v>
      </c>
      <c r="M392" s="0">
        <v>18</v>
      </c>
      <c r="N392" s="0">
        <v>2</v>
      </c>
      <c r="O392" s="10" t="s">
        <v>712</v>
      </c>
      <c r="P392" s="10"/>
      <c r="T392" s="0" t="str">
        <f>_xlfn.TEXTJOIN("_",TRUE,C392,"node_eff",D392,M392,N392)</f>
        <v>s1_node_eff_relic_18_2</v>
      </c>
    </row>
    <row r="393" spans="1:20" x14ac:dyDescent="0.45">
      <c r="A393" s="0" t="str">
        <f>_xlfn.TEXTJOIN("_",TRUE,C393,"node",D393,M393,N393)</f>
        <v>s1_node_relic_18_6</v>
      </c>
      <c r="B393" s="0" t="s">
        <v>0</v>
      </c>
      <c r="C393" s="0" t="s">
        <v>26</v>
      </c>
      <c r="D393" s="0" t="s">
        <v>104</v>
      </c>
      <c r="E393" s="0" t="str">
        <f>"s1_node_"&amp;D393&amp;"_name"</f>
        <v>s1_node_relic_name</v>
      </c>
      <c r="F393" s="10" t="str">
        <f>"s1_node_"&amp;D393&amp;"_desc"</f>
        <v>s1_node_relic_desc</v>
      </c>
      <c r="G393" s="0" t="s">
        <v>136</v>
      </c>
      <c r="H393" s="0">
        <v>1</v>
      </c>
      <c r="I393" s="0" t="s">
        <v>27</v>
      </c>
      <c r="J393" s="0" t="s">
        <v>196</v>
      </c>
      <c r="K393" s="0">
        <v>810</v>
      </c>
      <c r="L393" s="10">
        <v>3</v>
      </c>
      <c r="M393" s="0">
        <v>18</v>
      </c>
      <c r="N393" s="0">
        <v>6</v>
      </c>
      <c r="O393" s="10" t="s">
        <v>713</v>
      </c>
      <c r="P393" s="10"/>
      <c r="T393" s="0" t="str">
        <f>_xlfn.TEXTJOIN("_",TRUE,C393,"node_eff",D393,M393,N393)</f>
        <v>s1_node_eff_relic_18_6</v>
      </c>
    </row>
    <row r="394" spans="1:20" x14ac:dyDescent="0.45">
      <c r="A394" s="0" t="str">
        <f>_xlfn.TEXTJOIN("_",TRUE,C394,"node",D394,M394,N394)</f>
        <v>s1_node_relic_19_2</v>
      </c>
      <c r="B394" s="0" t="s">
        <v>0</v>
      </c>
      <c r="C394" s="0" t="s">
        <v>26</v>
      </c>
      <c r="D394" s="0" t="s">
        <v>104</v>
      </c>
      <c r="E394" s="0" t="str">
        <f>"s1_node_"&amp;D394&amp;"_name"</f>
        <v>s1_node_relic_name</v>
      </c>
      <c r="F394" s="10" t="str">
        <f>"s1_node_"&amp;D394&amp;"_desc"</f>
        <v>s1_node_relic_desc</v>
      </c>
      <c r="G394" s="0" t="s">
        <v>147</v>
      </c>
      <c r="H394" s="0">
        <v>1</v>
      </c>
      <c r="I394" s="0" t="s">
        <v>27</v>
      </c>
      <c r="J394" s="0" t="s">
        <v>198</v>
      </c>
      <c r="K394" s="0">
        <v>840</v>
      </c>
      <c r="L394" s="10">
        <v>3</v>
      </c>
      <c r="M394" s="0">
        <v>19</v>
      </c>
      <c r="N394" s="0">
        <v>2</v>
      </c>
      <c r="O394" s="10" t="s">
        <v>714</v>
      </c>
      <c r="P394" s="10"/>
      <c r="T394" s="0" t="str">
        <f>_xlfn.TEXTJOIN("_",TRUE,C394,"node_eff",D394,M394,N394)</f>
        <v>s1_node_eff_relic_19_2</v>
      </c>
    </row>
    <row r="395" spans="1:20" x14ac:dyDescent="0.45">
      <c r="A395" s="0" t="str">
        <f>_xlfn.TEXTJOIN("_",TRUE,C395,"node",D395,M395,N395)</f>
        <v>s1_node_relic_19_6</v>
      </c>
      <c r="B395" s="0" t="s">
        <v>0</v>
      </c>
      <c r="C395" s="0" t="s">
        <v>26</v>
      </c>
      <c r="D395" s="0" t="s">
        <v>104</v>
      </c>
      <c r="E395" s="0" t="str">
        <f>"s1_node_"&amp;D395&amp;"_name"</f>
        <v>s1_node_relic_name</v>
      </c>
      <c r="F395" s="10" t="str">
        <f>"s1_node_"&amp;D395&amp;"_desc"</f>
        <v>s1_node_relic_desc</v>
      </c>
      <c r="G395" s="0" t="s">
        <v>147</v>
      </c>
      <c r="H395" s="0">
        <v>1</v>
      </c>
      <c r="I395" s="0" t="s">
        <v>27</v>
      </c>
      <c r="J395" s="0" t="s">
        <v>198</v>
      </c>
      <c r="K395" s="0">
        <v>840</v>
      </c>
      <c r="L395" s="10">
        <v>3</v>
      </c>
      <c r="M395" s="0">
        <v>19</v>
      </c>
      <c r="N395" s="0">
        <v>6</v>
      </c>
      <c r="O395" s="10" t="s">
        <v>715</v>
      </c>
      <c r="P395" s="10"/>
      <c r="T395" s="0" t="str">
        <f>_xlfn.TEXTJOIN("_",TRUE,C395,"node_eff",D395,M395,N395)</f>
        <v>s1_node_eff_relic_19_6</v>
      </c>
    </row>
    <row r="396" spans="1:20" x14ac:dyDescent="0.45">
      <c r="A396" s="0" t="str">
        <f>_xlfn.TEXTJOIN("_",TRUE,C396,"node",D396,M396,N396)</f>
        <v>s1_node_relic_20_2</v>
      </c>
      <c r="B396" s="0" t="s">
        <v>0</v>
      </c>
      <c r="C396" s="0" t="s">
        <v>26</v>
      </c>
      <c r="D396" s="0" t="s">
        <v>104</v>
      </c>
      <c r="E396" s="0" t="str">
        <f>"s1_node_"&amp;D396&amp;"_name"</f>
        <v>s1_node_relic_name</v>
      </c>
      <c r="F396" s="10" t="str">
        <f>"s1_node_"&amp;D396&amp;"_desc"</f>
        <v>s1_node_relic_desc</v>
      </c>
      <c r="G396" s="0" t="s">
        <v>140</v>
      </c>
      <c r="H396" s="0">
        <v>1</v>
      </c>
      <c r="I396" s="0" t="s">
        <v>27</v>
      </c>
      <c r="J396" s="0" t="s">
        <v>201</v>
      </c>
      <c r="K396" s="0">
        <v>880</v>
      </c>
      <c r="L396" s="10">
        <v>3</v>
      </c>
      <c r="M396" s="0">
        <v>20</v>
      </c>
      <c r="N396" s="0">
        <v>2</v>
      </c>
      <c r="O396" s="10" t="s">
        <v>716</v>
      </c>
      <c r="P396" s="10"/>
      <c r="T396" s="0" t="str">
        <f>_xlfn.TEXTJOIN("_",TRUE,C396,"node_eff",D396,M396,N396)</f>
        <v>s1_node_eff_relic_20_2</v>
      </c>
    </row>
    <row r="397" spans="1:20" x14ac:dyDescent="0.45">
      <c r="A397" s="0" t="str">
        <f>_xlfn.TEXTJOIN("_",TRUE,C397,"node",D397,M397,N397)</f>
        <v>s1_node_relic_20_6</v>
      </c>
      <c r="B397" s="0" t="s">
        <v>0</v>
      </c>
      <c r="C397" s="0" t="s">
        <v>26</v>
      </c>
      <c r="D397" s="0" t="s">
        <v>104</v>
      </c>
      <c r="E397" s="0" t="str">
        <f>"s1_node_"&amp;D397&amp;"_name"</f>
        <v>s1_node_relic_name</v>
      </c>
      <c r="F397" s="10" t="str">
        <f>"s1_node_"&amp;D397&amp;"_desc"</f>
        <v>s1_node_relic_desc</v>
      </c>
      <c r="G397" s="0" t="s">
        <v>417</v>
      </c>
      <c r="H397" s="0">
        <v>1</v>
      </c>
      <c r="I397" s="0" t="s">
        <v>27</v>
      </c>
      <c r="J397" s="0" t="s">
        <v>201</v>
      </c>
      <c r="K397" s="0">
        <v>880</v>
      </c>
      <c r="L397" s="10">
        <v>3</v>
      </c>
      <c r="M397" s="0">
        <v>20</v>
      </c>
      <c r="N397" s="0">
        <v>6</v>
      </c>
      <c r="O397" s="10" t="s">
        <v>717</v>
      </c>
      <c r="P397" s="10"/>
      <c r="T397" s="0" t="str">
        <f>_xlfn.TEXTJOIN("_",TRUE,C397,"node_eff",D397,M397,N397)</f>
        <v>s1_node_eff_relic_20_6</v>
      </c>
    </row>
    <row r="398" spans="1:20" x14ac:dyDescent="0.45">
      <c r="A398" s="0" t="str">
        <f>_xlfn.TEXTJOIN("_",TRUE,C398,"node",D398,M398,N398)</f>
        <v>s1_node_relic_21_4</v>
      </c>
      <c r="B398" s="0" t="s">
        <v>0</v>
      </c>
      <c r="C398" s="0" t="s">
        <v>26</v>
      </c>
      <c r="D398" s="0" t="s">
        <v>104</v>
      </c>
      <c r="E398" s="0" t="str">
        <f>"s1_node_"&amp;D398&amp;"_name"</f>
        <v>s1_node_relic_name</v>
      </c>
      <c r="F398" s="10" t="str">
        <f>"s1_node_"&amp;D398&amp;"_desc"</f>
        <v>s1_node_relic_desc</v>
      </c>
      <c r="G398" s="0" t="s">
        <v>136</v>
      </c>
      <c r="H398" s="0">
        <v>2</v>
      </c>
      <c r="I398" s="0" t="s">
        <v>27</v>
      </c>
      <c r="J398" s="0" t="s">
        <v>718</v>
      </c>
      <c r="K398" s="0">
        <v>920</v>
      </c>
      <c r="L398" s="10">
        <v>3</v>
      </c>
      <c r="M398" s="0">
        <v>21</v>
      </c>
      <c r="N398" s="0">
        <v>4</v>
      </c>
      <c r="O398" s="10" t="s">
        <v>719</v>
      </c>
      <c r="P398" s="10" t="s">
        <v>720</v>
      </c>
      <c r="T398" s="0" t="str">
        <f>_xlfn.TEXTJOIN("_",TRUE,C398,"node_eff",D398,M398,N398)</f>
        <v>s1_node_eff_relic_21_4</v>
      </c>
    </row>
    <row r="399" spans="1:20" x14ac:dyDescent="0.45">
      <c r="A399" s="0" t="str">
        <f>_xlfn.TEXTJOIN("_",TRUE,C399,"node",D399,M399,N399)</f>
        <v>s1_node_relic_22_2</v>
      </c>
      <c r="B399" s="0" t="s">
        <v>0</v>
      </c>
      <c r="C399" s="0" t="s">
        <v>26</v>
      </c>
      <c r="D399" s="0" t="s">
        <v>104</v>
      </c>
      <c r="E399" s="0" t="str">
        <f>"s1_node_"&amp;D399&amp;"_name"</f>
        <v>s1_node_relic_name</v>
      </c>
      <c r="F399" s="10" t="str">
        <f>"s1_node_"&amp;D399&amp;"_desc"</f>
        <v>s1_node_relic_desc</v>
      </c>
      <c r="G399" s="0" t="s">
        <v>147</v>
      </c>
      <c r="H399" s="0">
        <v>2</v>
      </c>
      <c r="I399" s="0" t="s">
        <v>27</v>
      </c>
      <c r="J399" s="0" t="s">
        <v>721</v>
      </c>
      <c r="K399" s="0">
        <v>960</v>
      </c>
      <c r="L399" s="10">
        <v>3</v>
      </c>
      <c r="M399" s="0">
        <v>22</v>
      </c>
      <c r="N399" s="0">
        <v>2</v>
      </c>
      <c r="O399" s="10" t="s">
        <v>722</v>
      </c>
      <c r="P399" s="10"/>
      <c r="T399" s="0" t="str">
        <f>_xlfn.TEXTJOIN("_",TRUE,C399,"node_eff",D399,M399,N399)</f>
        <v>s1_node_eff_relic_22_2</v>
      </c>
    </row>
    <row r="400" spans="1:20" x14ac:dyDescent="0.45">
      <c r="A400" s="0" t="str">
        <f>_xlfn.TEXTJOIN("_",TRUE,C400,"node",D400,M400,N400)</f>
        <v>s1_node_relic_22_6</v>
      </c>
      <c r="B400" s="0" t="s">
        <v>0</v>
      </c>
      <c r="C400" s="0" t="s">
        <v>26</v>
      </c>
      <c r="D400" s="0" t="s">
        <v>104</v>
      </c>
      <c r="E400" s="0" t="str">
        <f>"s1_node_"&amp;D400&amp;"_name"</f>
        <v>s1_node_relic_name</v>
      </c>
      <c r="F400" s="10" t="str">
        <f>"s1_node_"&amp;D400&amp;"_desc"</f>
        <v>s1_node_relic_desc</v>
      </c>
      <c r="G400" s="0" t="s">
        <v>691</v>
      </c>
      <c r="H400" s="0">
        <v>2</v>
      </c>
      <c r="I400" s="0" t="s">
        <v>27</v>
      </c>
      <c r="J400" s="0" t="s">
        <v>721</v>
      </c>
      <c r="K400" s="0">
        <v>960</v>
      </c>
      <c r="L400" s="10">
        <v>3</v>
      </c>
      <c r="M400" s="0">
        <v>22</v>
      </c>
      <c r="N400" s="0">
        <v>6</v>
      </c>
      <c r="O400" s="10" t="s">
        <v>722</v>
      </c>
      <c r="P400" s="10"/>
      <c r="T400" s="0" t="str">
        <f>_xlfn.TEXTJOIN("_",TRUE,C400,"node_eff",D400,M400,N400)</f>
        <v>s1_node_eff_relic_22_6</v>
      </c>
    </row>
    <row r="401" spans="1:20" x14ac:dyDescent="0.45">
      <c r="A401" s="0" t="str">
        <f>_xlfn.TEXTJOIN("_",TRUE,C401,"node",D401,M401,N401)</f>
        <v>s1_node_relic_23_2</v>
      </c>
      <c r="B401" s="0" t="s">
        <v>0</v>
      </c>
      <c r="C401" s="0" t="s">
        <v>26</v>
      </c>
      <c r="D401" s="0" t="s">
        <v>104</v>
      </c>
      <c r="E401" s="0" t="str">
        <f>"s1_node_"&amp;D401&amp;"_name"</f>
        <v>s1_node_relic_name</v>
      </c>
      <c r="F401" s="10" t="str">
        <f>"s1_node_"&amp;D401&amp;"_desc"</f>
        <v>s1_node_relic_desc</v>
      </c>
      <c r="G401" s="0" t="s">
        <v>136</v>
      </c>
      <c r="H401" s="0">
        <v>2</v>
      </c>
      <c r="I401" s="0" t="s">
        <v>27</v>
      </c>
      <c r="J401" s="0" t="s">
        <v>479</v>
      </c>
      <c r="K401" s="0">
        <v>1000</v>
      </c>
      <c r="L401" s="10">
        <v>3</v>
      </c>
      <c r="M401" s="0">
        <v>23</v>
      </c>
      <c r="N401" s="0">
        <v>2</v>
      </c>
      <c r="O401" s="10" t="s">
        <v>723</v>
      </c>
      <c r="P401" s="10"/>
      <c r="T401" s="0" t="str">
        <f>_xlfn.TEXTJOIN("_",TRUE,C401,"node_eff",D401,M401,N401)</f>
        <v>s1_node_eff_relic_23_2</v>
      </c>
    </row>
    <row r="402" spans="1:20" x14ac:dyDescent="0.45">
      <c r="A402" s="0" t="str">
        <f>_xlfn.TEXTJOIN("_",TRUE,C402,"node",D402,M402,N402)</f>
        <v>s1_node_relic_23_6</v>
      </c>
      <c r="B402" s="0" t="s">
        <v>0</v>
      </c>
      <c r="C402" s="0" t="s">
        <v>26</v>
      </c>
      <c r="D402" s="0" t="s">
        <v>104</v>
      </c>
      <c r="E402" s="0" t="str">
        <f>"s1_node_"&amp;D402&amp;"_name"</f>
        <v>s1_node_relic_name</v>
      </c>
      <c r="F402" s="10" t="str">
        <f>"s1_node_"&amp;D402&amp;"_desc"</f>
        <v>s1_node_relic_desc</v>
      </c>
      <c r="G402" s="0" t="s">
        <v>147</v>
      </c>
      <c r="H402" s="0">
        <v>2</v>
      </c>
      <c r="I402" s="0" t="s">
        <v>27</v>
      </c>
      <c r="J402" s="0" t="s">
        <v>479</v>
      </c>
      <c r="K402" s="0">
        <v>1000</v>
      </c>
      <c r="L402" s="10">
        <v>3</v>
      </c>
      <c r="M402" s="0">
        <v>23</v>
      </c>
      <c r="N402" s="0">
        <v>6</v>
      </c>
      <c r="O402" s="10" t="s">
        <v>724</v>
      </c>
      <c r="P402" s="10"/>
      <c r="T402" s="0" t="str">
        <f>_xlfn.TEXTJOIN("_",TRUE,C402,"node_eff",D402,M402,N402)</f>
        <v>s1_node_eff_relic_23_6</v>
      </c>
    </row>
    <row r="403" spans="1:20" x14ac:dyDescent="0.45">
      <c r="A403" s="0" t="str">
        <f>_xlfn.TEXTJOIN("_",TRUE,C403,"node",D403,M403,N403)</f>
        <v>s1_node_relic_24_2</v>
      </c>
      <c r="B403" s="0" t="s">
        <v>0</v>
      </c>
      <c r="C403" s="0" t="s">
        <v>26</v>
      </c>
      <c r="D403" s="0" t="s">
        <v>104</v>
      </c>
      <c r="E403" s="0" t="str">
        <f>"s1_node_"&amp;D403&amp;"_name"</f>
        <v>s1_node_relic_name</v>
      </c>
      <c r="F403" s="10" t="str">
        <f>"s1_node_"&amp;D403&amp;"_desc"</f>
        <v>s1_node_relic_desc</v>
      </c>
      <c r="G403" s="0" t="s">
        <v>672</v>
      </c>
      <c r="H403" s="0">
        <v>2</v>
      </c>
      <c r="I403" s="0" t="s">
        <v>27</v>
      </c>
      <c r="J403" s="0" t="s">
        <v>725</v>
      </c>
      <c r="K403" s="0">
        <v>1030</v>
      </c>
      <c r="L403" s="10">
        <v>3</v>
      </c>
      <c r="M403" s="0">
        <v>24</v>
      </c>
      <c r="N403" s="0">
        <v>2</v>
      </c>
      <c r="O403" s="10" t="s">
        <v>726</v>
      </c>
      <c r="P403" s="10"/>
      <c r="T403" s="0" t="str">
        <f>_xlfn.TEXTJOIN("_",TRUE,C403,"node_eff",D403,M403,N403)</f>
        <v>s1_node_eff_relic_24_2</v>
      </c>
    </row>
    <row r="404" spans="1:20" x14ac:dyDescent="0.45">
      <c r="A404" s="0" t="str">
        <f>_xlfn.TEXTJOIN("_",TRUE,C404,"node",D404,M404,N404)</f>
        <v>s1_node_relic_24_6</v>
      </c>
      <c r="B404" s="0" t="s">
        <v>0</v>
      </c>
      <c r="C404" s="0" t="s">
        <v>26</v>
      </c>
      <c r="D404" s="0" t="s">
        <v>104</v>
      </c>
      <c r="E404" s="0" t="str">
        <f>"s1_node_"&amp;D404&amp;"_name"</f>
        <v>s1_node_relic_name</v>
      </c>
      <c r="F404" s="10" t="str">
        <f>"s1_node_"&amp;D404&amp;"_desc"</f>
        <v>s1_node_relic_desc</v>
      </c>
      <c r="G404" s="0" t="s">
        <v>140</v>
      </c>
      <c r="H404" s="0">
        <v>2</v>
      </c>
      <c r="I404" s="0" t="s">
        <v>27</v>
      </c>
      <c r="J404" s="0" t="s">
        <v>725</v>
      </c>
      <c r="K404" s="0">
        <v>1030</v>
      </c>
      <c r="L404" s="10">
        <v>3</v>
      </c>
      <c r="M404" s="0">
        <v>24</v>
      </c>
      <c r="N404" s="0">
        <v>6</v>
      </c>
      <c r="O404" s="10" t="s">
        <v>727</v>
      </c>
      <c r="P404" s="10"/>
      <c r="T404" s="0" t="str">
        <f>_xlfn.TEXTJOIN("_",TRUE,C404,"node_eff",D404,M404,N404)</f>
        <v>s1_node_eff_relic_24_6</v>
      </c>
    </row>
    <row r="405" spans="1:20" x14ac:dyDescent="0.45">
      <c r="A405" s="0" t="str">
        <f>_xlfn.TEXTJOIN("_",TRUE,C405,"node",D405,M405,N405)</f>
        <v>s1_node_relic_25_2</v>
      </c>
      <c r="B405" s="0" t="s">
        <v>0</v>
      </c>
      <c r="C405" s="0" t="s">
        <v>26</v>
      </c>
      <c r="D405" s="0" t="s">
        <v>104</v>
      </c>
      <c r="E405" s="0" t="str">
        <f>"s1_node_"&amp;D405&amp;"_name"</f>
        <v>s1_node_relic_name</v>
      </c>
      <c r="F405" s="10" t="str">
        <f>"s1_node_"&amp;D405&amp;"_desc"</f>
        <v>s1_node_relic_desc</v>
      </c>
      <c r="G405" s="0" t="s">
        <v>417</v>
      </c>
      <c r="H405" s="0">
        <v>2</v>
      </c>
      <c r="I405" s="0" t="s">
        <v>27</v>
      </c>
      <c r="J405" s="0" t="s">
        <v>728</v>
      </c>
      <c r="K405" s="0">
        <v>1070</v>
      </c>
      <c r="L405" s="10">
        <v>3</v>
      </c>
      <c r="M405" s="0">
        <v>25</v>
      </c>
      <c r="N405" s="0">
        <v>2</v>
      </c>
      <c r="O405" s="10" t="s">
        <v>729</v>
      </c>
      <c r="P405" s="10"/>
      <c r="T405" s="0" t="str">
        <f>_xlfn.TEXTJOIN("_",TRUE,C405,"node_eff",D405,M405,N405)</f>
        <v>s1_node_eff_relic_25_2</v>
      </c>
    </row>
    <row r="406" spans="1:20" x14ac:dyDescent="0.45">
      <c r="A406" s="0" t="str">
        <f>_xlfn.TEXTJOIN("_",TRUE,C406,"node",D406,M406,N406)</f>
        <v>s1_node_relic_25_6</v>
      </c>
      <c r="B406" s="0" t="s">
        <v>0</v>
      </c>
      <c r="C406" s="0" t="s">
        <v>26</v>
      </c>
      <c r="D406" s="0" t="s">
        <v>104</v>
      </c>
      <c r="E406" s="0" t="str">
        <f>"s1_node_"&amp;D406&amp;"_name"</f>
        <v>s1_node_relic_name</v>
      </c>
      <c r="F406" s="10" t="str">
        <f>"s1_node_"&amp;D406&amp;"_desc"</f>
        <v>s1_node_relic_desc</v>
      </c>
      <c r="G406" s="0" t="s">
        <v>136</v>
      </c>
      <c r="H406" s="0">
        <v>2</v>
      </c>
      <c r="I406" s="0" t="s">
        <v>27</v>
      </c>
      <c r="J406" s="0" t="s">
        <v>728</v>
      </c>
      <c r="K406" s="0">
        <v>1070</v>
      </c>
      <c r="L406" s="10">
        <v>3</v>
      </c>
      <c r="M406" s="0">
        <v>25</v>
      </c>
      <c r="N406" s="0">
        <v>6</v>
      </c>
      <c r="O406" s="10" t="s">
        <v>730</v>
      </c>
      <c r="P406" s="10"/>
      <c r="T406" s="0" t="str">
        <f>_xlfn.TEXTJOIN("_",TRUE,C406,"node_eff",D406,M406,N406)</f>
        <v>s1_node_eff_relic_25_6</v>
      </c>
    </row>
    <row r="407" spans="1:20" x14ac:dyDescent="0.45">
      <c r="A407" s="0" t="str">
        <f>_xlfn.TEXTJOIN("_",TRUE,C407,"node",D407,M407,N407)</f>
        <v>s1_node_relic_26_4</v>
      </c>
      <c r="B407" s="0" t="s">
        <v>0</v>
      </c>
      <c r="C407" s="0" t="s">
        <v>26</v>
      </c>
      <c r="D407" s="0" t="s">
        <v>104</v>
      </c>
      <c r="E407" s="0" t="str">
        <f>"s1_node_"&amp;D407&amp;"_name"</f>
        <v>s1_node_relic_name</v>
      </c>
      <c r="F407" s="10" t="str">
        <f>"s1_node_"&amp;D407&amp;"_desc"</f>
        <v>s1_node_relic_desc</v>
      </c>
      <c r="G407" s="0" t="s">
        <v>147</v>
      </c>
      <c r="H407" s="0">
        <v>2</v>
      </c>
      <c r="I407" s="0" t="s">
        <v>27</v>
      </c>
      <c r="J407" s="0" t="s">
        <v>487</v>
      </c>
      <c r="K407" s="0">
        <v>1110</v>
      </c>
      <c r="L407" s="10">
        <v>3</v>
      </c>
      <c r="M407" s="0">
        <v>26</v>
      </c>
      <c r="N407" s="0">
        <v>4</v>
      </c>
      <c r="O407" s="10" t="s">
        <v>731</v>
      </c>
      <c r="P407" s="10" t="s">
        <v>732</v>
      </c>
      <c r="T407" s="0" t="str">
        <f>_xlfn.TEXTJOIN("_",TRUE,C407,"node_eff",D407,M407,N407)</f>
        <v>s1_node_eff_relic_26_4</v>
      </c>
    </row>
    <row r="408" spans="1:20" x14ac:dyDescent="0.45">
      <c r="A408" s="0" t="str">
        <f>_xlfn.TEXTJOIN("_",TRUE,C408,"node",D408,M408,N408)</f>
        <v>s1_node_relic_27_2</v>
      </c>
      <c r="B408" s="0" t="s">
        <v>0</v>
      </c>
      <c r="C408" s="0" t="s">
        <v>26</v>
      </c>
      <c r="D408" s="0" t="s">
        <v>104</v>
      </c>
      <c r="E408" s="0" t="str">
        <f>"s1_node_"&amp;D408&amp;"_name"</f>
        <v>s1_node_relic_name</v>
      </c>
      <c r="F408" s="10" t="str">
        <f>"s1_node_"&amp;D408&amp;"_desc"</f>
        <v>s1_node_relic_desc</v>
      </c>
      <c r="G408" s="0" t="s">
        <v>147</v>
      </c>
      <c r="H408" s="0">
        <v>2</v>
      </c>
      <c r="I408" s="0" t="s">
        <v>27</v>
      </c>
      <c r="J408" s="0" t="s">
        <v>490</v>
      </c>
      <c r="K408" s="0">
        <v>1150</v>
      </c>
      <c r="L408" s="10">
        <v>3</v>
      </c>
      <c r="M408" s="0">
        <v>27</v>
      </c>
      <c r="N408" s="0">
        <v>2</v>
      </c>
      <c r="O408" s="10" t="s">
        <v>733</v>
      </c>
      <c r="P408" s="10"/>
      <c r="T408" s="0" t="str">
        <f>_xlfn.TEXTJOIN("_",TRUE,C408,"node_eff",D408,M408,N408)</f>
        <v>s1_node_eff_relic_27_2</v>
      </c>
    </row>
    <row r="409" spans="1:20" x14ac:dyDescent="0.45">
      <c r="A409" s="0" t="str">
        <f>_xlfn.TEXTJOIN("_",TRUE,C409,"node",D409,M409,N409)</f>
        <v>s1_node_relic_27_6</v>
      </c>
      <c r="B409" s="0" t="s">
        <v>0</v>
      </c>
      <c r="C409" s="0" t="s">
        <v>26</v>
      </c>
      <c r="D409" s="0" t="s">
        <v>104</v>
      </c>
      <c r="E409" s="0" t="str">
        <f>"s1_node_"&amp;D409&amp;"_name"</f>
        <v>s1_node_relic_name</v>
      </c>
      <c r="F409" s="10" t="str">
        <f>"s1_node_"&amp;D409&amp;"_desc"</f>
        <v>s1_node_relic_desc</v>
      </c>
      <c r="G409" s="0" t="s">
        <v>136</v>
      </c>
      <c r="H409" s="0">
        <v>2</v>
      </c>
      <c r="I409" s="0" t="s">
        <v>27</v>
      </c>
      <c r="J409" s="0" t="s">
        <v>490</v>
      </c>
      <c r="K409" s="0">
        <v>1150</v>
      </c>
      <c r="L409" s="10">
        <v>3</v>
      </c>
      <c r="M409" s="0">
        <v>27</v>
      </c>
      <c r="N409" s="0">
        <v>6</v>
      </c>
      <c r="O409" s="10" t="s">
        <v>733</v>
      </c>
      <c r="P409" s="10"/>
      <c r="T409" s="0" t="str">
        <f>_xlfn.TEXTJOIN("_",TRUE,C409,"node_eff",D409,M409,N409)</f>
        <v>s1_node_eff_relic_27_6</v>
      </c>
    </row>
    <row r="410" spans="1:20" x14ac:dyDescent="0.45">
      <c r="A410" s="0" t="str">
        <f>_xlfn.TEXTJOIN("_",TRUE,C410,"node",D410,M410,N410)</f>
        <v>s1_node_relic_28_2</v>
      </c>
      <c r="B410" s="0" t="s">
        <v>0</v>
      </c>
      <c r="C410" s="0" t="s">
        <v>26</v>
      </c>
      <c r="D410" s="0" t="s">
        <v>104</v>
      </c>
      <c r="E410" s="0" t="str">
        <f>"s1_node_"&amp;D410&amp;"_name"</f>
        <v>s1_node_relic_name</v>
      </c>
      <c r="F410" s="10" t="str">
        <f>"s1_node_"&amp;D410&amp;"_desc"</f>
        <v>s1_node_relic_desc</v>
      </c>
      <c r="G410" s="0" t="s">
        <v>147</v>
      </c>
      <c r="H410" s="0">
        <v>2</v>
      </c>
      <c r="I410" s="0" t="s">
        <v>27</v>
      </c>
      <c r="J410" s="0" t="s">
        <v>226</v>
      </c>
      <c r="K410" s="0">
        <v>1190</v>
      </c>
      <c r="L410" s="10">
        <v>3</v>
      </c>
      <c r="M410" s="0">
        <v>28</v>
      </c>
      <c r="N410" s="0">
        <v>2</v>
      </c>
      <c r="O410" s="10" t="s">
        <v>734</v>
      </c>
      <c r="P410" s="10"/>
      <c r="T410" s="0" t="str">
        <f>_xlfn.TEXTJOIN("_",TRUE,C410,"node_eff",D410,M410,N410)</f>
        <v>s1_node_eff_relic_28_2</v>
      </c>
    </row>
    <row r="411" spans="1:20" x14ac:dyDescent="0.45">
      <c r="A411" s="0" t="str">
        <f>_xlfn.TEXTJOIN("_",TRUE,C411,"node",D411,M411,N411)</f>
        <v>s1_node_relic_28_6</v>
      </c>
      <c r="B411" s="0" t="s">
        <v>0</v>
      </c>
      <c r="C411" s="0" t="s">
        <v>26</v>
      </c>
      <c r="D411" s="0" t="s">
        <v>104</v>
      </c>
      <c r="E411" s="0" t="str">
        <f>"s1_node_"&amp;D411&amp;"_name"</f>
        <v>s1_node_relic_name</v>
      </c>
      <c r="F411" s="10" t="str">
        <f>"s1_node_"&amp;D411&amp;"_desc"</f>
        <v>s1_node_relic_desc</v>
      </c>
      <c r="G411" s="0" t="s">
        <v>672</v>
      </c>
      <c r="H411" s="0">
        <v>2</v>
      </c>
      <c r="I411" s="0" t="s">
        <v>27</v>
      </c>
      <c r="J411" s="0" t="s">
        <v>226</v>
      </c>
      <c r="K411" s="0">
        <v>1190</v>
      </c>
      <c r="L411" s="10">
        <v>3</v>
      </c>
      <c r="M411" s="0">
        <v>28</v>
      </c>
      <c r="N411" s="0">
        <v>6</v>
      </c>
      <c r="O411" s="10" t="s">
        <v>735</v>
      </c>
      <c r="P411" s="10"/>
      <c r="T411" s="0" t="str">
        <f>_xlfn.TEXTJOIN("_",TRUE,C411,"node_eff",D411,M411,N411)</f>
        <v>s1_node_eff_relic_28_6</v>
      </c>
    </row>
    <row r="412" spans="1:20" x14ac:dyDescent="0.45">
      <c r="A412" s="0" t="str">
        <f>_xlfn.TEXTJOIN("_",TRUE,C412,"node",D412,M412,N412)</f>
        <v>s1_node_relic_29_2</v>
      </c>
      <c r="B412" s="0" t="s">
        <v>0</v>
      </c>
      <c r="C412" s="0" t="s">
        <v>26</v>
      </c>
      <c r="D412" s="0" t="s">
        <v>104</v>
      </c>
      <c r="E412" s="0" t="str">
        <f>"s1_node_"&amp;D412&amp;"_name"</f>
        <v>s1_node_relic_name</v>
      </c>
      <c r="F412" s="10" t="str">
        <f>"s1_node_"&amp;D412&amp;"_desc"</f>
        <v>s1_node_relic_desc</v>
      </c>
      <c r="G412" s="0" t="s">
        <v>147</v>
      </c>
      <c r="H412" s="0">
        <v>2</v>
      </c>
      <c r="I412" s="0" t="s">
        <v>27</v>
      </c>
      <c r="J412" s="0" t="s">
        <v>496</v>
      </c>
      <c r="K412" s="0">
        <v>1220</v>
      </c>
      <c r="L412" s="10">
        <v>3</v>
      </c>
      <c r="M412" s="0">
        <v>29</v>
      </c>
      <c r="N412" s="0">
        <v>2</v>
      </c>
      <c r="O412" s="10" t="s">
        <v>736</v>
      </c>
      <c r="P412" s="10"/>
      <c r="T412" s="0" t="str">
        <f>_xlfn.TEXTJOIN("_",TRUE,C412,"node_eff",D412,M412,N412)</f>
        <v>s1_node_eff_relic_29_2</v>
      </c>
    </row>
    <row r="413" spans="1:20" x14ac:dyDescent="0.45">
      <c r="A413" s="0" t="str">
        <f>_xlfn.TEXTJOIN("_",TRUE,C413,"node",D413,M413,N413)</f>
        <v>s1_node_relic_29_6</v>
      </c>
      <c r="B413" s="0" t="s">
        <v>0</v>
      </c>
      <c r="C413" s="0" t="s">
        <v>26</v>
      </c>
      <c r="D413" s="0" t="s">
        <v>104</v>
      </c>
      <c r="E413" s="0" t="str">
        <f>"s1_node_"&amp;D413&amp;"_name"</f>
        <v>s1_node_relic_name</v>
      </c>
      <c r="F413" s="10" t="str">
        <f>"s1_node_"&amp;D413&amp;"_desc"</f>
        <v>s1_node_relic_desc</v>
      </c>
      <c r="G413" s="0" t="s">
        <v>417</v>
      </c>
      <c r="H413" s="0">
        <v>2</v>
      </c>
      <c r="I413" s="0" t="s">
        <v>27</v>
      </c>
      <c r="J413" s="0" t="s">
        <v>496</v>
      </c>
      <c r="K413" s="0">
        <v>1220</v>
      </c>
      <c r="L413" s="10">
        <v>3</v>
      </c>
      <c r="M413" s="0">
        <v>29</v>
      </c>
      <c r="N413" s="0">
        <v>6</v>
      </c>
      <c r="O413" s="10" t="s">
        <v>737</v>
      </c>
      <c r="P413" s="10"/>
      <c r="T413" s="0" t="str">
        <f>_xlfn.TEXTJOIN("_",TRUE,C413,"node_eff",D413,M413,N413)</f>
        <v>s1_node_eff_relic_29_6</v>
      </c>
    </row>
    <row r="414" spans="1:20" x14ac:dyDescent="0.45">
      <c r="A414" s="0" t="str">
        <f>_xlfn.TEXTJOIN("_",TRUE,C414,"node",D414,M414,N414)</f>
        <v>s1_node_relic_30_2</v>
      </c>
      <c r="B414" s="0" t="s">
        <v>0</v>
      </c>
      <c r="C414" s="0" t="s">
        <v>26</v>
      </c>
      <c r="D414" s="0" t="s">
        <v>104</v>
      </c>
      <c r="E414" s="0" t="str">
        <f>"s1_node_"&amp;D414&amp;"_name"</f>
        <v>s1_node_relic_name</v>
      </c>
      <c r="F414" s="10" t="str">
        <f>"s1_node_"&amp;D414&amp;"_desc"</f>
        <v>s1_node_relic_desc</v>
      </c>
      <c r="G414" s="0" t="s">
        <v>136</v>
      </c>
      <c r="H414" s="0">
        <v>2</v>
      </c>
      <c r="I414" s="0" t="s">
        <v>27</v>
      </c>
      <c r="J414" s="0" t="s">
        <v>232</v>
      </c>
      <c r="K414" s="0">
        <v>1260</v>
      </c>
      <c r="L414" s="10">
        <v>3</v>
      </c>
      <c r="M414" s="0">
        <v>30</v>
      </c>
      <c r="N414" s="0">
        <v>2</v>
      </c>
      <c r="O414" s="10" t="s">
        <v>738</v>
      </c>
      <c r="P414" s="10"/>
      <c r="T414" s="0" t="str">
        <f>_xlfn.TEXTJOIN("_",TRUE,C414,"node_eff",D414,M414,N414)</f>
        <v>s1_node_eff_relic_30_2</v>
      </c>
    </row>
    <row r="415" spans="1:20" x14ac:dyDescent="0.45">
      <c r="A415" s="0" t="str">
        <f>_xlfn.TEXTJOIN("_",TRUE,C415,"node",D415,M415,N415)</f>
        <v>s1_node_relic_30_6</v>
      </c>
      <c r="B415" s="0" t="s">
        <v>0</v>
      </c>
      <c r="C415" s="0" t="s">
        <v>26</v>
      </c>
      <c r="D415" s="0" t="s">
        <v>104</v>
      </c>
      <c r="E415" s="0" t="str">
        <f>"s1_node_"&amp;D415&amp;"_name"</f>
        <v>s1_node_relic_name</v>
      </c>
      <c r="F415" s="10" t="str">
        <f>"s1_node_"&amp;D415&amp;"_desc"</f>
        <v>s1_node_relic_desc</v>
      </c>
      <c r="G415" s="0" t="s">
        <v>147</v>
      </c>
      <c r="H415" s="0">
        <v>2</v>
      </c>
      <c r="I415" s="0" t="s">
        <v>27</v>
      </c>
      <c r="J415" s="0" t="s">
        <v>232</v>
      </c>
      <c r="K415" s="0">
        <v>1260</v>
      </c>
      <c r="L415" s="10">
        <v>3</v>
      </c>
      <c r="M415" s="0">
        <v>30</v>
      </c>
      <c r="N415" s="0">
        <v>6</v>
      </c>
      <c r="O415" s="10" t="s">
        <v>739</v>
      </c>
      <c r="P415" s="10"/>
      <c r="T415" s="0" t="str">
        <f>_xlfn.TEXTJOIN("_",TRUE,C415,"node_eff",D415,M415,N415)</f>
        <v>s1_node_eff_relic_30_6</v>
      </c>
    </row>
    <row r="416" spans="1:20" x14ac:dyDescent="0.45">
      <c r="A416" s="0" t="str">
        <f>_xlfn.TEXTJOIN("_",TRUE,C416,"node",D416,M416,N416)</f>
        <v>s1_node_relic_31_4</v>
      </c>
      <c r="B416" s="0" t="s">
        <v>0</v>
      </c>
      <c r="C416" s="0" t="s">
        <v>26</v>
      </c>
      <c r="D416" s="0" t="s">
        <v>104</v>
      </c>
      <c r="E416" s="0" t="str">
        <f>"s1_node_"&amp;D416&amp;"_name"</f>
        <v>s1_node_relic_name</v>
      </c>
      <c r="F416" s="10" t="str">
        <f>"s1_node_"&amp;D416&amp;"_desc"</f>
        <v>s1_node_relic_desc</v>
      </c>
      <c r="G416" s="0" t="s">
        <v>147</v>
      </c>
      <c r="H416" s="0">
        <v>2</v>
      </c>
      <c r="I416" s="0" t="s">
        <v>27</v>
      </c>
      <c r="J416" s="0" t="s">
        <v>235</v>
      </c>
      <c r="K416" s="0">
        <v>1300</v>
      </c>
      <c r="L416" s="10">
        <v>3</v>
      </c>
      <c r="M416" s="0">
        <v>31</v>
      </c>
      <c r="N416" s="0">
        <v>4</v>
      </c>
      <c r="O416" s="10" t="s">
        <v>740</v>
      </c>
      <c r="P416" s="10" t="s">
        <v>741</v>
      </c>
      <c r="T416" s="0" t="str">
        <f>_xlfn.TEXTJOIN("_",TRUE,C416,"node_eff",D416,M416,N416)</f>
        <v>s1_node_eff_relic_31_4</v>
      </c>
    </row>
    <row r="417" spans="1:20" x14ac:dyDescent="0.45">
      <c r="A417" s="0" t="str">
        <f>_xlfn.TEXTJOIN("_",TRUE,C417,"node",D417,M417,N417)</f>
        <v>s1_node_relic_32_2</v>
      </c>
      <c r="B417" s="0" t="s">
        <v>0</v>
      </c>
      <c r="C417" s="0" t="s">
        <v>26</v>
      </c>
      <c r="D417" s="0" t="s">
        <v>104</v>
      </c>
      <c r="E417" s="0" t="str">
        <f>"s1_node_"&amp;D417&amp;"_name"</f>
        <v>s1_node_relic_name</v>
      </c>
      <c r="F417" s="10" t="str">
        <f>"s1_node_"&amp;D417&amp;"_desc"</f>
        <v>s1_node_relic_desc</v>
      </c>
      <c r="G417" s="0" t="s">
        <v>691</v>
      </c>
      <c r="H417" s="0">
        <v>2</v>
      </c>
      <c r="I417" s="0" t="s">
        <v>27</v>
      </c>
      <c r="J417" s="0" t="s">
        <v>742</v>
      </c>
      <c r="K417" s="0">
        <v>1340</v>
      </c>
      <c r="L417" s="10">
        <v>3</v>
      </c>
      <c r="M417" s="0">
        <v>32</v>
      </c>
      <c r="N417" s="0">
        <v>2</v>
      </c>
      <c r="O417" s="10" t="s">
        <v>743</v>
      </c>
      <c r="P417" s="10"/>
      <c r="T417" s="0" t="str">
        <f>_xlfn.TEXTJOIN("_",TRUE,C417,"node_eff",D417,M417,N417)</f>
        <v>s1_node_eff_relic_32_2</v>
      </c>
    </row>
    <row r="418" spans="1:20" x14ac:dyDescent="0.45">
      <c r="A418" s="0" t="str">
        <f>_xlfn.TEXTJOIN("_",TRUE,C418,"node",D418,M418,N418)</f>
        <v>s1_node_relic_32_6</v>
      </c>
      <c r="B418" s="0" t="s">
        <v>0</v>
      </c>
      <c r="C418" s="0" t="s">
        <v>26</v>
      </c>
      <c r="D418" s="0" t="s">
        <v>104</v>
      </c>
      <c r="E418" s="0" t="str">
        <f>"s1_node_"&amp;D418&amp;"_name"</f>
        <v>s1_node_relic_name</v>
      </c>
      <c r="F418" s="10" t="str">
        <f>"s1_node_"&amp;D418&amp;"_desc"</f>
        <v>s1_node_relic_desc</v>
      </c>
      <c r="G418" s="0" t="s">
        <v>147</v>
      </c>
      <c r="H418" s="0">
        <v>2</v>
      </c>
      <c r="I418" s="0" t="s">
        <v>27</v>
      </c>
      <c r="J418" s="0" t="s">
        <v>742</v>
      </c>
      <c r="K418" s="0">
        <v>1340</v>
      </c>
      <c r="L418" s="10">
        <v>3</v>
      </c>
      <c r="M418" s="0">
        <v>32</v>
      </c>
      <c r="N418" s="0">
        <v>6</v>
      </c>
      <c r="O418" s="10" t="s">
        <v>743</v>
      </c>
      <c r="P418" s="10"/>
      <c r="T418" s="0" t="str">
        <f>_xlfn.TEXTJOIN("_",TRUE,C418,"node_eff",D418,M418,N418)</f>
        <v>s1_node_eff_relic_32_6</v>
      </c>
    </row>
    <row r="419" spans="1:20" x14ac:dyDescent="0.45">
      <c r="A419" s="0" t="str">
        <f>_xlfn.TEXTJOIN("_",TRUE,C419,"node",D419,M419,N419)</f>
        <v>s1_node_relic_33_2</v>
      </c>
      <c r="B419" s="0" t="s">
        <v>0</v>
      </c>
      <c r="C419" s="0" t="s">
        <v>26</v>
      </c>
      <c r="D419" s="0" t="s">
        <v>104</v>
      </c>
      <c r="E419" s="0" t="str">
        <f>"s1_node_"&amp;D419&amp;"_name"</f>
        <v>s1_node_relic_name</v>
      </c>
      <c r="F419" s="10" t="str">
        <f>"s1_node_"&amp;D419&amp;"_desc"</f>
        <v>s1_node_relic_desc</v>
      </c>
      <c r="G419" s="0" t="s">
        <v>672</v>
      </c>
      <c r="H419" s="0">
        <v>2</v>
      </c>
      <c r="I419" s="0" t="s">
        <v>27</v>
      </c>
      <c r="J419" s="0" t="s">
        <v>744</v>
      </c>
      <c r="K419" s="0">
        <v>1380</v>
      </c>
      <c r="L419" s="10">
        <v>3</v>
      </c>
      <c r="M419" s="0">
        <v>33</v>
      </c>
      <c r="N419" s="0">
        <v>2</v>
      </c>
      <c r="O419" s="10" t="s">
        <v>745</v>
      </c>
      <c r="P419" s="10"/>
      <c r="T419" s="0" t="str">
        <f>_xlfn.TEXTJOIN("_",TRUE,C419,"node_eff",D419,M419,N419)</f>
        <v>s1_node_eff_relic_33_2</v>
      </c>
    </row>
    <row r="420" spans="1:20" x14ac:dyDescent="0.45">
      <c r="A420" s="0" t="str">
        <f>_xlfn.TEXTJOIN("_",TRUE,C420,"node",D420,M420,N420)</f>
        <v>s1_node_relic_33_6</v>
      </c>
      <c r="B420" s="0" t="s">
        <v>0</v>
      </c>
      <c r="C420" s="0" t="s">
        <v>26</v>
      </c>
      <c r="D420" s="0" t="s">
        <v>104</v>
      </c>
      <c r="E420" s="0" t="str">
        <f>"s1_node_"&amp;D420&amp;"_name"</f>
        <v>s1_node_relic_name</v>
      </c>
      <c r="F420" s="10" t="str">
        <f>"s1_node_"&amp;D420&amp;"_desc"</f>
        <v>s1_node_relic_desc</v>
      </c>
      <c r="G420" s="0" t="s">
        <v>147</v>
      </c>
      <c r="H420" s="0">
        <v>2</v>
      </c>
      <c r="I420" s="0" t="s">
        <v>27</v>
      </c>
      <c r="J420" s="0" t="s">
        <v>744</v>
      </c>
      <c r="K420" s="0">
        <v>1380</v>
      </c>
      <c r="L420" s="10">
        <v>3</v>
      </c>
      <c r="M420" s="0">
        <v>33</v>
      </c>
      <c r="N420" s="0">
        <v>6</v>
      </c>
      <c r="O420" s="10" t="s">
        <v>746</v>
      </c>
      <c r="P420" s="10"/>
      <c r="T420" s="0" t="str">
        <f>_xlfn.TEXTJOIN("_",TRUE,C420,"node_eff",D420,M420,N420)</f>
        <v>s1_node_eff_relic_33_6</v>
      </c>
    </row>
    <row r="421" spans="1:20" x14ac:dyDescent="0.45">
      <c r="A421" s="0" t="str">
        <f>_xlfn.TEXTJOIN("_",TRUE,C421,"node",D421,M421,N421)</f>
        <v>s1_node_relic_34_2</v>
      </c>
      <c r="B421" s="0" t="s">
        <v>0</v>
      </c>
      <c r="C421" s="0" t="s">
        <v>26</v>
      </c>
      <c r="D421" s="0" t="s">
        <v>104</v>
      </c>
      <c r="E421" s="0" t="str">
        <f>"s1_node_"&amp;D421&amp;"_name"</f>
        <v>s1_node_relic_name</v>
      </c>
      <c r="F421" s="10" t="str">
        <f>"s1_node_"&amp;D421&amp;"_desc"</f>
        <v>s1_node_relic_desc</v>
      </c>
      <c r="G421" s="0" t="s">
        <v>140</v>
      </c>
      <c r="H421" s="0">
        <v>2</v>
      </c>
      <c r="I421" s="0" t="s">
        <v>27</v>
      </c>
      <c r="J421" s="0" t="s">
        <v>747</v>
      </c>
      <c r="K421" s="0">
        <v>1410</v>
      </c>
      <c r="L421" s="10">
        <v>3</v>
      </c>
      <c r="M421" s="0">
        <v>34</v>
      </c>
      <c r="N421" s="0">
        <v>2</v>
      </c>
      <c r="O421" s="10" t="s">
        <v>748</v>
      </c>
      <c r="P421" s="10"/>
      <c r="T421" s="0" t="str">
        <f>_xlfn.TEXTJOIN("_",TRUE,C421,"node_eff",D421,M421,N421)</f>
        <v>s1_node_eff_relic_34_2</v>
      </c>
    </row>
    <row r="422" spans="1:20" x14ac:dyDescent="0.45">
      <c r="A422" s="0" t="str">
        <f>_xlfn.TEXTJOIN("_",TRUE,C422,"node",D422,M422,N422)</f>
        <v>s1_node_relic_34_6</v>
      </c>
      <c r="B422" s="0" t="s">
        <v>0</v>
      </c>
      <c r="C422" s="0" t="s">
        <v>26</v>
      </c>
      <c r="D422" s="0" t="s">
        <v>104</v>
      </c>
      <c r="E422" s="0" t="str">
        <f>"s1_node_"&amp;D422&amp;"_name"</f>
        <v>s1_node_relic_name</v>
      </c>
      <c r="F422" s="10" t="str">
        <f>"s1_node_"&amp;D422&amp;"_desc"</f>
        <v>s1_node_relic_desc</v>
      </c>
      <c r="G422" s="0" t="s">
        <v>136</v>
      </c>
      <c r="H422" s="0">
        <v>2</v>
      </c>
      <c r="I422" s="0" t="s">
        <v>27</v>
      </c>
      <c r="J422" s="0" t="s">
        <v>747</v>
      </c>
      <c r="K422" s="0">
        <v>1410</v>
      </c>
      <c r="L422" s="10">
        <v>3</v>
      </c>
      <c r="M422" s="0">
        <v>34</v>
      </c>
      <c r="N422" s="0">
        <v>6</v>
      </c>
      <c r="O422" s="10" t="s">
        <v>749</v>
      </c>
      <c r="P422" s="10"/>
      <c r="T422" s="0" t="str">
        <f>_xlfn.TEXTJOIN("_",TRUE,C422,"node_eff",D422,M422,N422)</f>
        <v>s1_node_eff_relic_34_6</v>
      </c>
    </row>
    <row r="423" spans="1:20" x14ac:dyDescent="0.45">
      <c r="A423" s="0" t="str">
        <f>_xlfn.TEXTJOIN("_",TRUE,C423,"node",D423,M423,N423)</f>
        <v>s1_node_relic_35_2</v>
      </c>
      <c r="B423" s="0" t="s">
        <v>0</v>
      </c>
      <c r="C423" s="0" t="s">
        <v>26</v>
      </c>
      <c r="D423" s="0" t="s">
        <v>104</v>
      </c>
      <c r="E423" s="0" t="str">
        <f>"s1_node_"&amp;D423&amp;"_name"</f>
        <v>s1_node_relic_name</v>
      </c>
      <c r="F423" s="10" t="str">
        <f>"s1_node_"&amp;D423&amp;"_desc"</f>
        <v>s1_node_relic_desc</v>
      </c>
      <c r="G423" s="0" t="s">
        <v>147</v>
      </c>
      <c r="H423" s="0">
        <v>2</v>
      </c>
      <c r="I423" s="0" t="s">
        <v>27</v>
      </c>
      <c r="J423" s="0" t="s">
        <v>750</v>
      </c>
      <c r="K423" s="0">
        <v>1450</v>
      </c>
      <c r="L423" s="10">
        <v>3</v>
      </c>
      <c r="M423" s="0">
        <v>35</v>
      </c>
      <c r="N423" s="0">
        <v>2</v>
      </c>
      <c r="O423" s="10" t="s">
        <v>751</v>
      </c>
      <c r="P423" s="10"/>
      <c r="T423" s="0" t="str">
        <f>_xlfn.TEXTJOIN("_",TRUE,C423,"node_eff",D423,M423,N423)</f>
        <v>s1_node_eff_relic_35_2</v>
      </c>
    </row>
    <row r="424" spans="1:20" x14ac:dyDescent="0.45">
      <c r="A424" s="0" t="str">
        <f>_xlfn.TEXTJOIN("_",TRUE,C424,"node",D424,M424,N424)</f>
        <v>s1_node_relic_35_6</v>
      </c>
      <c r="B424" s="0" t="s">
        <v>0</v>
      </c>
      <c r="C424" s="0" t="s">
        <v>26</v>
      </c>
      <c r="D424" s="0" t="s">
        <v>104</v>
      </c>
      <c r="E424" s="0" t="str">
        <f>"s1_node_"&amp;D424&amp;"_name"</f>
        <v>s1_node_relic_name</v>
      </c>
      <c r="F424" s="10" t="str">
        <f>"s1_node_"&amp;D424&amp;"_desc"</f>
        <v>s1_node_relic_desc</v>
      </c>
      <c r="G424" s="0" t="s">
        <v>147</v>
      </c>
      <c r="H424" s="0">
        <v>2</v>
      </c>
      <c r="I424" s="0" t="s">
        <v>27</v>
      </c>
      <c r="J424" s="0" t="s">
        <v>750</v>
      </c>
      <c r="K424" s="0">
        <v>1450</v>
      </c>
      <c r="L424" s="10">
        <v>3</v>
      </c>
      <c r="M424" s="0">
        <v>35</v>
      </c>
      <c r="N424" s="0">
        <v>6</v>
      </c>
      <c r="O424" s="10" t="s">
        <v>752</v>
      </c>
      <c r="P424" s="10"/>
      <c r="T424" s="0" t="str">
        <f>_xlfn.TEXTJOIN("_",TRUE,C424,"node_eff",D424,M424,N424)</f>
        <v>s1_node_eff_relic_35_6</v>
      </c>
    </row>
    <row r="425" spans="1:20" x14ac:dyDescent="0.45">
      <c r="A425" s="0" t="str">
        <f>_xlfn.TEXTJOIN("_",TRUE,C425,"node",D425,M425,N425)</f>
        <v>s1_node_relic_36_4</v>
      </c>
      <c r="B425" s="0" t="s">
        <v>0</v>
      </c>
      <c r="C425" s="0" t="s">
        <v>26</v>
      </c>
      <c r="D425" s="0" t="s">
        <v>104</v>
      </c>
      <c r="E425" s="0" t="str">
        <f>"s1_node_"&amp;D425&amp;"_name"</f>
        <v>s1_node_relic_name</v>
      </c>
      <c r="F425" s="10" t="str">
        <f>"s1_node_"&amp;D425&amp;"_desc"</f>
        <v>s1_node_relic_desc</v>
      </c>
      <c r="G425" s="0" t="s">
        <v>691</v>
      </c>
      <c r="H425" s="0">
        <v>2</v>
      </c>
      <c r="I425" s="0" t="s">
        <v>27</v>
      </c>
      <c r="J425" s="0" t="s">
        <v>753</v>
      </c>
      <c r="K425" s="0">
        <v>1490</v>
      </c>
      <c r="L425" s="10">
        <v>3</v>
      </c>
      <c r="M425" s="0">
        <v>36</v>
      </c>
      <c r="N425" s="0">
        <v>4</v>
      </c>
      <c r="O425" s="10" t="s">
        <v>754</v>
      </c>
      <c r="P425" s="10" t="s">
        <v>755</v>
      </c>
      <c r="T425" s="0" t="str">
        <f>_xlfn.TEXTJOIN("_",TRUE,C425,"node_eff",D425,M425,N425)</f>
        <v>s1_node_eff_relic_36_4</v>
      </c>
    </row>
    <row r="426" spans="1:20" x14ac:dyDescent="0.45">
      <c r="A426" s="0" t="str">
        <f>_xlfn.TEXTJOIN("_",TRUE,C426,"node",D426,M426,N426)</f>
        <v>s1_node_relic_37_2</v>
      </c>
      <c r="B426" s="0" t="s">
        <v>0</v>
      </c>
      <c r="C426" s="0" t="s">
        <v>26</v>
      </c>
      <c r="D426" s="0" t="s">
        <v>104</v>
      </c>
      <c r="E426" s="0" t="str">
        <f>"s1_node_"&amp;D426&amp;"_name"</f>
        <v>s1_node_relic_name</v>
      </c>
      <c r="F426" s="10" t="str">
        <f>"s1_node_"&amp;D426&amp;"_desc"</f>
        <v>s1_node_relic_desc</v>
      </c>
      <c r="G426" s="0" t="s">
        <v>136</v>
      </c>
      <c r="H426" s="0">
        <v>2</v>
      </c>
      <c r="I426" s="0" t="s">
        <v>27</v>
      </c>
      <c r="J426" s="0" t="s">
        <v>756</v>
      </c>
      <c r="K426" s="0">
        <v>1530</v>
      </c>
      <c r="L426" s="10">
        <v>3</v>
      </c>
      <c r="M426" s="0">
        <v>37</v>
      </c>
      <c r="N426" s="0">
        <v>2</v>
      </c>
      <c r="O426" s="10" t="s">
        <v>757</v>
      </c>
      <c r="P426" s="10"/>
      <c r="T426" s="0" t="str">
        <f>_xlfn.TEXTJOIN("_",TRUE,C426,"node_eff",D426,M426,N426)</f>
        <v>s1_node_eff_relic_37_2</v>
      </c>
    </row>
    <row r="427" spans="1:20" x14ac:dyDescent="0.45">
      <c r="A427" s="0" t="str">
        <f>_xlfn.TEXTJOIN("_",TRUE,C427,"node",D427,M427,N427)</f>
        <v>s1_node_relic_37_6</v>
      </c>
      <c r="B427" s="0" t="s">
        <v>0</v>
      </c>
      <c r="C427" s="0" t="s">
        <v>26</v>
      </c>
      <c r="D427" s="0" t="s">
        <v>104</v>
      </c>
      <c r="E427" s="0" t="str">
        <f>"s1_node_"&amp;D427&amp;"_name"</f>
        <v>s1_node_relic_name</v>
      </c>
      <c r="F427" s="10" t="str">
        <f>"s1_node_"&amp;D427&amp;"_desc"</f>
        <v>s1_node_relic_desc</v>
      </c>
      <c r="G427" s="0" t="s">
        <v>672</v>
      </c>
      <c r="H427" s="0">
        <v>2</v>
      </c>
      <c r="I427" s="0" t="s">
        <v>27</v>
      </c>
      <c r="J427" s="0" t="s">
        <v>756</v>
      </c>
      <c r="K427" s="0">
        <v>1530</v>
      </c>
      <c r="L427" s="10">
        <v>3</v>
      </c>
      <c r="M427" s="0">
        <v>37</v>
      </c>
      <c r="N427" s="0">
        <v>6</v>
      </c>
      <c r="O427" s="10" t="s">
        <v>757</v>
      </c>
      <c r="P427" s="10"/>
      <c r="T427" s="0" t="str">
        <f>_xlfn.TEXTJOIN("_",TRUE,C427,"node_eff",D427,M427,N427)</f>
        <v>s1_node_eff_relic_37_6</v>
      </c>
    </row>
    <row r="428" spans="1:20" x14ac:dyDescent="0.45">
      <c r="A428" s="0" t="str">
        <f>_xlfn.TEXTJOIN("_",TRUE,C428,"node",D428,M428,N428)</f>
        <v>s1_node_relic_38_2</v>
      </c>
      <c r="B428" s="0" t="s">
        <v>0</v>
      </c>
      <c r="C428" s="0" t="s">
        <v>26</v>
      </c>
      <c r="D428" s="0" t="s">
        <v>104</v>
      </c>
      <c r="E428" s="0" t="str">
        <f>"s1_node_"&amp;D428&amp;"_name"</f>
        <v>s1_node_relic_name</v>
      </c>
      <c r="F428" s="10" t="str">
        <f>"s1_node_"&amp;D428&amp;"_desc"</f>
        <v>s1_node_relic_desc</v>
      </c>
      <c r="G428" s="0" t="s">
        <v>147</v>
      </c>
      <c r="H428" s="0">
        <v>2</v>
      </c>
      <c r="I428" s="0" t="s">
        <v>27</v>
      </c>
      <c r="J428" s="0" t="s">
        <v>257</v>
      </c>
      <c r="K428" s="0">
        <v>1570</v>
      </c>
      <c r="L428" s="10">
        <v>3</v>
      </c>
      <c r="M428" s="0">
        <v>38</v>
      </c>
      <c r="N428" s="0">
        <v>2</v>
      </c>
      <c r="O428" s="10" t="s">
        <v>758</v>
      </c>
      <c r="P428" s="10"/>
      <c r="T428" s="0" t="str">
        <f>_xlfn.TEXTJOIN("_",TRUE,C428,"node_eff",D428,M428,N428)</f>
        <v>s1_node_eff_relic_38_2</v>
      </c>
    </row>
    <row r="429" spans="1:20" x14ac:dyDescent="0.45">
      <c r="A429" s="0" t="str">
        <f>_xlfn.TEXTJOIN("_",TRUE,C429,"node",D429,M429,N429)</f>
        <v>s1_node_relic_38_6</v>
      </c>
      <c r="B429" s="0" t="s">
        <v>0</v>
      </c>
      <c r="C429" s="0" t="s">
        <v>26</v>
      </c>
      <c r="D429" s="0" t="s">
        <v>104</v>
      </c>
      <c r="E429" s="0" t="str">
        <f>"s1_node_"&amp;D429&amp;"_name"</f>
        <v>s1_node_relic_name</v>
      </c>
      <c r="F429" s="10" t="str">
        <f>"s1_node_"&amp;D429&amp;"_desc"</f>
        <v>s1_node_relic_desc</v>
      </c>
      <c r="G429" s="0" t="s">
        <v>140</v>
      </c>
      <c r="H429" s="0">
        <v>2</v>
      </c>
      <c r="I429" s="0" t="s">
        <v>27</v>
      </c>
      <c r="J429" s="0" t="s">
        <v>257</v>
      </c>
      <c r="K429" s="0">
        <v>1570</v>
      </c>
      <c r="L429" s="10">
        <v>3</v>
      </c>
      <c r="M429" s="0">
        <v>38</v>
      </c>
      <c r="N429" s="0">
        <v>6</v>
      </c>
      <c r="O429" s="10" t="s">
        <v>759</v>
      </c>
      <c r="P429" s="10"/>
      <c r="T429" s="0" t="str">
        <f>_xlfn.TEXTJOIN("_",TRUE,C429,"node_eff",D429,M429,N429)</f>
        <v>s1_node_eff_relic_38_6</v>
      </c>
    </row>
    <row r="430" spans="1:20" x14ac:dyDescent="0.45">
      <c r="A430" s="0" t="str">
        <f>_xlfn.TEXTJOIN("_",TRUE,C430,"node",D430,M430,N430)</f>
        <v>s1_node_relic_39_2</v>
      </c>
      <c r="B430" s="0" t="s">
        <v>0</v>
      </c>
      <c r="C430" s="0" t="s">
        <v>26</v>
      </c>
      <c r="D430" s="0" t="s">
        <v>104</v>
      </c>
      <c r="E430" s="0" t="str">
        <f>"s1_node_"&amp;D430&amp;"_name"</f>
        <v>s1_node_relic_name</v>
      </c>
      <c r="F430" s="10" t="str">
        <f>"s1_node_"&amp;D430&amp;"_desc"</f>
        <v>s1_node_relic_desc</v>
      </c>
      <c r="G430" s="0" t="s">
        <v>417</v>
      </c>
      <c r="H430" s="0">
        <v>2</v>
      </c>
      <c r="I430" s="0" t="s">
        <v>27</v>
      </c>
      <c r="J430" s="0" t="s">
        <v>760</v>
      </c>
      <c r="K430" s="0">
        <v>1600</v>
      </c>
      <c r="L430" s="10">
        <v>3</v>
      </c>
      <c r="M430" s="0">
        <v>39</v>
      </c>
      <c r="N430" s="0">
        <v>2</v>
      </c>
      <c r="O430" s="10" t="s">
        <v>761</v>
      </c>
      <c r="P430" s="10"/>
      <c r="T430" s="0" t="str">
        <f>_xlfn.TEXTJOIN("_",TRUE,C430,"node_eff",D430,M430,N430)</f>
        <v>s1_node_eff_relic_39_2</v>
      </c>
    </row>
    <row r="431" spans="1:20" x14ac:dyDescent="0.45">
      <c r="A431" s="0" t="str">
        <f>_xlfn.TEXTJOIN("_",TRUE,C431,"node",D431,M431,N431)</f>
        <v>s1_node_relic_39_6</v>
      </c>
      <c r="B431" s="0" t="s">
        <v>0</v>
      </c>
      <c r="C431" s="0" t="s">
        <v>26</v>
      </c>
      <c r="D431" s="0" t="s">
        <v>104</v>
      </c>
      <c r="E431" s="0" t="str">
        <f>"s1_node_"&amp;D431&amp;"_name"</f>
        <v>s1_node_relic_name</v>
      </c>
      <c r="F431" s="10" t="str">
        <f>"s1_node_"&amp;D431&amp;"_desc"</f>
        <v>s1_node_relic_desc</v>
      </c>
      <c r="G431" s="0" t="s">
        <v>147</v>
      </c>
      <c r="H431" s="0">
        <v>2</v>
      </c>
      <c r="I431" s="0" t="s">
        <v>27</v>
      </c>
      <c r="J431" s="0" t="s">
        <v>760</v>
      </c>
      <c r="K431" s="0">
        <v>1600</v>
      </c>
      <c r="L431" s="10">
        <v>3</v>
      </c>
      <c r="M431" s="0">
        <v>39</v>
      </c>
      <c r="N431" s="0">
        <v>6</v>
      </c>
      <c r="O431" s="10" t="s">
        <v>762</v>
      </c>
      <c r="P431" s="10"/>
      <c r="T431" s="0" t="str">
        <f>_xlfn.TEXTJOIN("_",TRUE,C431,"node_eff",D431,M431,N431)</f>
        <v>s1_node_eff_relic_39_6</v>
      </c>
    </row>
    <row r="432" spans="1:20" x14ac:dyDescent="0.45">
      <c r="A432" s="0" t="str">
        <f>_xlfn.TEXTJOIN("_",TRUE,C432,"node",D432,M432,N432)</f>
        <v>s1_node_relic_40_2</v>
      </c>
      <c r="B432" s="0" t="s">
        <v>0</v>
      </c>
      <c r="C432" s="0" t="s">
        <v>26</v>
      </c>
      <c r="D432" s="0" t="s">
        <v>104</v>
      </c>
      <c r="E432" s="0" t="str">
        <f>"s1_node_"&amp;D432&amp;"_name"</f>
        <v>s1_node_relic_name</v>
      </c>
      <c r="F432" s="10" t="str">
        <f>"s1_node_"&amp;D432&amp;"_desc"</f>
        <v>s1_node_relic_desc</v>
      </c>
      <c r="G432" s="0" t="s">
        <v>147</v>
      </c>
      <c r="H432" s="0">
        <v>2</v>
      </c>
      <c r="I432" s="0" t="s">
        <v>27</v>
      </c>
      <c r="J432" s="0" t="s">
        <v>263</v>
      </c>
      <c r="K432" s="0">
        <v>1640</v>
      </c>
      <c r="L432" s="10">
        <v>3</v>
      </c>
      <c r="M432" s="0">
        <v>40</v>
      </c>
      <c r="N432" s="0">
        <v>2</v>
      </c>
      <c r="O432" s="10" t="s">
        <v>763</v>
      </c>
      <c r="P432" s="10"/>
      <c r="T432" s="0" t="str">
        <f>_xlfn.TEXTJOIN("_",TRUE,C432,"node_eff",D432,M432,N432)</f>
        <v>s1_node_eff_relic_40_2</v>
      </c>
    </row>
    <row r="433" spans="1:20" x14ac:dyDescent="0.45">
      <c r="A433" s="0" t="str">
        <f>_xlfn.TEXTJOIN("_",TRUE,C433,"node",D433,M433,N433)</f>
        <v>s1_node_relic_40_6</v>
      </c>
      <c r="B433" s="0" t="s">
        <v>0</v>
      </c>
      <c r="C433" s="0" t="s">
        <v>26</v>
      </c>
      <c r="D433" s="0" t="s">
        <v>104</v>
      </c>
      <c r="E433" s="0" t="str">
        <f>"s1_node_"&amp;D433&amp;"_name"</f>
        <v>s1_node_relic_name</v>
      </c>
      <c r="F433" s="10" t="str">
        <f>"s1_node_"&amp;D433&amp;"_desc"</f>
        <v>s1_node_relic_desc</v>
      </c>
      <c r="G433" s="0" t="s">
        <v>691</v>
      </c>
      <c r="H433" s="0">
        <v>2</v>
      </c>
      <c r="I433" s="0" t="s">
        <v>27</v>
      </c>
      <c r="J433" s="0" t="s">
        <v>263</v>
      </c>
      <c r="K433" s="0">
        <v>1640</v>
      </c>
      <c r="L433" s="10">
        <v>3</v>
      </c>
      <c r="M433" s="0">
        <v>40</v>
      </c>
      <c r="N433" s="0">
        <v>6</v>
      </c>
      <c r="O433" s="10" t="s">
        <v>764</v>
      </c>
      <c r="P433" s="10"/>
      <c r="T433" s="0" t="str">
        <f>_xlfn.TEXTJOIN("_",TRUE,C433,"node_eff",D433,M433,N433)</f>
        <v>s1_node_eff_relic_40_6</v>
      </c>
    </row>
    <row r="434" spans="1:20" x14ac:dyDescent="0.45">
      <c r="A434" s="0" t="str">
        <f>_xlfn.TEXTJOIN("_",TRUE,C434,"node",D434,M434,N434)</f>
        <v>s1_node_relic_41_4</v>
      </c>
      <c r="B434" s="0" t="s">
        <v>0</v>
      </c>
      <c r="C434" s="0" t="s">
        <v>26</v>
      </c>
      <c r="D434" s="0" t="s">
        <v>104</v>
      </c>
      <c r="E434" s="0" t="str">
        <f>"s1_node_"&amp;D434&amp;"_name"</f>
        <v>s1_node_relic_name</v>
      </c>
      <c r="F434" s="10" t="str">
        <f>"s1_node_"&amp;D434&amp;"_desc"</f>
        <v>s1_node_relic_desc</v>
      </c>
      <c r="G434" s="0" t="s">
        <v>136</v>
      </c>
      <c r="H434" s="0">
        <v>3</v>
      </c>
      <c r="I434" s="0" t="s">
        <v>27</v>
      </c>
      <c r="J434" s="0" t="s">
        <v>266</v>
      </c>
      <c r="K434" s="0">
        <v>1680</v>
      </c>
      <c r="L434" s="10">
        <v>3</v>
      </c>
      <c r="M434" s="0">
        <v>41</v>
      </c>
      <c r="N434" s="0">
        <v>4</v>
      </c>
      <c r="O434" s="0" t="s">
        <v>765</v>
      </c>
      <c r="P434" s="0" t="s">
        <v>766</v>
      </c>
      <c r="T434" s="0" t="str">
        <f>_xlfn.TEXTJOIN("_",TRUE,C434,"node_eff",D434,M434,N434)</f>
        <v>s1_node_eff_relic_41_4</v>
      </c>
    </row>
    <row r="435" spans="1:20" x14ac:dyDescent="0.45">
      <c r="A435" s="0" t="str">
        <f>_xlfn.TEXTJOIN("_",TRUE,C435,"node",D435,M435,N435)</f>
        <v>s1_node_relic_42_2</v>
      </c>
      <c r="B435" s="0" t="s">
        <v>0</v>
      </c>
      <c r="C435" s="0" t="s">
        <v>26</v>
      </c>
      <c r="D435" s="0" t="s">
        <v>104</v>
      </c>
      <c r="E435" s="0" t="str">
        <f>"s1_node_"&amp;D435&amp;"_name"</f>
        <v>s1_node_relic_name</v>
      </c>
      <c r="F435" s="10" t="str">
        <f>"s1_node_"&amp;D435&amp;"_desc"</f>
        <v>s1_node_relic_desc</v>
      </c>
      <c r="G435" s="0" t="s">
        <v>147</v>
      </c>
      <c r="H435" s="0">
        <v>3</v>
      </c>
      <c r="I435" s="0" t="s">
        <v>27</v>
      </c>
      <c r="J435" s="0" t="s">
        <v>528</v>
      </c>
      <c r="K435" s="0">
        <v>1720</v>
      </c>
      <c r="L435" s="10">
        <v>3</v>
      </c>
      <c r="M435" s="0">
        <v>42</v>
      </c>
      <c r="N435" s="0">
        <v>2</v>
      </c>
      <c r="O435" s="0" t="s">
        <v>767</v>
      </c>
      <c r="T435" s="0" t="str">
        <f>_xlfn.TEXTJOIN("_",TRUE,C435,"node_eff",D435,M435,N435)</f>
        <v>s1_node_eff_relic_42_2</v>
      </c>
    </row>
    <row r="436" spans="1:20" x14ac:dyDescent="0.45">
      <c r="A436" s="0" t="str">
        <f>_xlfn.TEXTJOIN("_",TRUE,C436,"node",D436,M436,N436)</f>
        <v>s1_node_relic_42_6</v>
      </c>
      <c r="B436" s="0" t="s">
        <v>0</v>
      </c>
      <c r="C436" s="0" t="s">
        <v>26</v>
      </c>
      <c r="D436" s="0" t="s">
        <v>104</v>
      </c>
      <c r="E436" s="0" t="str">
        <f>"s1_node_"&amp;D436&amp;"_name"</f>
        <v>s1_node_relic_name</v>
      </c>
      <c r="F436" s="10" t="str">
        <f>"s1_node_"&amp;D436&amp;"_desc"</f>
        <v>s1_node_relic_desc</v>
      </c>
      <c r="G436" s="0" t="s">
        <v>147</v>
      </c>
      <c r="H436" s="0">
        <v>3</v>
      </c>
      <c r="I436" s="0" t="s">
        <v>27</v>
      </c>
      <c r="J436" s="0" t="s">
        <v>528</v>
      </c>
      <c r="K436" s="0">
        <v>1720</v>
      </c>
      <c r="L436" s="10">
        <v>3</v>
      </c>
      <c r="M436" s="0">
        <v>42</v>
      </c>
      <c r="N436" s="0">
        <v>6</v>
      </c>
      <c r="O436" s="0" t="s">
        <v>767</v>
      </c>
      <c r="T436" s="0" t="str">
        <f>_xlfn.TEXTJOIN("_",TRUE,C436,"node_eff",D436,M436,N436)</f>
        <v>s1_node_eff_relic_42_6</v>
      </c>
    </row>
    <row r="437" spans="1:20" x14ac:dyDescent="0.45">
      <c r="A437" s="0" t="str">
        <f>_xlfn.TEXTJOIN("_",TRUE,C437,"node",D437,M437,N437)</f>
        <v>s1_node_relic_43_2</v>
      </c>
      <c r="B437" s="0" t="s">
        <v>0</v>
      </c>
      <c r="C437" s="0" t="s">
        <v>26</v>
      </c>
      <c r="D437" s="0" t="s">
        <v>104</v>
      </c>
      <c r="E437" s="0" t="str">
        <f>"s1_node_"&amp;D437&amp;"_name"</f>
        <v>s1_node_relic_name</v>
      </c>
      <c r="F437" s="10" t="str">
        <f>"s1_node_"&amp;D437&amp;"_desc"</f>
        <v>s1_node_relic_desc</v>
      </c>
      <c r="G437" s="0" t="s">
        <v>140</v>
      </c>
      <c r="H437" s="0">
        <v>3</v>
      </c>
      <c r="I437" s="0" t="s">
        <v>27</v>
      </c>
      <c r="J437" s="0" t="s">
        <v>531</v>
      </c>
      <c r="K437" s="0">
        <v>1760</v>
      </c>
      <c r="L437" s="10">
        <v>3</v>
      </c>
      <c r="M437" s="0">
        <v>43</v>
      </c>
      <c r="N437" s="0">
        <v>2</v>
      </c>
      <c r="O437" s="0" t="s">
        <v>768</v>
      </c>
      <c r="T437" s="0" t="str">
        <f>_xlfn.TEXTJOIN("_",TRUE,C437,"node_eff",D437,M437,N437)</f>
        <v>s1_node_eff_relic_43_2</v>
      </c>
    </row>
    <row r="438" spans="1:20" x14ac:dyDescent="0.45">
      <c r="A438" s="0" t="str">
        <f>_xlfn.TEXTJOIN("_",TRUE,C438,"node",D438,M438,N438)</f>
        <v>s1_node_relic_43_6</v>
      </c>
      <c r="B438" s="0" t="s">
        <v>0</v>
      </c>
      <c r="C438" s="0" t="s">
        <v>26</v>
      </c>
      <c r="D438" s="0" t="s">
        <v>104</v>
      </c>
      <c r="E438" s="0" t="str">
        <f>"s1_node_"&amp;D438&amp;"_name"</f>
        <v>s1_node_relic_name</v>
      </c>
      <c r="F438" s="10" t="str">
        <f>"s1_node_"&amp;D438&amp;"_desc"</f>
        <v>s1_node_relic_desc</v>
      </c>
      <c r="G438" s="0" t="s">
        <v>417</v>
      </c>
      <c r="H438" s="0">
        <v>3</v>
      </c>
      <c r="I438" s="0" t="s">
        <v>27</v>
      </c>
      <c r="J438" s="0" t="s">
        <v>531</v>
      </c>
      <c r="K438" s="0">
        <v>1760</v>
      </c>
      <c r="L438" s="10">
        <v>3</v>
      </c>
      <c r="M438" s="0">
        <v>43</v>
      </c>
      <c r="N438" s="0">
        <v>6</v>
      </c>
      <c r="O438" s="0" t="s">
        <v>769</v>
      </c>
      <c r="T438" s="0" t="str">
        <f>_xlfn.TEXTJOIN("_",TRUE,C438,"node_eff",D438,M438,N438)</f>
        <v>s1_node_eff_relic_43_6</v>
      </c>
    </row>
    <row r="439" spans="1:20" x14ac:dyDescent="0.45">
      <c r="A439" s="0" t="str">
        <f>_xlfn.TEXTJOIN("_",TRUE,C439,"node",D439,M439,N439)</f>
        <v>s1_node_relic_44_2</v>
      </c>
      <c r="B439" s="0" t="s">
        <v>0</v>
      </c>
      <c r="C439" s="0" t="s">
        <v>26</v>
      </c>
      <c r="D439" s="0" t="s">
        <v>104</v>
      </c>
      <c r="E439" s="0" t="str">
        <f>"s1_node_"&amp;D439&amp;"_name"</f>
        <v>s1_node_relic_name</v>
      </c>
      <c r="F439" s="10" t="str">
        <f>"s1_node_"&amp;D439&amp;"_desc"</f>
        <v>s1_node_relic_desc</v>
      </c>
      <c r="G439" s="0" t="s">
        <v>136</v>
      </c>
      <c r="H439" s="0">
        <v>3</v>
      </c>
      <c r="I439" s="0" t="s">
        <v>27</v>
      </c>
      <c r="J439" s="0" t="s">
        <v>533</v>
      </c>
      <c r="K439" s="0">
        <v>1790</v>
      </c>
      <c r="L439" s="10">
        <v>3</v>
      </c>
      <c r="M439" s="0">
        <v>44</v>
      </c>
      <c r="N439" s="0">
        <v>2</v>
      </c>
      <c r="O439" s="0" t="s">
        <v>770</v>
      </c>
      <c r="T439" s="0" t="str">
        <f>_xlfn.TEXTJOIN("_",TRUE,C439,"node_eff",D439,M439,N439)</f>
        <v>s1_node_eff_relic_44_2</v>
      </c>
    </row>
    <row r="440" spans="1:20" x14ac:dyDescent="0.45">
      <c r="A440" s="0" t="str">
        <f>_xlfn.TEXTJOIN("_",TRUE,C440,"node",D440,M440,N440)</f>
        <v>s1_node_relic_44_6</v>
      </c>
      <c r="B440" s="0" t="s">
        <v>0</v>
      </c>
      <c r="C440" s="0" t="s">
        <v>26</v>
      </c>
      <c r="D440" s="0" t="s">
        <v>104</v>
      </c>
      <c r="E440" s="0" t="str">
        <f>"s1_node_"&amp;D440&amp;"_name"</f>
        <v>s1_node_relic_name</v>
      </c>
      <c r="F440" s="10" t="str">
        <f>"s1_node_"&amp;D440&amp;"_desc"</f>
        <v>s1_node_relic_desc</v>
      </c>
      <c r="G440" s="0" t="s">
        <v>147</v>
      </c>
      <c r="H440" s="0">
        <v>3</v>
      </c>
      <c r="I440" s="0" t="s">
        <v>27</v>
      </c>
      <c r="J440" s="0" t="s">
        <v>533</v>
      </c>
      <c r="K440" s="0">
        <v>1790</v>
      </c>
      <c r="L440" s="10">
        <v>3</v>
      </c>
      <c r="M440" s="0">
        <v>44</v>
      </c>
      <c r="N440" s="0">
        <v>6</v>
      </c>
      <c r="O440" s="0" t="s">
        <v>771</v>
      </c>
      <c r="T440" s="0" t="str">
        <f>_xlfn.TEXTJOIN("_",TRUE,C440,"node_eff",D440,M440,N440)</f>
        <v>s1_node_eff_relic_44_6</v>
      </c>
    </row>
    <row r="441" spans="1:20" x14ac:dyDescent="0.45">
      <c r="A441" s="0" t="str">
        <f>_xlfn.TEXTJOIN("_",TRUE,C441,"node",D441,M441,N441)</f>
        <v>s1_node_relic_45_2</v>
      </c>
      <c r="B441" s="0" t="s">
        <v>0</v>
      </c>
      <c r="C441" s="0" t="s">
        <v>26</v>
      </c>
      <c r="D441" s="0" t="s">
        <v>104</v>
      </c>
      <c r="E441" s="0" t="str">
        <f>"s1_node_"&amp;D441&amp;"_name"</f>
        <v>s1_node_relic_name</v>
      </c>
      <c r="F441" s="10" t="str">
        <f>"s1_node_"&amp;D441&amp;"_desc"</f>
        <v>s1_node_relic_desc</v>
      </c>
      <c r="G441" s="0" t="s">
        <v>691</v>
      </c>
      <c r="H441" s="0">
        <v>3</v>
      </c>
      <c r="I441" s="0" t="s">
        <v>27</v>
      </c>
      <c r="J441" s="0" t="s">
        <v>536</v>
      </c>
      <c r="K441" s="0">
        <v>1830</v>
      </c>
      <c r="L441" s="10">
        <v>3</v>
      </c>
      <c r="M441" s="0">
        <v>45</v>
      </c>
      <c r="N441" s="0">
        <v>2</v>
      </c>
      <c r="O441" s="0" t="s">
        <v>772</v>
      </c>
      <c r="T441" s="0" t="str">
        <f>_xlfn.TEXTJOIN("_",TRUE,C441,"node_eff",D441,M441,N441)</f>
        <v>s1_node_eff_relic_45_2</v>
      </c>
    </row>
    <row r="442" spans="1:20" x14ac:dyDescent="0.45">
      <c r="A442" s="0" t="str">
        <f>_xlfn.TEXTJOIN("_",TRUE,C442,"node",D442,M442,N442)</f>
        <v>s1_node_relic_45_6</v>
      </c>
      <c r="B442" s="0" t="s">
        <v>0</v>
      </c>
      <c r="C442" s="0" t="s">
        <v>26</v>
      </c>
      <c r="D442" s="0" t="s">
        <v>104</v>
      </c>
      <c r="E442" s="0" t="str">
        <f>"s1_node_"&amp;D442&amp;"_name"</f>
        <v>s1_node_relic_name</v>
      </c>
      <c r="F442" s="10" t="str">
        <f>"s1_node_"&amp;D442&amp;"_desc"</f>
        <v>s1_node_relic_desc</v>
      </c>
      <c r="G442" s="0" t="s">
        <v>136</v>
      </c>
      <c r="H442" s="0">
        <v>3</v>
      </c>
      <c r="I442" s="0" t="s">
        <v>27</v>
      </c>
      <c r="J442" s="0" t="s">
        <v>536</v>
      </c>
      <c r="K442" s="0">
        <v>1830</v>
      </c>
      <c r="L442" s="10">
        <v>3</v>
      </c>
      <c r="M442" s="0">
        <v>45</v>
      </c>
      <c r="N442" s="0">
        <v>6</v>
      </c>
      <c r="O442" s="0" t="s">
        <v>773</v>
      </c>
      <c r="T442" s="0" t="str">
        <f>_xlfn.TEXTJOIN("_",TRUE,C442,"node_eff",D442,M442,N442)</f>
        <v>s1_node_eff_relic_45_6</v>
      </c>
    </row>
    <row r="443" spans="1:20" x14ac:dyDescent="0.45">
      <c r="A443" s="0" t="str">
        <f>_xlfn.TEXTJOIN("_",TRUE,C443,"node",D443,M443,N443)</f>
        <v>s1_node_relic_46_4</v>
      </c>
      <c r="B443" s="0" t="s">
        <v>0</v>
      </c>
      <c r="C443" s="0" t="s">
        <v>26</v>
      </c>
      <c r="D443" s="0" t="s">
        <v>104</v>
      </c>
      <c r="E443" s="0" t="str">
        <f>"s1_node_"&amp;D443&amp;"_name"</f>
        <v>s1_node_relic_name</v>
      </c>
      <c r="F443" s="10" t="str">
        <f>"s1_node_"&amp;D443&amp;"_desc"</f>
        <v>s1_node_relic_desc</v>
      </c>
      <c r="G443" s="0" t="s">
        <v>147</v>
      </c>
      <c r="H443" s="0">
        <v>3</v>
      </c>
      <c r="I443" s="0" t="s">
        <v>27</v>
      </c>
      <c r="J443" s="0" t="s">
        <v>774</v>
      </c>
      <c r="K443" s="0">
        <v>1870</v>
      </c>
      <c r="L443" s="10">
        <v>3</v>
      </c>
      <c r="M443" s="0">
        <v>46</v>
      </c>
      <c r="N443" s="0">
        <v>4</v>
      </c>
      <c r="O443" s="0" t="s">
        <v>775</v>
      </c>
      <c r="P443" s="0" t="s">
        <v>776</v>
      </c>
      <c r="T443" s="0" t="str">
        <f>_xlfn.TEXTJOIN("_",TRUE,C443,"node_eff",D443,M443,N443)</f>
        <v>s1_node_eff_relic_46_4</v>
      </c>
    </row>
    <row r="444" spans="1:20" x14ac:dyDescent="0.45">
      <c r="A444" s="0" t="str">
        <f>_xlfn.TEXTJOIN("_",TRUE,C444,"node",D444,M444,N444)</f>
        <v>s1_node_relic_47_2</v>
      </c>
      <c r="B444" s="0" t="s">
        <v>0</v>
      </c>
      <c r="C444" s="0" t="s">
        <v>26</v>
      </c>
      <c r="D444" s="0" t="s">
        <v>104</v>
      </c>
      <c r="E444" s="0" t="str">
        <f>"s1_node_"&amp;D444&amp;"_name"</f>
        <v>s1_node_relic_name</v>
      </c>
      <c r="F444" s="10" t="str">
        <f>"s1_node_"&amp;D444&amp;"_desc"</f>
        <v>s1_node_relic_desc</v>
      </c>
      <c r="G444" s="0" t="s">
        <v>672</v>
      </c>
      <c r="H444" s="0">
        <v>3</v>
      </c>
      <c r="I444" s="0" t="s">
        <v>27</v>
      </c>
      <c r="J444" s="0" t="s">
        <v>777</v>
      </c>
      <c r="K444" s="0">
        <v>1910</v>
      </c>
      <c r="L444" s="10">
        <v>3</v>
      </c>
      <c r="M444" s="0">
        <v>47</v>
      </c>
      <c r="N444" s="0">
        <v>2</v>
      </c>
      <c r="O444" s="0" t="s">
        <v>778</v>
      </c>
      <c r="T444" s="0" t="str">
        <f>_xlfn.TEXTJOIN("_",TRUE,C444,"node_eff",D444,M444,N444)</f>
        <v>s1_node_eff_relic_47_2</v>
      </c>
    </row>
    <row r="445" spans="1:20" x14ac:dyDescent="0.45">
      <c r="A445" s="0" t="str">
        <f>_xlfn.TEXTJOIN("_",TRUE,C445,"node",D445,M445,N445)</f>
        <v>s1_node_relic_47_6</v>
      </c>
      <c r="B445" s="0" t="s">
        <v>0</v>
      </c>
      <c r="C445" s="0" t="s">
        <v>26</v>
      </c>
      <c r="D445" s="0" t="s">
        <v>104</v>
      </c>
      <c r="E445" s="0" t="str">
        <f>"s1_node_"&amp;D445&amp;"_name"</f>
        <v>s1_node_relic_name</v>
      </c>
      <c r="F445" s="10" t="str">
        <f>"s1_node_"&amp;D445&amp;"_desc"</f>
        <v>s1_node_relic_desc</v>
      </c>
      <c r="G445" s="0" t="s">
        <v>140</v>
      </c>
      <c r="H445" s="0">
        <v>3</v>
      </c>
      <c r="I445" s="0" t="s">
        <v>27</v>
      </c>
      <c r="J445" s="0" t="s">
        <v>777</v>
      </c>
      <c r="K445" s="0">
        <v>1910</v>
      </c>
      <c r="L445" s="10">
        <v>3</v>
      </c>
      <c r="M445" s="0">
        <v>47</v>
      </c>
      <c r="N445" s="0">
        <v>6</v>
      </c>
      <c r="O445" s="0" t="s">
        <v>778</v>
      </c>
      <c r="T445" s="0" t="str">
        <f>_xlfn.TEXTJOIN("_",TRUE,C445,"node_eff",D445,M445,N445)</f>
        <v>s1_node_eff_relic_47_6</v>
      </c>
    </row>
    <row r="446" spans="1:20" x14ac:dyDescent="0.45">
      <c r="A446" s="0" t="str">
        <f>_xlfn.TEXTJOIN("_",TRUE,C446,"node",D446,M446,N446)</f>
        <v>s1_node_relic_48_2</v>
      </c>
      <c r="B446" s="0" t="s">
        <v>0</v>
      </c>
      <c r="C446" s="0" t="s">
        <v>26</v>
      </c>
      <c r="D446" s="0" t="s">
        <v>104</v>
      </c>
      <c r="E446" s="0" t="str">
        <f>"s1_node_"&amp;D446&amp;"_name"</f>
        <v>s1_node_relic_name</v>
      </c>
      <c r="F446" s="10" t="str">
        <f>"s1_node_"&amp;D446&amp;"_desc"</f>
        <v>s1_node_relic_desc</v>
      </c>
      <c r="G446" s="0" t="s">
        <v>417</v>
      </c>
      <c r="H446" s="0">
        <v>3</v>
      </c>
      <c r="I446" s="0" t="s">
        <v>27</v>
      </c>
      <c r="J446" s="0" t="s">
        <v>779</v>
      </c>
      <c r="K446" s="0">
        <v>1950</v>
      </c>
      <c r="L446" s="10">
        <v>3</v>
      </c>
      <c r="M446" s="0">
        <v>48</v>
      </c>
      <c r="N446" s="0">
        <v>2</v>
      </c>
      <c r="O446" s="0" t="s">
        <v>780</v>
      </c>
      <c r="T446" s="0" t="str">
        <f>_xlfn.TEXTJOIN("_",TRUE,C446,"node_eff",D446,M446,N446)</f>
        <v>s1_node_eff_relic_48_2</v>
      </c>
    </row>
    <row r="447" spans="1:20" x14ac:dyDescent="0.45">
      <c r="A447" s="0" t="str">
        <f>_xlfn.TEXTJOIN("_",TRUE,C447,"node",D447,M447,N447)</f>
        <v>s1_node_relic_48_6</v>
      </c>
      <c r="B447" s="0" t="s">
        <v>0</v>
      </c>
      <c r="C447" s="0" t="s">
        <v>26</v>
      </c>
      <c r="D447" s="0" t="s">
        <v>104</v>
      </c>
      <c r="E447" s="0" t="str">
        <f>"s1_node_"&amp;D447&amp;"_name"</f>
        <v>s1_node_relic_name</v>
      </c>
      <c r="F447" s="10" t="str">
        <f>"s1_node_"&amp;D447&amp;"_desc"</f>
        <v>s1_node_relic_desc</v>
      </c>
      <c r="G447" s="0" t="s">
        <v>136</v>
      </c>
      <c r="H447" s="0">
        <v>3</v>
      </c>
      <c r="I447" s="0" t="s">
        <v>27</v>
      </c>
      <c r="J447" s="0" t="s">
        <v>779</v>
      </c>
      <c r="K447" s="0">
        <v>1950</v>
      </c>
      <c r="L447" s="10">
        <v>3</v>
      </c>
      <c r="M447" s="0">
        <v>48</v>
      </c>
      <c r="N447" s="0">
        <v>6</v>
      </c>
      <c r="O447" s="0" t="s">
        <v>781</v>
      </c>
      <c r="T447" s="0" t="str">
        <f>_xlfn.TEXTJOIN("_",TRUE,C447,"node_eff",D447,M447,N447)</f>
        <v>s1_node_eff_relic_48_6</v>
      </c>
    </row>
    <row r="448" spans="1:20" x14ac:dyDescent="0.45">
      <c r="A448" s="0" t="str">
        <f>_xlfn.TEXTJOIN("_",TRUE,C448,"node",D448,M448,N448)</f>
        <v>s1_node_relic_49_2</v>
      </c>
      <c r="B448" s="0" t="s">
        <v>0</v>
      </c>
      <c r="C448" s="0" t="s">
        <v>26</v>
      </c>
      <c r="D448" s="0" t="s">
        <v>104</v>
      </c>
      <c r="E448" s="0" t="str">
        <f>"s1_node_"&amp;D448&amp;"_name"</f>
        <v>s1_node_relic_name</v>
      </c>
      <c r="F448" s="10" t="str">
        <f>"s1_node_"&amp;D448&amp;"_desc"</f>
        <v>s1_node_relic_desc</v>
      </c>
      <c r="G448" s="0" t="s">
        <v>147</v>
      </c>
      <c r="H448" s="0">
        <v>3</v>
      </c>
      <c r="I448" s="0" t="s">
        <v>27</v>
      </c>
      <c r="J448" s="0" t="s">
        <v>782</v>
      </c>
      <c r="K448" s="0">
        <v>1980</v>
      </c>
      <c r="L448" s="10">
        <v>3</v>
      </c>
      <c r="M448" s="0">
        <v>49</v>
      </c>
      <c r="N448" s="0">
        <v>2</v>
      </c>
      <c r="O448" s="0" t="s">
        <v>783</v>
      </c>
      <c r="T448" s="0" t="str">
        <f>_xlfn.TEXTJOIN("_",TRUE,C448,"node_eff",D448,M448,N448)</f>
        <v>s1_node_eff_relic_49_2</v>
      </c>
    </row>
    <row r="449" spans="1:20" x14ac:dyDescent="0.45">
      <c r="A449" s="0" t="str">
        <f>_xlfn.TEXTJOIN("_",TRUE,C449,"node",D449,M449,N449)</f>
        <v>s1_node_relic_49_6</v>
      </c>
      <c r="B449" s="0" t="s">
        <v>0</v>
      </c>
      <c r="C449" s="0" t="s">
        <v>26</v>
      </c>
      <c r="D449" s="0" t="s">
        <v>104</v>
      </c>
      <c r="E449" s="0" t="str">
        <f>"s1_node_"&amp;D449&amp;"_name"</f>
        <v>s1_node_relic_name</v>
      </c>
      <c r="F449" s="10" t="str">
        <f>"s1_node_"&amp;D449&amp;"_desc"</f>
        <v>s1_node_relic_desc</v>
      </c>
      <c r="G449" s="0" t="s">
        <v>691</v>
      </c>
      <c r="H449" s="0">
        <v>3</v>
      </c>
      <c r="I449" s="0" t="s">
        <v>27</v>
      </c>
      <c r="J449" s="0" t="s">
        <v>782</v>
      </c>
      <c r="K449" s="0">
        <v>1980</v>
      </c>
      <c r="L449" s="10">
        <v>3</v>
      </c>
      <c r="M449" s="0">
        <v>49</v>
      </c>
      <c r="N449" s="0">
        <v>6</v>
      </c>
      <c r="O449" s="0" t="s">
        <v>784</v>
      </c>
      <c r="T449" s="0" t="str">
        <f>_xlfn.TEXTJOIN("_",TRUE,C449,"node_eff",D449,M449,N449)</f>
        <v>s1_node_eff_relic_49_6</v>
      </c>
    </row>
    <row r="450" spans="1:20" x14ac:dyDescent="0.45">
      <c r="A450" s="0" t="str">
        <f>_xlfn.TEXTJOIN("_",TRUE,C450,"node",D450,M450,N450)</f>
        <v>s1_node_relic_50_2</v>
      </c>
      <c r="B450" s="0" t="s">
        <v>0</v>
      </c>
      <c r="C450" s="0" t="s">
        <v>26</v>
      </c>
      <c r="D450" s="0" t="s">
        <v>104</v>
      </c>
      <c r="E450" s="0" t="str">
        <f>"s1_node_"&amp;D450&amp;"_name"</f>
        <v>s1_node_relic_name</v>
      </c>
      <c r="F450" s="10" t="str">
        <f>"s1_node_"&amp;D450&amp;"_desc"</f>
        <v>s1_node_relic_desc</v>
      </c>
      <c r="G450" s="0" t="s">
        <v>136</v>
      </c>
      <c r="H450" s="0">
        <v>3</v>
      </c>
      <c r="I450" s="0" t="s">
        <v>27</v>
      </c>
      <c r="J450" s="0" t="s">
        <v>785</v>
      </c>
      <c r="K450" s="0">
        <v>2020</v>
      </c>
      <c r="L450" s="10">
        <v>3</v>
      </c>
      <c r="M450" s="0">
        <v>50</v>
      </c>
      <c r="N450" s="0">
        <v>2</v>
      </c>
      <c r="O450" s="0" t="s">
        <v>786</v>
      </c>
      <c r="T450" s="0" t="str">
        <f>_xlfn.TEXTJOIN("_",TRUE,C450,"node_eff",D450,M450,N450)</f>
        <v>s1_node_eff_relic_50_2</v>
      </c>
    </row>
    <row r="451" spans="1:20" x14ac:dyDescent="0.45">
      <c r="A451" s="0" t="str">
        <f>_xlfn.TEXTJOIN("_",TRUE,C451,"node",D451,M451,N451)</f>
        <v>s1_node_relic_50_6</v>
      </c>
      <c r="B451" s="0" t="s">
        <v>0</v>
      </c>
      <c r="C451" s="0" t="s">
        <v>26</v>
      </c>
      <c r="D451" s="0" t="s">
        <v>104</v>
      </c>
      <c r="E451" s="0" t="str">
        <f>"s1_node_"&amp;D451&amp;"_name"</f>
        <v>s1_node_relic_name</v>
      </c>
      <c r="F451" s="10" t="str">
        <f>"s1_node_"&amp;D451&amp;"_desc"</f>
        <v>s1_node_relic_desc</v>
      </c>
      <c r="G451" s="0" t="s">
        <v>147</v>
      </c>
      <c r="H451" s="0">
        <v>3</v>
      </c>
      <c r="I451" s="0" t="s">
        <v>27</v>
      </c>
      <c r="J451" s="0" t="s">
        <v>785</v>
      </c>
      <c r="K451" s="0">
        <v>2020</v>
      </c>
      <c r="L451" s="10">
        <v>3</v>
      </c>
      <c r="M451" s="0">
        <v>50</v>
      </c>
      <c r="N451" s="0">
        <v>6</v>
      </c>
      <c r="O451" s="0" t="s">
        <v>787</v>
      </c>
      <c r="T451" s="0" t="str">
        <f>_xlfn.TEXTJOIN("_",TRUE,C451,"node_eff",D451,M451,N451)</f>
        <v>s1_node_eff_relic_50_6</v>
      </c>
    </row>
    <row r="452" spans="1:20" x14ac:dyDescent="0.45">
      <c r="A452" s="0" t="str">
        <f>_xlfn.TEXTJOIN("_",TRUE,C452,"node",D452,M452,N452)</f>
        <v>s1_node_relic_51_4</v>
      </c>
      <c r="B452" s="0" t="s">
        <v>0</v>
      </c>
      <c r="C452" s="0" t="s">
        <v>26</v>
      </c>
      <c r="D452" s="0" t="s">
        <v>104</v>
      </c>
      <c r="E452" s="0" t="str">
        <f>"s1_node_"&amp;D452&amp;"_name"</f>
        <v>s1_node_relic_name</v>
      </c>
      <c r="F452" s="10" t="str">
        <f>"s1_node_"&amp;D452&amp;"_desc"</f>
        <v>s1_node_relic_desc</v>
      </c>
      <c r="G452" s="0" t="s">
        <v>672</v>
      </c>
      <c r="H452" s="0">
        <v>3</v>
      </c>
      <c r="I452" s="0" t="s">
        <v>27</v>
      </c>
      <c r="J452" s="0" t="s">
        <v>296</v>
      </c>
      <c r="K452" s="0">
        <v>2060</v>
      </c>
      <c r="L452" s="10">
        <v>3</v>
      </c>
      <c r="M452" s="0">
        <v>51</v>
      </c>
      <c r="N452" s="0">
        <v>4</v>
      </c>
      <c r="O452" s="0" t="s">
        <v>788</v>
      </c>
      <c r="P452" s="0" t="s">
        <v>789</v>
      </c>
      <c r="T452" s="0" t="str">
        <f>_xlfn.TEXTJOIN("_",TRUE,C452,"node_eff",D452,M452,N452)</f>
        <v>s1_node_eff_relic_51_4</v>
      </c>
    </row>
    <row r="453" spans="1:20" x14ac:dyDescent="0.45">
      <c r="A453" s="0" t="str">
        <f>_xlfn.TEXTJOIN("_",TRUE,C453,"node",D453,M453,N453)</f>
        <v>s1_node_relic_52_2</v>
      </c>
      <c r="B453" s="0" t="s">
        <v>0</v>
      </c>
      <c r="C453" s="0" t="s">
        <v>26</v>
      </c>
      <c r="D453" s="0" t="s">
        <v>104</v>
      </c>
      <c r="E453" s="0" t="str">
        <f>"s1_node_"&amp;D453&amp;"_name"</f>
        <v>s1_node_relic_name</v>
      </c>
      <c r="F453" s="10" t="str">
        <f>"s1_node_"&amp;D453&amp;"_desc"</f>
        <v>s1_node_relic_desc</v>
      </c>
      <c r="G453" s="0" t="s">
        <v>147</v>
      </c>
      <c r="H453" s="0">
        <v>3</v>
      </c>
      <c r="I453" s="0" t="s">
        <v>27</v>
      </c>
      <c r="J453" s="0" t="s">
        <v>299</v>
      </c>
      <c r="K453" s="0">
        <v>2100</v>
      </c>
      <c r="L453" s="10">
        <v>3</v>
      </c>
      <c r="M453" s="0">
        <v>52</v>
      </c>
      <c r="N453" s="0">
        <v>2</v>
      </c>
      <c r="O453" s="0" t="s">
        <v>790</v>
      </c>
      <c r="T453" s="0" t="str">
        <f>_xlfn.TEXTJOIN("_",TRUE,C453,"node_eff",D453,M453,N453)</f>
        <v>s1_node_eff_relic_52_2</v>
      </c>
    </row>
    <row r="454" spans="1:20" x14ac:dyDescent="0.45">
      <c r="A454" s="0" t="str">
        <f>_xlfn.TEXTJOIN("_",TRUE,C454,"node",D454,M454,N454)</f>
        <v>s1_node_relic_52_6</v>
      </c>
      <c r="B454" s="0" t="s">
        <v>0</v>
      </c>
      <c r="C454" s="0" t="s">
        <v>26</v>
      </c>
      <c r="D454" s="0" t="s">
        <v>104</v>
      </c>
      <c r="E454" s="0" t="str">
        <f>"s1_node_"&amp;D454&amp;"_name"</f>
        <v>s1_node_relic_name</v>
      </c>
      <c r="F454" s="10" t="str">
        <f>"s1_node_"&amp;D454&amp;"_desc"</f>
        <v>s1_node_relic_desc</v>
      </c>
      <c r="G454" s="0" t="s">
        <v>417</v>
      </c>
      <c r="H454" s="0">
        <v>3</v>
      </c>
      <c r="I454" s="0" t="s">
        <v>27</v>
      </c>
      <c r="J454" s="0" t="s">
        <v>299</v>
      </c>
      <c r="K454" s="0">
        <v>2100</v>
      </c>
      <c r="L454" s="10">
        <v>3</v>
      </c>
      <c r="M454" s="0">
        <v>52</v>
      </c>
      <c r="N454" s="0">
        <v>6</v>
      </c>
      <c r="O454" s="0" t="s">
        <v>790</v>
      </c>
      <c r="T454" s="0" t="str">
        <f>_xlfn.TEXTJOIN("_",TRUE,C454,"node_eff",D454,M454,N454)</f>
        <v>s1_node_eff_relic_52_6</v>
      </c>
    </row>
    <row r="455" spans="1:20" x14ac:dyDescent="0.45">
      <c r="A455" s="0" t="str">
        <f>_xlfn.TEXTJOIN("_",TRUE,C455,"node",D455,M455,N455)</f>
        <v>s1_node_relic_53_2</v>
      </c>
      <c r="B455" s="0" t="s">
        <v>0</v>
      </c>
      <c r="C455" s="0" t="s">
        <v>26</v>
      </c>
      <c r="D455" s="0" t="s">
        <v>104</v>
      </c>
      <c r="E455" s="0" t="str">
        <f>"s1_node_"&amp;D455&amp;"_name"</f>
        <v>s1_node_relic_name</v>
      </c>
      <c r="F455" s="10" t="str">
        <f>"s1_node_"&amp;D455&amp;"_desc"</f>
        <v>s1_node_relic_desc</v>
      </c>
      <c r="G455" s="0" t="s">
        <v>136</v>
      </c>
      <c r="H455" s="0">
        <v>3</v>
      </c>
      <c r="I455" s="0" t="s">
        <v>27</v>
      </c>
      <c r="J455" s="0" t="s">
        <v>791</v>
      </c>
      <c r="K455" s="0">
        <v>2140</v>
      </c>
      <c r="L455" s="10">
        <v>3</v>
      </c>
      <c r="M455" s="0">
        <v>53</v>
      </c>
      <c r="N455" s="0">
        <v>2</v>
      </c>
      <c r="O455" s="0" t="s">
        <v>792</v>
      </c>
      <c r="T455" s="0" t="str">
        <f>_xlfn.TEXTJOIN("_",TRUE,C455,"node_eff",D455,M455,N455)</f>
        <v>s1_node_eff_relic_53_2</v>
      </c>
    </row>
    <row r="456" spans="1:20" x14ac:dyDescent="0.45">
      <c r="A456" s="0" t="str">
        <f>_xlfn.TEXTJOIN("_",TRUE,C456,"node",D456,M456,N456)</f>
        <v>s1_node_relic_53_6</v>
      </c>
      <c r="B456" s="0" t="s">
        <v>0</v>
      </c>
      <c r="C456" s="0" t="s">
        <v>26</v>
      </c>
      <c r="D456" s="0" t="s">
        <v>104</v>
      </c>
      <c r="E456" s="0" t="str">
        <f>"s1_node_"&amp;D456&amp;"_name"</f>
        <v>s1_node_relic_name</v>
      </c>
      <c r="F456" s="10" t="str">
        <f>"s1_node_"&amp;D456&amp;"_desc"</f>
        <v>s1_node_relic_desc</v>
      </c>
      <c r="G456" s="0" t="s">
        <v>147</v>
      </c>
      <c r="H456" s="0">
        <v>3</v>
      </c>
      <c r="I456" s="0" t="s">
        <v>27</v>
      </c>
      <c r="J456" s="0" t="s">
        <v>791</v>
      </c>
      <c r="K456" s="0">
        <v>2140</v>
      </c>
      <c r="L456" s="10">
        <v>3</v>
      </c>
      <c r="M456" s="0">
        <v>53</v>
      </c>
      <c r="N456" s="0">
        <v>6</v>
      </c>
      <c r="O456" s="0" t="s">
        <v>793</v>
      </c>
      <c r="T456" s="0" t="str">
        <f>_xlfn.TEXTJOIN("_",TRUE,C456,"node_eff",D456,M456,N456)</f>
        <v>s1_node_eff_relic_53_6</v>
      </c>
    </row>
    <row r="457" spans="1:20" x14ac:dyDescent="0.45">
      <c r="A457" s="0" t="str">
        <f>_xlfn.TEXTJOIN("_",TRUE,C457,"node",D457,M457,N457)</f>
        <v>s1_node_relic_54_2</v>
      </c>
      <c r="B457" s="0" t="s">
        <v>0</v>
      </c>
      <c r="C457" s="0" t="s">
        <v>26</v>
      </c>
      <c r="D457" s="0" t="s">
        <v>104</v>
      </c>
      <c r="E457" s="0" t="str">
        <f>"s1_node_"&amp;D457&amp;"_name"</f>
        <v>s1_node_relic_name</v>
      </c>
      <c r="F457" s="10" t="str">
        <f>"s1_node_"&amp;D457&amp;"_desc"</f>
        <v>s1_node_relic_desc</v>
      </c>
      <c r="G457" s="0" t="s">
        <v>147</v>
      </c>
      <c r="H457" s="0">
        <v>3</v>
      </c>
      <c r="I457" s="0" t="s">
        <v>27</v>
      </c>
      <c r="J457" s="0" t="s">
        <v>305</v>
      </c>
      <c r="K457" s="0">
        <v>2170</v>
      </c>
      <c r="L457" s="10">
        <v>3</v>
      </c>
      <c r="M457" s="0">
        <v>54</v>
      </c>
      <c r="N457" s="0">
        <v>2</v>
      </c>
      <c r="O457" s="0" t="s">
        <v>794</v>
      </c>
      <c r="T457" s="0" t="str">
        <f>_xlfn.TEXTJOIN("_",TRUE,C457,"node_eff",D457,M457,N457)</f>
        <v>s1_node_eff_relic_54_2</v>
      </c>
    </row>
    <row r="458" spans="1:20" x14ac:dyDescent="0.45">
      <c r="A458" s="0" t="str">
        <f>_xlfn.TEXTJOIN("_",TRUE,C458,"node",D458,M458,N458)</f>
        <v>s1_node_relic_54_6</v>
      </c>
      <c r="B458" s="0" t="s">
        <v>0</v>
      </c>
      <c r="C458" s="0" t="s">
        <v>26</v>
      </c>
      <c r="D458" s="0" t="s">
        <v>104</v>
      </c>
      <c r="E458" s="0" t="str">
        <f>"s1_node_"&amp;D458&amp;"_name"</f>
        <v>s1_node_relic_name</v>
      </c>
      <c r="F458" s="10" t="str">
        <f>"s1_node_"&amp;D458&amp;"_desc"</f>
        <v>s1_node_relic_desc</v>
      </c>
      <c r="G458" s="0" t="s">
        <v>136</v>
      </c>
      <c r="H458" s="0">
        <v>3</v>
      </c>
      <c r="I458" s="0" t="s">
        <v>27</v>
      </c>
      <c r="J458" s="0" t="s">
        <v>305</v>
      </c>
      <c r="K458" s="0">
        <v>2170</v>
      </c>
      <c r="L458" s="10">
        <v>3</v>
      </c>
      <c r="M458" s="0">
        <v>54</v>
      </c>
      <c r="N458" s="0">
        <v>6</v>
      </c>
      <c r="O458" s="0" t="s">
        <v>795</v>
      </c>
      <c r="T458" s="0" t="str">
        <f>_xlfn.TEXTJOIN("_",TRUE,C458,"node_eff",D458,M458,N458)</f>
        <v>s1_node_eff_relic_54_6</v>
      </c>
    </row>
    <row r="459" spans="1:20" x14ac:dyDescent="0.45">
      <c r="A459" s="0" t="str">
        <f>_xlfn.TEXTJOIN("_",TRUE,C459,"node",D459,M459,N459)</f>
        <v>s1_node_relic_55_2</v>
      </c>
      <c r="B459" s="0" t="s">
        <v>0</v>
      </c>
      <c r="C459" s="0" t="s">
        <v>26</v>
      </c>
      <c r="D459" s="0" t="s">
        <v>104</v>
      </c>
      <c r="E459" s="0" t="str">
        <f>"s1_node_"&amp;D459&amp;"_name"</f>
        <v>s1_node_relic_name</v>
      </c>
      <c r="F459" s="10" t="str">
        <f>"s1_node_"&amp;D459&amp;"_desc"</f>
        <v>s1_node_relic_desc</v>
      </c>
      <c r="G459" s="0" t="s">
        <v>147</v>
      </c>
      <c r="H459" s="0">
        <v>3</v>
      </c>
      <c r="I459" s="0" t="s">
        <v>27</v>
      </c>
      <c r="J459" s="0" t="s">
        <v>796</v>
      </c>
      <c r="K459" s="0">
        <v>2210</v>
      </c>
      <c r="L459" s="10">
        <v>3</v>
      </c>
      <c r="M459" s="0">
        <v>55</v>
      </c>
      <c r="N459" s="0">
        <v>2</v>
      </c>
      <c r="O459" s="0" t="s">
        <v>797</v>
      </c>
      <c r="T459" s="0" t="str">
        <f>_xlfn.TEXTJOIN("_",TRUE,C459,"node_eff",D459,M459,N459)</f>
        <v>s1_node_eff_relic_55_2</v>
      </c>
    </row>
    <row r="460" spans="1:20" x14ac:dyDescent="0.45">
      <c r="A460" s="0" t="str">
        <f>_xlfn.TEXTJOIN("_",TRUE,C460,"node",D460,M460,N460)</f>
        <v>s1_node_relic_55_6</v>
      </c>
      <c r="B460" s="0" t="s">
        <v>0</v>
      </c>
      <c r="C460" s="0" t="s">
        <v>26</v>
      </c>
      <c r="D460" s="0" t="s">
        <v>104</v>
      </c>
      <c r="E460" s="0" t="str">
        <f>"s1_node_"&amp;D460&amp;"_name"</f>
        <v>s1_node_relic_name</v>
      </c>
      <c r="F460" s="10" t="str">
        <f>"s1_node_"&amp;D460&amp;"_desc"</f>
        <v>s1_node_relic_desc</v>
      </c>
      <c r="G460" s="0" t="s">
        <v>672</v>
      </c>
      <c r="H460" s="0">
        <v>3</v>
      </c>
      <c r="I460" s="0" t="s">
        <v>27</v>
      </c>
      <c r="J460" s="0" t="s">
        <v>796</v>
      </c>
      <c r="K460" s="0">
        <v>2210</v>
      </c>
      <c r="L460" s="10">
        <v>3</v>
      </c>
      <c r="M460" s="0">
        <v>55</v>
      </c>
      <c r="N460" s="0">
        <v>6</v>
      </c>
      <c r="O460" s="0" t="s">
        <v>798</v>
      </c>
      <c r="T460" s="0" t="str">
        <f>_xlfn.TEXTJOIN("_",TRUE,C460,"node_eff",D460,M460,N460)</f>
        <v>s1_node_eff_relic_55_6</v>
      </c>
    </row>
    <row r="461" spans="1:20" x14ac:dyDescent="0.45">
      <c r="A461" s="0" t="str">
        <f>_xlfn.TEXTJOIN("_",TRUE,C461,"node",D461,M461,N461)</f>
        <v>s1_node_relic_56_4</v>
      </c>
      <c r="B461" s="0" t="s">
        <v>0</v>
      </c>
      <c r="C461" s="0" t="s">
        <v>26</v>
      </c>
      <c r="D461" s="0" t="s">
        <v>104</v>
      </c>
      <c r="E461" s="0" t="str">
        <f>"s1_node_"&amp;D461&amp;"_name"</f>
        <v>s1_node_relic_name</v>
      </c>
      <c r="F461" s="10" t="str">
        <f>"s1_node_"&amp;D461&amp;"_desc"</f>
        <v>s1_node_relic_desc</v>
      </c>
      <c r="G461" s="0" t="s">
        <v>147</v>
      </c>
      <c r="H461" s="0">
        <v>3</v>
      </c>
      <c r="I461" s="0" t="s">
        <v>27</v>
      </c>
      <c r="J461" s="0" t="s">
        <v>799</v>
      </c>
      <c r="K461" s="0">
        <v>2250</v>
      </c>
      <c r="L461" s="10">
        <v>3</v>
      </c>
      <c r="M461" s="0">
        <v>56</v>
      </c>
      <c r="N461" s="0">
        <v>4</v>
      </c>
      <c r="O461" s="0" t="s">
        <v>800</v>
      </c>
      <c r="P461" s="0" t="s">
        <v>801</v>
      </c>
      <c r="T461" s="0" t="str">
        <f>_xlfn.TEXTJOIN("_",TRUE,C461,"node_eff",D461,M461,N461)</f>
        <v>s1_node_eff_relic_56_4</v>
      </c>
    </row>
    <row r="462" spans="1:20" x14ac:dyDescent="0.45">
      <c r="A462" s="0" t="str">
        <f>_xlfn.TEXTJOIN("_",TRUE,C462,"node",D462,M462,N462)</f>
        <v>s1_node_relic_57_2</v>
      </c>
      <c r="B462" s="0" t="s">
        <v>0</v>
      </c>
      <c r="C462" s="0" t="s">
        <v>26</v>
      </c>
      <c r="D462" s="0" t="s">
        <v>104</v>
      </c>
      <c r="E462" s="0" t="str">
        <f>"s1_node_"&amp;D462&amp;"_name"</f>
        <v>s1_node_relic_name</v>
      </c>
      <c r="F462" s="10" t="str">
        <f>"s1_node_"&amp;D462&amp;"_desc"</f>
        <v>s1_node_relic_desc</v>
      </c>
      <c r="G462" s="0" t="s">
        <v>140</v>
      </c>
      <c r="H462" s="0">
        <v>3</v>
      </c>
      <c r="I462" s="0" t="s">
        <v>27</v>
      </c>
      <c r="J462" s="0" t="s">
        <v>573</v>
      </c>
      <c r="K462" s="0">
        <v>2290</v>
      </c>
      <c r="L462" s="10">
        <v>3</v>
      </c>
      <c r="M462" s="0">
        <v>57</v>
      </c>
      <c r="N462" s="0">
        <v>2</v>
      </c>
      <c r="O462" s="0" t="s">
        <v>802</v>
      </c>
      <c r="T462" s="0" t="str">
        <f>_xlfn.TEXTJOIN("_",TRUE,C462,"node_eff",D462,M462,N462)</f>
        <v>s1_node_eff_relic_57_2</v>
      </c>
    </row>
    <row r="463" spans="1:20" x14ac:dyDescent="0.45">
      <c r="A463" s="0" t="str">
        <f>_xlfn.TEXTJOIN("_",TRUE,C463,"node",D463,M463,N463)</f>
        <v>s1_node_relic_57_6</v>
      </c>
      <c r="B463" s="0" t="s">
        <v>0</v>
      </c>
      <c r="C463" s="0" t="s">
        <v>26</v>
      </c>
      <c r="D463" s="0" t="s">
        <v>104</v>
      </c>
      <c r="E463" s="0" t="str">
        <f>"s1_node_"&amp;D463&amp;"_name"</f>
        <v>s1_node_relic_name</v>
      </c>
      <c r="F463" s="10" t="str">
        <f>"s1_node_"&amp;D463&amp;"_desc"</f>
        <v>s1_node_relic_desc</v>
      </c>
      <c r="G463" s="0" t="s">
        <v>136</v>
      </c>
      <c r="H463" s="0">
        <v>3</v>
      </c>
      <c r="I463" s="0" t="s">
        <v>27</v>
      </c>
      <c r="J463" s="0" t="s">
        <v>573</v>
      </c>
      <c r="K463" s="0">
        <v>2290</v>
      </c>
      <c r="L463" s="10">
        <v>3</v>
      </c>
      <c r="M463" s="0">
        <v>57</v>
      </c>
      <c r="N463" s="0">
        <v>6</v>
      </c>
      <c r="O463" s="0" t="s">
        <v>802</v>
      </c>
      <c r="T463" s="0" t="str">
        <f>_xlfn.TEXTJOIN("_",TRUE,C463,"node_eff",D463,M463,N463)</f>
        <v>s1_node_eff_relic_57_6</v>
      </c>
    </row>
    <row r="464" spans="1:20" x14ac:dyDescent="0.45">
      <c r="A464" s="0" t="str">
        <f>_xlfn.TEXTJOIN("_",TRUE,C464,"node",D464,M464,N464)</f>
        <v>s1_node_relic_58_2</v>
      </c>
      <c r="B464" s="0" t="s">
        <v>0</v>
      </c>
      <c r="C464" s="0" t="s">
        <v>26</v>
      </c>
      <c r="D464" s="0" t="s">
        <v>104</v>
      </c>
      <c r="E464" s="0" t="str">
        <f>"s1_node_"&amp;D464&amp;"_name"</f>
        <v>s1_node_relic_name</v>
      </c>
      <c r="F464" s="10" t="str">
        <f>"s1_node_"&amp;D464&amp;"_desc"</f>
        <v>s1_node_relic_desc</v>
      </c>
      <c r="G464" s="0" t="s">
        <v>147</v>
      </c>
      <c r="H464" s="0">
        <v>3</v>
      </c>
      <c r="I464" s="0" t="s">
        <v>27</v>
      </c>
      <c r="J464" s="0" t="s">
        <v>575</v>
      </c>
      <c r="K464" s="0">
        <v>2330</v>
      </c>
      <c r="L464" s="10">
        <v>3</v>
      </c>
      <c r="M464" s="0">
        <v>58</v>
      </c>
      <c r="N464" s="0">
        <v>2</v>
      </c>
      <c r="O464" s="0" t="s">
        <v>803</v>
      </c>
      <c r="T464" s="0" t="str">
        <f>_xlfn.TEXTJOIN("_",TRUE,C464,"node_eff",D464,M464,N464)</f>
        <v>s1_node_eff_relic_58_2</v>
      </c>
    </row>
    <row r="465" spans="1:20" x14ac:dyDescent="0.45">
      <c r="A465" s="0" t="str">
        <f>_xlfn.TEXTJOIN("_",TRUE,C465,"node",D465,M465,N465)</f>
        <v>s1_node_relic_58_6</v>
      </c>
      <c r="B465" s="0" t="s">
        <v>0</v>
      </c>
      <c r="C465" s="0" t="s">
        <v>26</v>
      </c>
      <c r="D465" s="0" t="s">
        <v>104</v>
      </c>
      <c r="E465" s="0" t="str">
        <f>"s1_node_"&amp;D465&amp;"_name"</f>
        <v>s1_node_relic_name</v>
      </c>
      <c r="F465" s="10" t="str">
        <f>"s1_node_"&amp;D465&amp;"_desc"</f>
        <v>s1_node_relic_desc</v>
      </c>
      <c r="G465" s="0" t="s">
        <v>147</v>
      </c>
      <c r="H465" s="0">
        <v>3</v>
      </c>
      <c r="I465" s="0" t="s">
        <v>27</v>
      </c>
      <c r="J465" s="0" t="s">
        <v>575</v>
      </c>
      <c r="K465" s="0">
        <v>2330</v>
      </c>
      <c r="L465" s="10">
        <v>3</v>
      </c>
      <c r="M465" s="0">
        <v>58</v>
      </c>
      <c r="N465" s="0">
        <v>6</v>
      </c>
      <c r="O465" s="0" t="s">
        <v>804</v>
      </c>
      <c r="T465" s="0" t="str">
        <f>_xlfn.TEXTJOIN("_",TRUE,C465,"node_eff",D465,M465,N465)</f>
        <v>s1_node_eff_relic_58_6</v>
      </c>
    </row>
    <row r="466" spans="1:20" x14ac:dyDescent="0.45">
      <c r="A466" s="0" t="str">
        <f>_xlfn.TEXTJOIN("_",TRUE,C466,"node",D466,M466,N466)</f>
        <v>s1_node_relic_59_2</v>
      </c>
      <c r="B466" s="0" t="s">
        <v>0</v>
      </c>
      <c r="C466" s="0" t="s">
        <v>26</v>
      </c>
      <c r="D466" s="0" t="s">
        <v>104</v>
      </c>
      <c r="E466" s="0" t="str">
        <f>"s1_node_"&amp;D466&amp;"_name"</f>
        <v>s1_node_relic_name</v>
      </c>
      <c r="F466" s="10" t="str">
        <f>"s1_node_"&amp;D466&amp;"_desc"</f>
        <v>s1_node_relic_desc</v>
      </c>
      <c r="G466" s="0" t="s">
        <v>691</v>
      </c>
      <c r="H466" s="0">
        <v>3</v>
      </c>
      <c r="I466" s="0" t="s">
        <v>27</v>
      </c>
      <c r="J466" s="0" t="s">
        <v>578</v>
      </c>
      <c r="K466" s="0">
        <v>2360</v>
      </c>
      <c r="L466" s="10">
        <v>3</v>
      </c>
      <c r="M466" s="0">
        <v>59</v>
      </c>
      <c r="N466" s="0">
        <v>2</v>
      </c>
      <c r="O466" s="0" t="s">
        <v>805</v>
      </c>
      <c r="T466" s="0" t="str">
        <f>_xlfn.TEXTJOIN("_",TRUE,C466,"node_eff",D466,M466,N466)</f>
        <v>s1_node_eff_relic_59_2</v>
      </c>
    </row>
    <row r="467" spans="1:20" x14ac:dyDescent="0.45">
      <c r="A467" s="0" t="str">
        <f>_xlfn.TEXTJOIN("_",TRUE,C467,"node",D467,M467,N467)</f>
        <v>s1_node_relic_59_6</v>
      </c>
      <c r="B467" s="0" t="s">
        <v>0</v>
      </c>
      <c r="C467" s="0" t="s">
        <v>26</v>
      </c>
      <c r="D467" s="0" t="s">
        <v>104</v>
      </c>
      <c r="E467" s="0" t="str">
        <f>"s1_node_"&amp;D467&amp;"_name"</f>
        <v>s1_node_relic_name</v>
      </c>
      <c r="F467" s="10" t="str">
        <f>"s1_node_"&amp;D467&amp;"_desc"</f>
        <v>s1_node_relic_desc</v>
      </c>
      <c r="G467" s="0" t="s">
        <v>147</v>
      </c>
      <c r="H467" s="0">
        <v>3</v>
      </c>
      <c r="I467" s="0" t="s">
        <v>27</v>
      </c>
      <c r="J467" s="0" t="s">
        <v>578</v>
      </c>
      <c r="K467" s="0">
        <v>2360</v>
      </c>
      <c r="L467" s="10">
        <v>3</v>
      </c>
      <c r="M467" s="0">
        <v>59</v>
      </c>
      <c r="N467" s="0">
        <v>6</v>
      </c>
      <c r="O467" s="0" t="s">
        <v>806</v>
      </c>
      <c r="T467" s="0" t="str">
        <f>_xlfn.TEXTJOIN("_",TRUE,C467,"node_eff",D467,M467,N467)</f>
        <v>s1_node_eff_relic_59_6</v>
      </c>
    </row>
    <row r="468" spans="1:20" x14ac:dyDescent="0.45">
      <c r="A468" s="0" t="str">
        <f>_xlfn.TEXTJOIN("_",TRUE,C468,"node",D468,M468,N468)</f>
        <v>s1_node_relic_60_2</v>
      </c>
      <c r="B468" s="0" t="s">
        <v>0</v>
      </c>
      <c r="C468" s="0" t="s">
        <v>26</v>
      </c>
      <c r="D468" s="0" t="s">
        <v>104</v>
      </c>
      <c r="E468" s="0" t="str">
        <f>"s1_node_"&amp;D468&amp;"_name"</f>
        <v>s1_node_relic_name</v>
      </c>
      <c r="F468" s="10" t="str">
        <f>"s1_node_"&amp;D468&amp;"_desc"</f>
        <v>s1_node_relic_desc</v>
      </c>
      <c r="G468" s="0" t="s">
        <v>672</v>
      </c>
      <c r="H468" s="0">
        <v>3</v>
      </c>
      <c r="I468" s="0" t="s">
        <v>27</v>
      </c>
      <c r="J468" s="0" t="s">
        <v>581</v>
      </c>
      <c r="K468" s="0">
        <v>2400</v>
      </c>
      <c r="L468" s="10">
        <v>3</v>
      </c>
      <c r="M468" s="0">
        <v>60</v>
      </c>
      <c r="N468" s="0">
        <v>2</v>
      </c>
      <c r="O468" s="0" t="s">
        <v>807</v>
      </c>
      <c r="T468" s="0" t="str">
        <f>_xlfn.TEXTJOIN("_",TRUE,C468,"node_eff",D468,M468,N468)</f>
        <v>s1_node_eff_relic_60_2</v>
      </c>
    </row>
    <row r="469" spans="1:20" x14ac:dyDescent="0.45">
      <c r="A469" s="0" t="str">
        <f>_xlfn.TEXTJOIN("_",TRUE,C469,"node",D469,M469,N469)</f>
        <v>s1_node_relic_60_6</v>
      </c>
      <c r="B469" s="0" t="s">
        <v>0</v>
      </c>
      <c r="C469" s="0" t="s">
        <v>26</v>
      </c>
      <c r="D469" s="0" t="s">
        <v>104</v>
      </c>
      <c r="E469" s="0" t="str">
        <f>"s1_node_"&amp;D469&amp;"_name"</f>
        <v>s1_node_relic_name</v>
      </c>
      <c r="F469" s="10" t="str">
        <f>"s1_node_"&amp;D469&amp;"_desc"</f>
        <v>s1_node_relic_desc</v>
      </c>
      <c r="G469" s="0" t="s">
        <v>147</v>
      </c>
      <c r="H469" s="0">
        <v>3</v>
      </c>
      <c r="I469" s="0" t="s">
        <v>27</v>
      </c>
      <c r="J469" s="0" t="s">
        <v>581</v>
      </c>
      <c r="K469" s="0">
        <v>2400</v>
      </c>
      <c r="L469" s="10">
        <v>3</v>
      </c>
      <c r="M469" s="0">
        <v>60</v>
      </c>
      <c r="N469" s="0">
        <v>6</v>
      </c>
      <c r="O469" s="0" t="s">
        <v>808</v>
      </c>
      <c r="T469" s="0" t="str">
        <f>_xlfn.TEXTJOIN("_",TRUE,C469,"node_eff",D469,M469,N469)</f>
        <v>s1_node_eff_relic_60_6</v>
      </c>
    </row>
    <row r="470" spans="1:20" x14ac:dyDescent="0.45">
      <c r="A470" s="0" t="str">
        <f>_xlfn.TEXTJOIN("_",TRUE,C470,"node",D470,M470,N470)</f>
        <v>s1_node_relic_61_4</v>
      </c>
      <c r="B470" s="0" t="s">
        <v>0</v>
      </c>
      <c r="C470" s="0" t="s">
        <v>26</v>
      </c>
      <c r="D470" s="0" t="s">
        <v>104</v>
      </c>
      <c r="E470" s="0" t="str">
        <f>"s1_node_"&amp;D470&amp;"_name"</f>
        <v>s1_node_relic_name</v>
      </c>
      <c r="F470" s="10" t="str">
        <f>"s1_node_"&amp;D470&amp;"_desc"</f>
        <v>s1_node_relic_desc</v>
      </c>
      <c r="G470" s="0" t="s">
        <v>140</v>
      </c>
      <c r="H470" s="0">
        <v>4</v>
      </c>
      <c r="I470" s="0" t="s">
        <v>27</v>
      </c>
      <c r="J470" s="0" t="s">
        <v>327</v>
      </c>
      <c r="K470" s="0">
        <v>2440</v>
      </c>
      <c r="L470" s="10">
        <v>3</v>
      </c>
      <c r="M470" s="0">
        <v>61</v>
      </c>
      <c r="N470" s="0">
        <v>4</v>
      </c>
      <c r="O470" s="0" t="s">
        <v>809</v>
      </c>
      <c r="P470" s="0" t="s">
        <v>810</v>
      </c>
      <c r="T470" s="0" t="str">
        <f>_xlfn.TEXTJOIN("_",TRUE,C470,"node_eff",D470,M470,N470)</f>
        <v>s1_node_eff_relic_61_4</v>
      </c>
    </row>
    <row r="471" spans="1:20" x14ac:dyDescent="0.45">
      <c r="A471" s="0" t="str">
        <f>_xlfn.TEXTJOIN("_",TRUE,C471,"node",D471,M471,N471)</f>
        <v>s1_node_relic_62_2</v>
      </c>
      <c r="B471" s="0" t="s">
        <v>0</v>
      </c>
      <c r="C471" s="0" t="s">
        <v>26</v>
      </c>
      <c r="D471" s="0" t="s">
        <v>104</v>
      </c>
      <c r="E471" s="0" t="str">
        <f>"s1_node_"&amp;D471&amp;"_name"</f>
        <v>s1_node_relic_name</v>
      </c>
      <c r="F471" s="10" t="str">
        <f>"s1_node_"&amp;D471&amp;"_desc"</f>
        <v>s1_node_relic_desc</v>
      </c>
      <c r="G471" s="0" t="s">
        <v>417</v>
      </c>
      <c r="H471" s="0">
        <v>4</v>
      </c>
      <c r="I471" s="0" t="s">
        <v>27</v>
      </c>
      <c r="J471" s="0" t="s">
        <v>330</v>
      </c>
      <c r="K471" s="0">
        <v>2480</v>
      </c>
      <c r="L471" s="10">
        <v>3</v>
      </c>
      <c r="M471" s="0">
        <v>62</v>
      </c>
      <c r="N471" s="0">
        <v>2</v>
      </c>
      <c r="O471" s="0" t="s">
        <v>811</v>
      </c>
      <c r="T471" s="0" t="str">
        <f>_xlfn.TEXTJOIN("_",TRUE,C471,"node_eff",D471,M471,N471)</f>
        <v>s1_node_eff_relic_62_2</v>
      </c>
    </row>
    <row r="472" spans="1:20" x14ac:dyDescent="0.45">
      <c r="A472" s="0" t="str">
        <f>_xlfn.TEXTJOIN("_",TRUE,C472,"node",D472,M472,N472)</f>
        <v>s1_node_relic_62_6</v>
      </c>
      <c r="B472" s="0" t="s">
        <v>0</v>
      </c>
      <c r="C472" s="0" t="s">
        <v>26</v>
      </c>
      <c r="D472" s="0" t="s">
        <v>104</v>
      </c>
      <c r="E472" s="0" t="str">
        <f>"s1_node_"&amp;D472&amp;"_name"</f>
        <v>s1_node_relic_name</v>
      </c>
      <c r="F472" s="10" t="str">
        <f>"s1_node_"&amp;D472&amp;"_desc"</f>
        <v>s1_node_relic_desc</v>
      </c>
      <c r="G472" s="0" t="s">
        <v>147</v>
      </c>
      <c r="H472" s="0">
        <v>4</v>
      </c>
      <c r="I472" s="0" t="s">
        <v>27</v>
      </c>
      <c r="J472" s="0" t="s">
        <v>330</v>
      </c>
      <c r="K472" s="0">
        <v>2480</v>
      </c>
      <c r="L472" s="10">
        <v>3</v>
      </c>
      <c r="M472" s="0">
        <v>62</v>
      </c>
      <c r="N472" s="0">
        <v>6</v>
      </c>
      <c r="O472" s="0" t="s">
        <v>811</v>
      </c>
      <c r="T472" s="0" t="str">
        <f>_xlfn.TEXTJOIN("_",TRUE,C472,"node_eff",D472,M472,N472)</f>
        <v>s1_node_eff_relic_62_6</v>
      </c>
    </row>
    <row r="473" spans="1:20" x14ac:dyDescent="0.45">
      <c r="A473" s="0" t="str">
        <f>_xlfn.TEXTJOIN("_",TRUE,C473,"node",D473,M473,N473)</f>
        <v>s1_node_relic_63_2</v>
      </c>
      <c r="B473" s="0" t="s">
        <v>0</v>
      </c>
      <c r="C473" s="0" t="s">
        <v>26</v>
      </c>
      <c r="D473" s="0" t="s">
        <v>104</v>
      </c>
      <c r="E473" s="0" t="str">
        <f>"s1_node_"&amp;D473&amp;"_name"</f>
        <v>s1_node_relic_name</v>
      </c>
      <c r="F473" s="10" t="str">
        <f>"s1_node_"&amp;D473&amp;"_desc"</f>
        <v>s1_node_relic_desc</v>
      </c>
      <c r="G473" s="0" t="s">
        <v>147</v>
      </c>
      <c r="H473" s="0">
        <v>4</v>
      </c>
      <c r="I473" s="0" t="s">
        <v>27</v>
      </c>
      <c r="J473" s="0" t="s">
        <v>812</v>
      </c>
      <c r="K473" s="0">
        <v>2520</v>
      </c>
      <c r="L473" s="10">
        <v>3</v>
      </c>
      <c r="M473" s="0">
        <v>63</v>
      </c>
      <c r="N473" s="0">
        <v>2</v>
      </c>
      <c r="O473" s="0" t="s">
        <v>813</v>
      </c>
      <c r="T473" s="0" t="str">
        <f>_xlfn.TEXTJOIN("_",TRUE,C473,"node_eff",D473,M473,N473)</f>
        <v>s1_node_eff_relic_63_2</v>
      </c>
    </row>
    <row r="474" spans="1:20" x14ac:dyDescent="0.45">
      <c r="A474" s="0" t="str">
        <f>_xlfn.TEXTJOIN("_",TRUE,C474,"node",D474,M474,N474)</f>
        <v>s1_node_relic_63_6</v>
      </c>
      <c r="B474" s="0" t="s">
        <v>0</v>
      </c>
      <c r="C474" s="0" t="s">
        <v>26</v>
      </c>
      <c r="D474" s="0" t="s">
        <v>104</v>
      </c>
      <c r="E474" s="0" t="str">
        <f>"s1_node_"&amp;D474&amp;"_name"</f>
        <v>s1_node_relic_name</v>
      </c>
      <c r="F474" s="10" t="str">
        <f>"s1_node_"&amp;D474&amp;"_desc"</f>
        <v>s1_node_relic_desc</v>
      </c>
      <c r="G474" s="0" t="s">
        <v>691</v>
      </c>
      <c r="H474" s="0">
        <v>4</v>
      </c>
      <c r="I474" s="0" t="s">
        <v>27</v>
      </c>
      <c r="J474" s="0" t="s">
        <v>812</v>
      </c>
      <c r="K474" s="0">
        <v>2520</v>
      </c>
      <c r="L474" s="10">
        <v>3</v>
      </c>
      <c r="M474" s="0">
        <v>63</v>
      </c>
      <c r="N474" s="0">
        <v>6</v>
      </c>
      <c r="O474" s="0" t="s">
        <v>814</v>
      </c>
      <c r="T474" s="0" t="str">
        <f>_xlfn.TEXTJOIN("_",TRUE,C474,"node_eff",D474,M474,N474)</f>
        <v>s1_node_eff_relic_63_6</v>
      </c>
    </row>
    <row r="475" spans="1:20" x14ac:dyDescent="0.45">
      <c r="A475" s="0" t="str">
        <f>_xlfn.TEXTJOIN("_",TRUE,C475,"node",D475,M475,N475)</f>
        <v>s1_node_relic_64_2</v>
      </c>
      <c r="B475" s="0" t="s">
        <v>0</v>
      </c>
      <c r="C475" s="0" t="s">
        <v>26</v>
      </c>
      <c r="D475" s="0" t="s">
        <v>104</v>
      </c>
      <c r="E475" s="0" t="str">
        <f>"s1_node_"&amp;D475&amp;"_name"</f>
        <v>s1_node_relic_name</v>
      </c>
      <c r="F475" s="10" t="str">
        <f>"s1_node_"&amp;D475&amp;"_desc"</f>
        <v>s1_node_relic_desc</v>
      </c>
      <c r="G475" s="0" t="s">
        <v>136</v>
      </c>
      <c r="H475" s="0">
        <v>4</v>
      </c>
      <c r="I475" s="0" t="s">
        <v>27</v>
      </c>
      <c r="J475" s="0" t="s">
        <v>336</v>
      </c>
      <c r="K475" s="0">
        <v>2550</v>
      </c>
      <c r="L475" s="10">
        <v>3</v>
      </c>
      <c r="M475" s="0">
        <v>64</v>
      </c>
      <c r="N475" s="0">
        <v>2</v>
      </c>
      <c r="O475" s="0" t="s">
        <v>815</v>
      </c>
      <c r="T475" s="0" t="str">
        <f>_xlfn.TEXTJOIN("_",TRUE,C475,"node_eff",D475,M475,N475)</f>
        <v>s1_node_eff_relic_64_2</v>
      </c>
    </row>
    <row r="476" spans="1:20" x14ac:dyDescent="0.45">
      <c r="A476" s="0" t="str">
        <f>_xlfn.TEXTJOIN("_",TRUE,C476,"node",D476,M476,N476)</f>
        <v>s1_node_relic_64_6</v>
      </c>
      <c r="B476" s="0" t="s">
        <v>0</v>
      </c>
      <c r="C476" s="0" t="s">
        <v>26</v>
      </c>
      <c r="D476" s="0" t="s">
        <v>104</v>
      </c>
      <c r="E476" s="0" t="str">
        <f>"s1_node_"&amp;D476&amp;"_name"</f>
        <v>s1_node_relic_name</v>
      </c>
      <c r="F476" s="10" t="str">
        <f>"s1_node_"&amp;D476&amp;"_desc"</f>
        <v>s1_node_relic_desc</v>
      </c>
      <c r="G476" s="0" t="s">
        <v>672</v>
      </c>
      <c r="H476" s="0">
        <v>4</v>
      </c>
      <c r="I476" s="0" t="s">
        <v>27</v>
      </c>
      <c r="J476" s="0" t="s">
        <v>336</v>
      </c>
      <c r="K476" s="0">
        <v>2550</v>
      </c>
      <c r="L476" s="10">
        <v>3</v>
      </c>
      <c r="M476" s="0">
        <v>64</v>
      </c>
      <c r="N476" s="0">
        <v>6</v>
      </c>
      <c r="O476" s="0" t="s">
        <v>816</v>
      </c>
      <c r="T476" s="0" t="str">
        <f>_xlfn.TEXTJOIN("_",TRUE,C476,"node_eff",D476,M476,N476)</f>
        <v>s1_node_eff_relic_64_6</v>
      </c>
    </row>
    <row r="477" spans="1:20" x14ac:dyDescent="0.45">
      <c r="A477" s="0" t="str">
        <f>_xlfn.TEXTJOIN("_",TRUE,C477,"node",D477,M477,N477)</f>
        <v>s1_node_relic_65_2</v>
      </c>
      <c r="B477" s="0" t="s">
        <v>0</v>
      </c>
      <c r="C477" s="0" t="s">
        <v>26</v>
      </c>
      <c r="D477" s="0" t="s">
        <v>104</v>
      </c>
      <c r="E477" s="0" t="str">
        <f>"s1_node_"&amp;D477&amp;"_name"</f>
        <v>s1_node_relic_name</v>
      </c>
      <c r="F477" s="10" t="str">
        <f>"s1_node_"&amp;D477&amp;"_desc"</f>
        <v>s1_node_relic_desc</v>
      </c>
      <c r="G477" s="0" t="s">
        <v>147</v>
      </c>
      <c r="H477" s="0">
        <v>4</v>
      </c>
      <c r="I477" s="0" t="s">
        <v>27</v>
      </c>
      <c r="J477" s="0" t="s">
        <v>817</v>
      </c>
      <c r="K477" s="0">
        <v>2590</v>
      </c>
      <c r="L477" s="10">
        <v>3</v>
      </c>
      <c r="M477" s="0">
        <v>65</v>
      </c>
      <c r="N477" s="0">
        <v>2</v>
      </c>
      <c r="O477" s="0" t="s">
        <v>818</v>
      </c>
      <c r="T477" s="0" t="str">
        <f>_xlfn.TEXTJOIN("_",TRUE,C477,"node_eff",D477,M477,N477)</f>
        <v>s1_node_eff_relic_65_2</v>
      </c>
    </row>
    <row r="478" spans="1:20" x14ac:dyDescent="0.45">
      <c r="A478" s="0" t="str">
        <f>_xlfn.TEXTJOIN("_",TRUE,C478,"node",D478,M478,N478)</f>
        <v>s1_node_relic_65_6</v>
      </c>
      <c r="B478" s="0" t="s">
        <v>0</v>
      </c>
      <c r="C478" s="0" t="s">
        <v>26</v>
      </c>
      <c r="D478" s="0" t="s">
        <v>104</v>
      </c>
      <c r="E478" s="0" t="str">
        <f>"s1_node_"&amp;D478&amp;"_name"</f>
        <v>s1_node_relic_name</v>
      </c>
      <c r="F478" s="10" t="str">
        <f>"s1_node_"&amp;D478&amp;"_desc"</f>
        <v>s1_node_relic_desc</v>
      </c>
      <c r="G478" s="0" t="s">
        <v>140</v>
      </c>
      <c r="H478" s="0">
        <v>4</v>
      </c>
      <c r="I478" s="0" t="s">
        <v>27</v>
      </c>
      <c r="J478" s="0" t="s">
        <v>817</v>
      </c>
      <c r="K478" s="0">
        <v>2590</v>
      </c>
      <c r="L478" s="10">
        <v>3</v>
      </c>
      <c r="M478" s="0">
        <v>65</v>
      </c>
      <c r="N478" s="0">
        <v>6</v>
      </c>
      <c r="O478" s="0" t="s">
        <v>819</v>
      </c>
      <c r="T478" s="0" t="str">
        <f>_xlfn.TEXTJOIN("_",TRUE,C478,"node_eff",D478,M478,N478)</f>
        <v>s1_node_eff_relic_65_6</v>
      </c>
    </row>
    <row r="479" spans="1:20" x14ac:dyDescent="0.45">
      <c r="A479" s="0" t="str">
        <f>_xlfn.TEXTJOIN("_",TRUE,C479,"node",D479,M479,N479)</f>
        <v>s1_node_relic_66_4</v>
      </c>
      <c r="B479" s="0" t="s">
        <v>0</v>
      </c>
      <c r="C479" s="0" t="s">
        <v>26</v>
      </c>
      <c r="D479" s="0" t="s">
        <v>104</v>
      </c>
      <c r="E479" s="0" t="str">
        <f>"s1_node_"&amp;D479&amp;"_name"</f>
        <v>s1_node_relic_name</v>
      </c>
      <c r="F479" s="10" t="str">
        <f>"s1_node_"&amp;D479&amp;"_desc"</f>
        <v>s1_node_relic_desc</v>
      </c>
      <c r="G479" s="0" t="s">
        <v>417</v>
      </c>
      <c r="H479" s="0">
        <v>4</v>
      </c>
      <c r="I479" s="0" t="s">
        <v>27</v>
      </c>
      <c r="J479" s="0" t="s">
        <v>820</v>
      </c>
      <c r="K479" s="0">
        <v>2630</v>
      </c>
      <c r="L479" s="10">
        <v>3</v>
      </c>
      <c r="M479" s="0">
        <v>66</v>
      </c>
      <c r="N479" s="0">
        <v>4</v>
      </c>
      <c r="O479" s="0" t="s">
        <v>821</v>
      </c>
      <c r="P479" s="0" t="s">
        <v>822</v>
      </c>
      <c r="T479" s="0" t="str">
        <f>_xlfn.TEXTJOIN("_",TRUE,C479,"node_eff",D479,M479,N479)</f>
        <v>s1_node_eff_relic_66_4</v>
      </c>
    </row>
    <row r="480" spans="1:20" x14ac:dyDescent="0.45">
      <c r="A480" s="0" t="str">
        <f>_xlfn.TEXTJOIN("_",TRUE,C480,"node",D480,M480,N480)</f>
        <v>s1_node_relic_67_2</v>
      </c>
      <c r="B480" s="0" t="s">
        <v>0</v>
      </c>
      <c r="C480" s="0" t="s">
        <v>26</v>
      </c>
      <c r="D480" s="0" t="s">
        <v>104</v>
      </c>
      <c r="E480" s="0" t="str">
        <f>"s1_node_"&amp;D480&amp;"_name"</f>
        <v>s1_node_relic_name</v>
      </c>
      <c r="F480" s="10" t="str">
        <f>"s1_node_"&amp;D480&amp;"_desc"</f>
        <v>s1_node_relic_desc</v>
      </c>
      <c r="G480" s="0" t="s">
        <v>136</v>
      </c>
      <c r="H480" s="0">
        <v>4</v>
      </c>
      <c r="I480" s="0" t="s">
        <v>27</v>
      </c>
      <c r="J480" s="0" t="s">
        <v>823</v>
      </c>
      <c r="K480" s="0">
        <v>2670</v>
      </c>
      <c r="L480" s="10">
        <v>3</v>
      </c>
      <c r="M480" s="0">
        <v>67</v>
      </c>
      <c r="N480" s="0">
        <v>2</v>
      </c>
      <c r="O480" s="0" t="s">
        <v>824</v>
      </c>
      <c r="T480" s="0" t="str">
        <f>_xlfn.TEXTJOIN("_",TRUE,C480,"node_eff",D480,M480,N480)</f>
        <v>s1_node_eff_relic_67_2</v>
      </c>
    </row>
    <row r="481" spans="1:20" x14ac:dyDescent="0.45">
      <c r="A481" s="0" t="str">
        <f>_xlfn.TEXTJOIN("_",TRUE,C481,"node",D481,M481,N481)</f>
        <v>s1_node_relic_67_6</v>
      </c>
      <c r="B481" s="0" t="s">
        <v>0</v>
      </c>
      <c r="C481" s="0" t="s">
        <v>26</v>
      </c>
      <c r="D481" s="0" t="s">
        <v>104</v>
      </c>
      <c r="E481" s="0" t="str">
        <f>"s1_node_"&amp;D481&amp;"_name"</f>
        <v>s1_node_relic_name</v>
      </c>
      <c r="F481" s="10" t="str">
        <f>"s1_node_"&amp;D481&amp;"_desc"</f>
        <v>s1_node_relic_desc</v>
      </c>
      <c r="G481" s="0" t="s">
        <v>147</v>
      </c>
      <c r="H481" s="0">
        <v>4</v>
      </c>
      <c r="I481" s="0" t="s">
        <v>27</v>
      </c>
      <c r="J481" s="0" t="s">
        <v>823</v>
      </c>
      <c r="K481" s="0">
        <v>2670</v>
      </c>
      <c r="L481" s="10">
        <v>3</v>
      </c>
      <c r="M481" s="0">
        <v>67</v>
      </c>
      <c r="N481" s="0">
        <v>6</v>
      </c>
      <c r="O481" s="0" t="s">
        <v>824</v>
      </c>
      <c r="T481" s="0" t="str">
        <f>_xlfn.TEXTJOIN("_",TRUE,C481,"node_eff",D481,M481,N481)</f>
        <v>s1_node_eff_relic_67_6</v>
      </c>
    </row>
    <row r="482" spans="1:20" x14ac:dyDescent="0.45">
      <c r="A482" s="0" t="str">
        <f>_xlfn.TEXTJOIN("_",TRUE,C482,"node",D482,M482,N482)</f>
        <v>s1_node_relic_68_2</v>
      </c>
      <c r="B482" s="0" t="s">
        <v>0</v>
      </c>
      <c r="C482" s="0" t="s">
        <v>26</v>
      </c>
      <c r="D482" s="0" t="s">
        <v>104</v>
      </c>
      <c r="E482" s="0" t="str">
        <f>"s1_node_"&amp;D482&amp;"_name"</f>
        <v>s1_node_relic_name</v>
      </c>
      <c r="F482" s="10" t="str">
        <f>"s1_node_"&amp;D482&amp;"_desc"</f>
        <v>s1_node_relic_desc</v>
      </c>
      <c r="G482" s="0" t="s">
        <v>691</v>
      </c>
      <c r="H482" s="0">
        <v>4</v>
      </c>
      <c r="I482" s="0" t="s">
        <v>27</v>
      </c>
      <c r="J482" s="0" t="s">
        <v>825</v>
      </c>
      <c r="K482" s="0">
        <v>2710</v>
      </c>
      <c r="L482" s="10">
        <v>3</v>
      </c>
      <c r="M482" s="0">
        <v>68</v>
      </c>
      <c r="N482" s="0">
        <v>2</v>
      </c>
      <c r="O482" s="0" t="s">
        <v>826</v>
      </c>
      <c r="T482" s="0" t="str">
        <f>_xlfn.TEXTJOIN("_",TRUE,C482,"node_eff",D482,M482,N482)</f>
        <v>s1_node_eff_relic_68_2</v>
      </c>
    </row>
    <row r="483" spans="1:20" x14ac:dyDescent="0.45">
      <c r="A483" s="0" t="str">
        <f>_xlfn.TEXTJOIN("_",TRUE,C483,"node",D483,M483,N483)</f>
        <v>s1_node_relic_68_6</v>
      </c>
      <c r="B483" s="0" t="s">
        <v>0</v>
      </c>
      <c r="C483" s="0" t="s">
        <v>26</v>
      </c>
      <c r="D483" s="0" t="s">
        <v>104</v>
      </c>
      <c r="E483" s="0" t="str">
        <f>"s1_node_"&amp;D483&amp;"_name"</f>
        <v>s1_node_relic_name</v>
      </c>
      <c r="F483" s="10" t="str">
        <f>"s1_node_"&amp;D483&amp;"_desc"</f>
        <v>s1_node_relic_desc</v>
      </c>
      <c r="G483" s="0" t="s">
        <v>136</v>
      </c>
      <c r="H483" s="0">
        <v>4</v>
      </c>
      <c r="I483" s="0" t="s">
        <v>27</v>
      </c>
      <c r="J483" s="0" t="s">
        <v>825</v>
      </c>
      <c r="K483" s="0">
        <v>2710</v>
      </c>
      <c r="L483" s="10">
        <v>3</v>
      </c>
      <c r="M483" s="0">
        <v>68</v>
      </c>
      <c r="N483" s="0">
        <v>6</v>
      </c>
      <c r="O483" s="0" t="s">
        <v>827</v>
      </c>
      <c r="T483" s="0" t="str">
        <f>_xlfn.TEXTJOIN("_",TRUE,C483,"node_eff",D483,M483,N483)</f>
        <v>s1_node_eff_relic_68_6</v>
      </c>
    </row>
    <row r="484" spans="1:20" x14ac:dyDescent="0.45">
      <c r="A484" s="0" t="str">
        <f>_xlfn.TEXTJOIN("_",TRUE,C484,"node",D484,M484,N484)</f>
        <v>s1_node_relic_69_2</v>
      </c>
      <c r="B484" s="0" t="s">
        <v>0</v>
      </c>
      <c r="C484" s="0" t="s">
        <v>26</v>
      </c>
      <c r="D484" s="0" t="s">
        <v>104</v>
      </c>
      <c r="E484" s="0" t="str">
        <f>"s1_node_"&amp;D484&amp;"_name"</f>
        <v>s1_node_relic_name</v>
      </c>
      <c r="F484" s="10" t="str">
        <f>"s1_node_"&amp;D484&amp;"_desc"</f>
        <v>s1_node_relic_desc</v>
      </c>
      <c r="G484" s="0" t="s">
        <v>147</v>
      </c>
      <c r="H484" s="0">
        <v>4</v>
      </c>
      <c r="I484" s="0" t="s">
        <v>27</v>
      </c>
      <c r="J484" s="0" t="s">
        <v>828</v>
      </c>
      <c r="K484" s="0">
        <v>2740</v>
      </c>
      <c r="L484" s="10">
        <v>3</v>
      </c>
      <c r="M484" s="0">
        <v>69</v>
      </c>
      <c r="N484" s="0">
        <v>2</v>
      </c>
      <c r="O484" s="0" t="s">
        <v>829</v>
      </c>
      <c r="T484" s="0" t="str">
        <f>_xlfn.TEXTJOIN("_",TRUE,C484,"node_eff",D484,M484,N484)</f>
        <v>s1_node_eff_relic_69_2</v>
      </c>
    </row>
    <row r="485" spans="1:20" x14ac:dyDescent="0.45">
      <c r="A485" s="0" t="str">
        <f>_xlfn.TEXTJOIN("_",TRUE,C485,"node",D485,M485,N485)</f>
        <v>s1_node_relic_69_6</v>
      </c>
      <c r="B485" s="0" t="s">
        <v>0</v>
      </c>
      <c r="C485" s="0" t="s">
        <v>26</v>
      </c>
      <c r="D485" s="0" t="s">
        <v>104</v>
      </c>
      <c r="E485" s="0" t="str">
        <f>"s1_node_"&amp;D485&amp;"_name"</f>
        <v>s1_node_relic_name</v>
      </c>
      <c r="F485" s="10" t="str">
        <f>"s1_node_"&amp;D485&amp;"_desc"</f>
        <v>s1_node_relic_desc</v>
      </c>
      <c r="G485" s="0" t="s">
        <v>147</v>
      </c>
      <c r="H485" s="0">
        <v>4</v>
      </c>
      <c r="I485" s="0" t="s">
        <v>27</v>
      </c>
      <c r="J485" s="0" t="s">
        <v>828</v>
      </c>
      <c r="K485" s="0">
        <v>2740</v>
      </c>
      <c r="L485" s="10">
        <v>3</v>
      </c>
      <c r="M485" s="0">
        <v>69</v>
      </c>
      <c r="N485" s="0">
        <v>6</v>
      </c>
      <c r="O485" s="0" t="s">
        <v>830</v>
      </c>
      <c r="T485" s="0" t="str">
        <f>_xlfn.TEXTJOIN("_",TRUE,C485,"node_eff",D485,M485,N485)</f>
        <v>s1_node_eff_relic_69_6</v>
      </c>
    </row>
    <row r="486" spans="1:20" x14ac:dyDescent="0.45">
      <c r="A486" s="0" t="str">
        <f>_xlfn.TEXTJOIN("_",TRUE,C486,"node",D486,M486,N486)</f>
        <v>s1_node_relic_70_2</v>
      </c>
      <c r="B486" s="0" t="s">
        <v>0</v>
      </c>
      <c r="C486" s="0" t="s">
        <v>26</v>
      </c>
      <c r="D486" s="0" t="s">
        <v>104</v>
      </c>
      <c r="E486" s="0" t="str">
        <f>"s1_node_"&amp;D486&amp;"_name"</f>
        <v>s1_node_relic_name</v>
      </c>
      <c r="F486" s="10" t="str">
        <f>"s1_node_"&amp;D486&amp;"_desc"</f>
        <v>s1_node_relic_desc</v>
      </c>
      <c r="G486" s="0" t="s">
        <v>140</v>
      </c>
      <c r="H486" s="0">
        <v>4</v>
      </c>
      <c r="I486" s="0" t="s">
        <v>27</v>
      </c>
      <c r="J486" s="0" t="s">
        <v>831</v>
      </c>
      <c r="K486" s="0">
        <v>2780</v>
      </c>
      <c r="L486" s="10">
        <v>3</v>
      </c>
      <c r="M486" s="0">
        <v>70</v>
      </c>
      <c r="N486" s="0">
        <v>2</v>
      </c>
      <c r="O486" s="0" t="s">
        <v>832</v>
      </c>
      <c r="T486" s="0" t="str">
        <f>_xlfn.TEXTJOIN("_",TRUE,C486,"node_eff",D486,M486,N486)</f>
        <v>s1_node_eff_relic_70_2</v>
      </c>
    </row>
    <row r="487" spans="1:20" x14ac:dyDescent="0.45">
      <c r="A487" s="0" t="str">
        <f>_xlfn.TEXTJOIN("_",TRUE,C487,"node",D487,M487,N487)</f>
        <v>s1_node_relic_70_6</v>
      </c>
      <c r="B487" s="0" t="s">
        <v>0</v>
      </c>
      <c r="C487" s="0" t="s">
        <v>26</v>
      </c>
      <c r="D487" s="0" t="s">
        <v>104</v>
      </c>
      <c r="E487" s="0" t="str">
        <f>"s1_node_"&amp;D487&amp;"_name"</f>
        <v>s1_node_relic_name</v>
      </c>
      <c r="F487" s="10" t="str">
        <f>"s1_node_"&amp;D487&amp;"_desc"</f>
        <v>s1_node_relic_desc</v>
      </c>
      <c r="G487" s="0" t="s">
        <v>417</v>
      </c>
      <c r="H487" s="0">
        <v>4</v>
      </c>
      <c r="I487" s="0" t="s">
        <v>27</v>
      </c>
      <c r="J487" s="0" t="s">
        <v>831</v>
      </c>
      <c r="K487" s="0">
        <v>2780</v>
      </c>
      <c r="L487" s="10">
        <v>3</v>
      </c>
      <c r="M487" s="0">
        <v>70</v>
      </c>
      <c r="N487" s="0">
        <v>6</v>
      </c>
      <c r="O487" s="0" t="s">
        <v>833</v>
      </c>
      <c r="T487" s="0" t="str">
        <f>_xlfn.TEXTJOIN("_",TRUE,C487,"node_eff",D487,M487,N487)</f>
        <v>s1_node_eff_relic_70_6</v>
      </c>
    </row>
    <row r="488" spans="1:20" x14ac:dyDescent="0.45">
      <c r="A488" s="0" t="str">
        <f>_xlfn.TEXTJOIN("_",TRUE,C488,"node",D488,M488,N488)</f>
        <v>s1_node_relic_71_4</v>
      </c>
      <c r="B488" s="0" t="s">
        <v>0</v>
      </c>
      <c r="C488" s="0" t="s">
        <v>26</v>
      </c>
      <c r="D488" s="0" t="s">
        <v>104</v>
      </c>
      <c r="E488" s="0" t="str">
        <f>"s1_node_"&amp;D488&amp;"_name"</f>
        <v>s1_node_relic_name</v>
      </c>
      <c r="F488" s="10" t="str">
        <f>"s1_node_"&amp;D488&amp;"_desc"</f>
        <v>s1_node_relic_desc</v>
      </c>
      <c r="G488" s="0" t="s">
        <v>136</v>
      </c>
      <c r="H488" s="0">
        <v>4</v>
      </c>
      <c r="I488" s="0" t="s">
        <v>27</v>
      </c>
      <c r="J488" s="0" t="s">
        <v>834</v>
      </c>
      <c r="K488" s="0">
        <v>2820</v>
      </c>
      <c r="L488" s="10">
        <v>3</v>
      </c>
      <c r="M488" s="0">
        <v>71</v>
      </c>
      <c r="N488" s="0">
        <v>4</v>
      </c>
      <c r="O488" s="0" t="s">
        <v>835</v>
      </c>
      <c r="P488" s="0" t="s">
        <v>836</v>
      </c>
      <c r="T488" s="0" t="str">
        <f>_xlfn.TEXTJOIN("_",TRUE,C488,"node_eff",D488,M488,N488)</f>
        <v>s1_node_eff_relic_71_4</v>
      </c>
    </row>
    <row r="489" spans="1:20" x14ac:dyDescent="0.45">
      <c r="A489" s="0" t="str">
        <f>_xlfn.TEXTJOIN("_",TRUE,C489,"node",D489,M489,N489)</f>
        <v>s1_node_relic_72_2</v>
      </c>
      <c r="B489" s="0" t="s">
        <v>0</v>
      </c>
      <c r="C489" s="0" t="s">
        <v>26</v>
      </c>
      <c r="D489" s="0" t="s">
        <v>104</v>
      </c>
      <c r="E489" s="0" t="str">
        <f>"s1_node_"&amp;D489&amp;"_name"</f>
        <v>s1_node_relic_name</v>
      </c>
      <c r="F489" s="10" t="str">
        <f>"s1_node_"&amp;D489&amp;"_desc"</f>
        <v>s1_node_relic_desc</v>
      </c>
      <c r="G489" s="0" t="s">
        <v>147</v>
      </c>
      <c r="H489" s="0">
        <v>4</v>
      </c>
      <c r="I489" s="0" t="s">
        <v>27</v>
      </c>
      <c r="J489" s="0" t="s">
        <v>361</v>
      </c>
      <c r="K489" s="0">
        <v>2860</v>
      </c>
      <c r="L489" s="10">
        <v>3</v>
      </c>
      <c r="M489" s="0">
        <v>72</v>
      </c>
      <c r="N489" s="0">
        <v>2</v>
      </c>
      <c r="O489" s="0" t="s">
        <v>837</v>
      </c>
      <c r="T489" s="0" t="str">
        <f>_xlfn.TEXTJOIN("_",TRUE,C489,"node_eff",D489,M489,N489)</f>
        <v>s1_node_eff_relic_72_2</v>
      </c>
    </row>
    <row r="490" spans="1:20" x14ac:dyDescent="0.45">
      <c r="A490" s="0" t="str">
        <f>_xlfn.TEXTJOIN("_",TRUE,C490,"node",D490,M490,N490)</f>
        <v>s1_node_relic_72_6</v>
      </c>
      <c r="B490" s="0" t="s">
        <v>0</v>
      </c>
      <c r="C490" s="0" t="s">
        <v>26</v>
      </c>
      <c r="D490" s="0" t="s">
        <v>104</v>
      </c>
      <c r="E490" s="0" t="str">
        <f>"s1_node_"&amp;D490&amp;"_name"</f>
        <v>s1_node_relic_name</v>
      </c>
      <c r="F490" s="10" t="str">
        <f>"s1_node_"&amp;D490&amp;"_desc"</f>
        <v>s1_node_relic_desc</v>
      </c>
      <c r="G490" s="0" t="s">
        <v>691</v>
      </c>
      <c r="H490" s="0">
        <v>4</v>
      </c>
      <c r="I490" s="0" t="s">
        <v>27</v>
      </c>
      <c r="J490" s="0" t="s">
        <v>361</v>
      </c>
      <c r="K490" s="0">
        <v>2860</v>
      </c>
      <c r="L490" s="10">
        <v>3</v>
      </c>
      <c r="M490" s="0">
        <v>72</v>
      </c>
      <c r="N490" s="0">
        <v>6</v>
      </c>
      <c r="O490" s="0" t="s">
        <v>837</v>
      </c>
      <c r="T490" s="0" t="str">
        <f>_xlfn.TEXTJOIN("_",TRUE,C490,"node_eff",D490,M490,N490)</f>
        <v>s1_node_eff_relic_72_6</v>
      </c>
    </row>
    <row r="491" spans="1:20" x14ac:dyDescent="0.45">
      <c r="A491" s="0" t="str">
        <f>_xlfn.TEXTJOIN("_",TRUE,C491,"node",D491,M491,N491)</f>
        <v>s1_node_relic_73_2</v>
      </c>
      <c r="B491" s="0" t="s">
        <v>0</v>
      </c>
      <c r="C491" s="0" t="s">
        <v>26</v>
      </c>
      <c r="D491" s="0" t="s">
        <v>104</v>
      </c>
      <c r="E491" s="0" t="str">
        <f>"s1_node_"&amp;D491&amp;"_name"</f>
        <v>s1_node_relic_name</v>
      </c>
      <c r="F491" s="10" t="str">
        <f>"s1_node_"&amp;D491&amp;"_desc"</f>
        <v>s1_node_relic_desc</v>
      </c>
      <c r="G491" s="0" t="s">
        <v>136</v>
      </c>
      <c r="H491" s="0">
        <v>4</v>
      </c>
      <c r="I491" s="0" t="s">
        <v>27</v>
      </c>
      <c r="J491" s="0" t="s">
        <v>364</v>
      </c>
      <c r="K491" s="0">
        <v>2900</v>
      </c>
      <c r="L491" s="10">
        <v>3</v>
      </c>
      <c r="M491" s="0">
        <v>73</v>
      </c>
      <c r="N491" s="0">
        <v>2</v>
      </c>
      <c r="O491" s="0" t="s">
        <v>838</v>
      </c>
      <c r="T491" s="0" t="str">
        <f>_xlfn.TEXTJOIN("_",TRUE,C491,"node_eff",D491,M491,N491)</f>
        <v>s1_node_eff_relic_73_2</v>
      </c>
    </row>
    <row r="492" spans="1:20" x14ac:dyDescent="0.45">
      <c r="A492" s="0" t="str">
        <f>_xlfn.TEXTJOIN("_",TRUE,C492,"node",D492,M492,N492)</f>
        <v>s1_node_relic_73_6</v>
      </c>
      <c r="B492" s="0" t="s">
        <v>0</v>
      </c>
      <c r="C492" s="0" t="s">
        <v>26</v>
      </c>
      <c r="D492" s="0" t="s">
        <v>104</v>
      </c>
      <c r="E492" s="0" t="str">
        <f>"s1_node_"&amp;D492&amp;"_name"</f>
        <v>s1_node_relic_name</v>
      </c>
      <c r="F492" s="10" t="str">
        <f>"s1_node_"&amp;D492&amp;"_desc"</f>
        <v>s1_node_relic_desc</v>
      </c>
      <c r="G492" s="0" t="s">
        <v>147</v>
      </c>
      <c r="H492" s="0">
        <v>4</v>
      </c>
      <c r="I492" s="0" t="s">
        <v>27</v>
      </c>
      <c r="J492" s="0" t="s">
        <v>364</v>
      </c>
      <c r="K492" s="0">
        <v>2900</v>
      </c>
      <c r="L492" s="10">
        <v>3</v>
      </c>
      <c r="M492" s="0">
        <v>73</v>
      </c>
      <c r="N492" s="0">
        <v>6</v>
      </c>
      <c r="O492" s="0" t="s">
        <v>839</v>
      </c>
      <c r="T492" s="0" t="str">
        <f>_xlfn.TEXTJOIN("_",TRUE,C492,"node_eff",D492,M492,N492)</f>
        <v>s1_node_eff_relic_73_6</v>
      </c>
    </row>
    <row r="493" spans="1:20" x14ac:dyDescent="0.45">
      <c r="A493" s="0" t="str">
        <f>_xlfn.TEXTJOIN("_",TRUE,C493,"node",D493,M493,N493)</f>
        <v>s1_node_relic_74_2</v>
      </c>
      <c r="B493" s="0" t="s">
        <v>0</v>
      </c>
      <c r="C493" s="0" t="s">
        <v>26</v>
      </c>
      <c r="D493" s="0" t="s">
        <v>104</v>
      </c>
      <c r="E493" s="0" t="str">
        <f>"s1_node_"&amp;D493&amp;"_name"</f>
        <v>s1_node_relic_name</v>
      </c>
      <c r="F493" s="10" t="str">
        <f>"s1_node_"&amp;D493&amp;"_desc"</f>
        <v>s1_node_relic_desc</v>
      </c>
      <c r="G493" s="0" t="s">
        <v>672</v>
      </c>
      <c r="H493" s="0">
        <v>4</v>
      </c>
      <c r="I493" s="0" t="s">
        <v>27</v>
      </c>
      <c r="J493" s="0" t="s">
        <v>366</v>
      </c>
      <c r="K493" s="0">
        <v>2930</v>
      </c>
      <c r="L493" s="10">
        <v>3</v>
      </c>
      <c r="M493" s="0">
        <v>74</v>
      </c>
      <c r="N493" s="0">
        <v>2</v>
      </c>
      <c r="O493" s="0" t="s">
        <v>840</v>
      </c>
      <c r="T493" s="0" t="str">
        <f>_xlfn.TEXTJOIN("_",TRUE,C493,"node_eff",D493,M493,N493)</f>
        <v>s1_node_eff_relic_74_2</v>
      </c>
    </row>
    <row r="494" spans="1:20" x14ac:dyDescent="0.45">
      <c r="A494" s="0" t="str">
        <f>_xlfn.TEXTJOIN("_",TRUE,C494,"node",D494,M494,N494)</f>
        <v>s1_node_relic_74_6</v>
      </c>
      <c r="B494" s="0" t="s">
        <v>0</v>
      </c>
      <c r="C494" s="0" t="s">
        <v>26</v>
      </c>
      <c r="D494" s="0" t="s">
        <v>104</v>
      </c>
      <c r="E494" s="0" t="str">
        <f>"s1_node_"&amp;D494&amp;"_name"</f>
        <v>s1_node_relic_name</v>
      </c>
      <c r="F494" s="10" t="str">
        <f>"s1_node_"&amp;D494&amp;"_desc"</f>
        <v>s1_node_relic_desc</v>
      </c>
      <c r="G494" s="0" t="s">
        <v>140</v>
      </c>
      <c r="H494" s="0">
        <v>4</v>
      </c>
      <c r="I494" s="0" t="s">
        <v>27</v>
      </c>
      <c r="J494" s="0" t="s">
        <v>366</v>
      </c>
      <c r="K494" s="0">
        <v>2930</v>
      </c>
      <c r="L494" s="10">
        <v>3</v>
      </c>
      <c r="M494" s="0">
        <v>74</v>
      </c>
      <c r="N494" s="0">
        <v>6</v>
      </c>
      <c r="O494" s="0" t="s">
        <v>841</v>
      </c>
      <c r="T494" s="0" t="str">
        <f>_xlfn.TEXTJOIN("_",TRUE,C494,"node_eff",D494,M494,N494)</f>
        <v>s1_node_eff_relic_74_6</v>
      </c>
    </row>
    <row r="495" spans="1:20" x14ac:dyDescent="0.45">
      <c r="A495" s="0" t="str">
        <f>_xlfn.TEXTJOIN("_",TRUE,C495,"node",D495,M495,N495)</f>
        <v>s1_node_relic_75_2</v>
      </c>
      <c r="B495" s="0" t="s">
        <v>0</v>
      </c>
      <c r="C495" s="0" t="s">
        <v>26</v>
      </c>
      <c r="D495" s="0" t="s">
        <v>104</v>
      </c>
      <c r="E495" s="0" t="str">
        <f>"s1_node_"&amp;D495&amp;"_name"</f>
        <v>s1_node_relic_name</v>
      </c>
      <c r="F495" s="10" t="str">
        <f>"s1_node_"&amp;D495&amp;"_desc"</f>
        <v>s1_node_relic_desc</v>
      </c>
      <c r="G495" s="0" t="s">
        <v>417</v>
      </c>
      <c r="H495" s="0">
        <v>4</v>
      </c>
      <c r="I495" s="0" t="s">
        <v>27</v>
      </c>
      <c r="J495" s="0" t="s">
        <v>616</v>
      </c>
      <c r="K495" s="0">
        <v>2970</v>
      </c>
      <c r="L495" s="10">
        <v>3</v>
      </c>
      <c r="M495" s="0">
        <v>75</v>
      </c>
      <c r="N495" s="0">
        <v>2</v>
      </c>
      <c r="O495" s="0" t="s">
        <v>842</v>
      </c>
      <c r="T495" s="0" t="str">
        <f>_xlfn.TEXTJOIN("_",TRUE,C495,"node_eff",D495,M495,N495)</f>
        <v>s1_node_eff_relic_75_2</v>
      </c>
    </row>
    <row r="496" spans="1:20" x14ac:dyDescent="0.45">
      <c r="A496" s="0" t="str">
        <f>_xlfn.TEXTJOIN("_",TRUE,C496,"node",D496,M496,N496)</f>
        <v>s1_node_relic_75_6</v>
      </c>
      <c r="B496" s="0" t="s">
        <v>0</v>
      </c>
      <c r="C496" s="0" t="s">
        <v>26</v>
      </c>
      <c r="D496" s="0" t="s">
        <v>104</v>
      </c>
      <c r="E496" s="0" t="str">
        <f>"s1_node_"&amp;D496&amp;"_name"</f>
        <v>s1_node_relic_name</v>
      </c>
      <c r="F496" s="10" t="str">
        <f>"s1_node_"&amp;D496&amp;"_desc"</f>
        <v>s1_node_relic_desc</v>
      </c>
      <c r="G496" s="0" t="s">
        <v>136</v>
      </c>
      <c r="H496" s="0">
        <v>4</v>
      </c>
      <c r="I496" s="0" t="s">
        <v>27</v>
      </c>
      <c r="J496" s="0" t="s">
        <v>616</v>
      </c>
      <c r="K496" s="0">
        <v>2970</v>
      </c>
      <c r="L496" s="10">
        <v>3</v>
      </c>
      <c r="M496" s="0">
        <v>75</v>
      </c>
      <c r="N496" s="0">
        <v>6</v>
      </c>
      <c r="O496" s="0" t="s">
        <v>843</v>
      </c>
      <c r="T496" s="0" t="str">
        <f>_xlfn.TEXTJOIN("_",TRUE,C496,"node_eff",D496,M496,N496)</f>
        <v>s1_node_eff_relic_75_6</v>
      </c>
    </row>
    <row r="497" spans="1:20" x14ac:dyDescent="0.45">
      <c r="A497" s="0" t="str">
        <f>_xlfn.TEXTJOIN("_",TRUE,C497,"node",D497,M497,N497)</f>
        <v>s1_node_relic_76_4</v>
      </c>
      <c r="B497" s="0" t="s">
        <v>0</v>
      </c>
      <c r="C497" s="0" t="s">
        <v>26</v>
      </c>
      <c r="D497" s="0" t="s">
        <v>104</v>
      </c>
      <c r="E497" s="0" t="str">
        <f>"s1_node_"&amp;D497&amp;"_name"</f>
        <v>s1_node_relic_name</v>
      </c>
      <c r="F497" s="10" t="str">
        <f>"s1_node_"&amp;D497&amp;"_desc"</f>
        <v>s1_node_relic_desc</v>
      </c>
      <c r="G497" s="0" t="s">
        <v>147</v>
      </c>
      <c r="H497" s="0">
        <v>4</v>
      </c>
      <c r="I497" s="0" t="s">
        <v>27</v>
      </c>
      <c r="J497" s="0" t="s">
        <v>619</v>
      </c>
      <c r="K497" s="0">
        <v>3010</v>
      </c>
      <c r="L497" s="10">
        <v>3</v>
      </c>
      <c r="M497" s="0">
        <v>76</v>
      </c>
      <c r="N497" s="0">
        <v>4</v>
      </c>
      <c r="O497" s="0" t="s">
        <v>844</v>
      </c>
      <c r="P497" s="0" t="s">
        <v>845</v>
      </c>
      <c r="T497" s="0" t="str">
        <f>_xlfn.TEXTJOIN("_",TRUE,C497,"node_eff",D497,M497,N497)</f>
        <v>s1_node_eff_relic_76_4</v>
      </c>
    </row>
    <row r="498" spans="1:20" x14ac:dyDescent="0.45">
      <c r="A498" s="0" t="str">
        <f>_xlfn.TEXTJOIN("_",TRUE,C498,"node",D498,M498,N498)</f>
        <v>s1_node_relic_77_2</v>
      </c>
      <c r="B498" s="0" t="s">
        <v>0</v>
      </c>
      <c r="C498" s="0" t="s">
        <v>26</v>
      </c>
      <c r="D498" s="0" t="s">
        <v>104</v>
      </c>
      <c r="E498" s="0" t="str">
        <f>"s1_node_"&amp;D498&amp;"_name"</f>
        <v>s1_node_relic_name</v>
      </c>
      <c r="F498" s="10" t="str">
        <f>"s1_node_"&amp;D498&amp;"_desc"</f>
        <v>s1_node_relic_desc</v>
      </c>
      <c r="G498" s="0" t="s">
        <v>147</v>
      </c>
      <c r="H498" s="0">
        <v>4</v>
      </c>
      <c r="I498" s="0" t="s">
        <v>27</v>
      </c>
      <c r="J498" s="0" t="s">
        <v>846</v>
      </c>
      <c r="K498" s="0">
        <v>3050</v>
      </c>
      <c r="L498" s="10">
        <v>3</v>
      </c>
      <c r="M498" s="0">
        <v>77</v>
      </c>
      <c r="N498" s="0">
        <v>2</v>
      </c>
      <c r="O498" s="0" t="s">
        <v>847</v>
      </c>
      <c r="T498" s="0" t="str">
        <f>_xlfn.TEXTJOIN("_",TRUE,C498,"node_eff",D498,M498,N498)</f>
        <v>s1_node_eff_relic_77_2</v>
      </c>
    </row>
    <row r="499" spans="1:20" x14ac:dyDescent="0.45">
      <c r="A499" s="0" t="str">
        <f>_xlfn.TEXTJOIN("_",TRUE,C499,"node",D499,M499,N499)</f>
        <v>s1_node_relic_77_6</v>
      </c>
      <c r="B499" s="0" t="s">
        <v>0</v>
      </c>
      <c r="C499" s="0" t="s">
        <v>26</v>
      </c>
      <c r="D499" s="0" t="s">
        <v>104</v>
      </c>
      <c r="E499" s="0" t="str">
        <f>"s1_node_"&amp;D499&amp;"_name"</f>
        <v>s1_node_relic_name</v>
      </c>
      <c r="F499" s="10" t="str">
        <f>"s1_node_"&amp;D499&amp;"_desc"</f>
        <v>s1_node_relic_desc</v>
      </c>
      <c r="G499" s="0" t="s">
        <v>136</v>
      </c>
      <c r="H499" s="0">
        <v>4</v>
      </c>
      <c r="I499" s="0" t="s">
        <v>27</v>
      </c>
      <c r="J499" s="0" t="s">
        <v>846</v>
      </c>
      <c r="K499" s="0">
        <v>3050</v>
      </c>
      <c r="L499" s="10">
        <v>3</v>
      </c>
      <c r="M499" s="0">
        <v>77</v>
      </c>
      <c r="N499" s="0">
        <v>6</v>
      </c>
      <c r="O499" s="0" t="s">
        <v>847</v>
      </c>
      <c r="T499" s="0" t="str">
        <f>_xlfn.TEXTJOIN("_",TRUE,C499,"node_eff",D499,M499,N499)</f>
        <v>s1_node_eff_relic_77_6</v>
      </c>
    </row>
    <row r="500" spans="1:20" x14ac:dyDescent="0.45">
      <c r="A500" s="0" t="str">
        <f>_xlfn.TEXTJOIN("_",TRUE,C500,"node",D500,M500,N500)</f>
        <v>s1_node_relic_78_2</v>
      </c>
      <c r="B500" s="0" t="s">
        <v>0</v>
      </c>
      <c r="C500" s="0" t="s">
        <v>26</v>
      </c>
      <c r="D500" s="0" t="s">
        <v>104</v>
      </c>
      <c r="E500" s="0" t="str">
        <f>"s1_node_"&amp;D500&amp;"_name"</f>
        <v>s1_node_relic_name</v>
      </c>
      <c r="F500" s="10" t="str">
        <f>"s1_node_"&amp;D500&amp;"_desc"</f>
        <v>s1_node_relic_desc</v>
      </c>
      <c r="G500" s="0" t="s">
        <v>147</v>
      </c>
      <c r="H500" s="0">
        <v>4</v>
      </c>
      <c r="I500" s="0" t="s">
        <v>27</v>
      </c>
      <c r="J500" s="0" t="s">
        <v>624</v>
      </c>
      <c r="K500" s="0">
        <v>3080</v>
      </c>
      <c r="L500" s="10">
        <v>3</v>
      </c>
      <c r="M500" s="0">
        <v>78</v>
      </c>
      <c r="N500" s="0">
        <v>2</v>
      </c>
      <c r="O500" s="0" t="s">
        <v>848</v>
      </c>
      <c r="T500" s="0" t="str">
        <f>_xlfn.TEXTJOIN("_",TRUE,C500,"node_eff",D500,M500,N500)</f>
        <v>s1_node_eff_relic_78_2</v>
      </c>
    </row>
    <row r="501" spans="1:20" x14ac:dyDescent="0.45">
      <c r="A501" s="0" t="str">
        <f>_xlfn.TEXTJOIN("_",TRUE,C501,"node",D501,M501,N501)</f>
        <v>s1_node_relic_78_6</v>
      </c>
      <c r="B501" s="0" t="s">
        <v>0</v>
      </c>
      <c r="C501" s="0" t="s">
        <v>26</v>
      </c>
      <c r="D501" s="0" t="s">
        <v>104</v>
      </c>
      <c r="E501" s="0" t="str">
        <f>"s1_node_"&amp;D501&amp;"_name"</f>
        <v>s1_node_relic_name</v>
      </c>
      <c r="F501" s="10" t="str">
        <f>"s1_node_"&amp;D501&amp;"_desc"</f>
        <v>s1_node_relic_desc</v>
      </c>
      <c r="G501" s="0" t="s">
        <v>672</v>
      </c>
      <c r="H501" s="0">
        <v>4</v>
      </c>
      <c r="I501" s="0" t="s">
        <v>27</v>
      </c>
      <c r="J501" s="0" t="s">
        <v>624</v>
      </c>
      <c r="K501" s="0">
        <v>3080</v>
      </c>
      <c r="L501" s="10">
        <v>3</v>
      </c>
      <c r="M501" s="0">
        <v>78</v>
      </c>
      <c r="N501" s="0">
        <v>6</v>
      </c>
      <c r="O501" s="0" t="s">
        <v>849</v>
      </c>
      <c r="T501" s="0" t="str">
        <f>_xlfn.TEXTJOIN("_",TRUE,C501,"node_eff",D501,M501,N501)</f>
        <v>s1_node_eff_relic_78_6</v>
      </c>
    </row>
    <row r="502" spans="1:20" x14ac:dyDescent="0.45">
      <c r="A502" s="0" t="str">
        <f>_xlfn.TEXTJOIN("_",TRUE,C502,"node",D502,M502,N502)</f>
        <v>s1_node_relic_79_2</v>
      </c>
      <c r="B502" s="0" t="s">
        <v>0</v>
      </c>
      <c r="C502" s="0" t="s">
        <v>26</v>
      </c>
      <c r="D502" s="0" t="s">
        <v>104</v>
      </c>
      <c r="E502" s="0" t="str">
        <f>"s1_node_"&amp;D502&amp;"_name"</f>
        <v>s1_node_relic_name</v>
      </c>
      <c r="F502" s="10" t="str">
        <f>"s1_node_"&amp;D502&amp;"_desc"</f>
        <v>s1_node_relic_desc</v>
      </c>
      <c r="G502" s="0" t="s">
        <v>147</v>
      </c>
      <c r="H502" s="0">
        <v>4</v>
      </c>
      <c r="I502" s="0" t="s">
        <v>27</v>
      </c>
      <c r="J502" s="0" t="s">
        <v>850</v>
      </c>
      <c r="K502" s="0">
        <v>3120</v>
      </c>
      <c r="L502" s="10">
        <v>3</v>
      </c>
      <c r="M502" s="0">
        <v>79</v>
      </c>
      <c r="N502" s="0">
        <v>2</v>
      </c>
      <c r="O502" s="0" t="s">
        <v>851</v>
      </c>
      <c r="T502" s="0" t="str">
        <f>_xlfn.TEXTJOIN("_",TRUE,C502,"node_eff",D502,M502,N502)</f>
        <v>s1_node_eff_relic_79_2</v>
      </c>
    </row>
    <row r="503" spans="1:20" x14ac:dyDescent="0.45">
      <c r="A503" s="0" t="str">
        <f>_xlfn.TEXTJOIN("_",TRUE,C503,"node",D503,M503,N503)</f>
        <v>s1_node_relic_79_6</v>
      </c>
      <c r="B503" s="0" t="s">
        <v>0</v>
      </c>
      <c r="C503" s="0" t="s">
        <v>26</v>
      </c>
      <c r="D503" s="0" t="s">
        <v>104</v>
      </c>
      <c r="E503" s="0" t="str">
        <f>"s1_node_"&amp;D503&amp;"_name"</f>
        <v>s1_node_relic_name</v>
      </c>
      <c r="F503" s="10" t="str">
        <f>"s1_node_"&amp;D503&amp;"_desc"</f>
        <v>s1_node_relic_desc</v>
      </c>
      <c r="G503" s="0" t="s">
        <v>417</v>
      </c>
      <c r="H503" s="0">
        <v>4</v>
      </c>
      <c r="I503" s="0" t="s">
        <v>27</v>
      </c>
      <c r="J503" s="0" t="s">
        <v>850</v>
      </c>
      <c r="K503" s="0">
        <v>3120</v>
      </c>
      <c r="L503" s="10">
        <v>3</v>
      </c>
      <c r="M503" s="0">
        <v>79</v>
      </c>
      <c r="N503" s="0">
        <v>6</v>
      </c>
      <c r="O503" s="0" t="s">
        <v>852</v>
      </c>
      <c r="T503" s="0" t="str">
        <f>_xlfn.TEXTJOIN("_",TRUE,C503,"node_eff",D503,M503,N503)</f>
        <v>s1_node_eff_relic_79_6</v>
      </c>
    </row>
    <row r="504" spans="1:20" x14ac:dyDescent="0.45">
      <c r="A504" s="0" t="str">
        <f>_xlfn.TEXTJOIN("_",TRUE,C504,"node",D504,M504,N504)</f>
        <v>s1_node_relic_80_2</v>
      </c>
      <c r="B504" s="0" t="s">
        <v>0</v>
      </c>
      <c r="C504" s="0" t="s">
        <v>26</v>
      </c>
      <c r="D504" s="0" t="s">
        <v>104</v>
      </c>
      <c r="E504" s="0" t="str">
        <f>"s1_node_"&amp;D504&amp;"_name"</f>
        <v>s1_node_relic_name</v>
      </c>
      <c r="F504" s="10" t="str">
        <f>"s1_node_"&amp;D504&amp;"_desc"</f>
        <v>s1_node_relic_desc</v>
      </c>
      <c r="G504" s="0" t="s">
        <v>136</v>
      </c>
      <c r="H504" s="0">
        <v>4</v>
      </c>
      <c r="I504" s="0" t="s">
        <v>27</v>
      </c>
      <c r="J504" s="0" t="s">
        <v>853</v>
      </c>
      <c r="K504" s="0">
        <v>3160</v>
      </c>
      <c r="L504" s="10">
        <v>3</v>
      </c>
      <c r="M504" s="0">
        <v>80</v>
      </c>
      <c r="N504" s="0">
        <v>2</v>
      </c>
      <c r="O504" s="0" t="s">
        <v>854</v>
      </c>
      <c r="T504" s="0" t="str">
        <f>_xlfn.TEXTJOIN("_",TRUE,C504,"node_eff",D504,M504,N504)</f>
        <v>s1_node_eff_relic_80_2</v>
      </c>
    </row>
    <row r="505" spans="1:20" x14ac:dyDescent="0.45">
      <c r="A505" s="0" t="str">
        <f>_xlfn.TEXTJOIN("_",TRUE,C505,"node",D505,M505,N505)</f>
        <v>s1_node_relic_80_6</v>
      </c>
      <c r="B505" s="0" t="s">
        <v>0</v>
      </c>
      <c r="C505" s="0" t="s">
        <v>26</v>
      </c>
      <c r="D505" s="0" t="s">
        <v>104</v>
      </c>
      <c r="E505" s="0" t="str">
        <f>"s1_node_"&amp;D505&amp;"_name"</f>
        <v>s1_node_relic_name</v>
      </c>
      <c r="F505" s="10" t="str">
        <f>"s1_node_"&amp;D505&amp;"_desc"</f>
        <v>s1_node_relic_desc</v>
      </c>
      <c r="G505" s="0" t="s">
        <v>147</v>
      </c>
      <c r="H505" s="0">
        <v>4</v>
      </c>
      <c r="I505" s="0" t="s">
        <v>27</v>
      </c>
      <c r="J505" s="0" t="s">
        <v>853</v>
      </c>
      <c r="K505" s="0">
        <v>3160</v>
      </c>
      <c r="L505" s="10">
        <v>3</v>
      </c>
      <c r="M505" s="0">
        <v>80</v>
      </c>
      <c r="N505" s="0">
        <v>6</v>
      </c>
      <c r="O505" s="0" t="s">
        <v>855</v>
      </c>
      <c r="T505" s="0" t="str">
        <f>_xlfn.TEXTJOIN("_",TRUE,C505,"node_eff",D505,M505,N505)</f>
        <v>s1_node_eff_relic_80_6</v>
      </c>
    </row>
    <row r="506" spans="1:20" x14ac:dyDescent="0.45">
      <c r="A506" s="0" t="str">
        <f>_xlfn.TEXTJOIN("_",TRUE,C506,"node",D506,M506,N506)</f>
        <v>s1_node_relic_81_4</v>
      </c>
      <c r="B506" s="0" t="s">
        <v>0</v>
      </c>
      <c r="C506" s="0" t="s">
        <v>26</v>
      </c>
      <c r="D506" s="0" t="s">
        <v>104</v>
      </c>
      <c r="E506" s="0" t="str">
        <f>"s1_node_"&amp;D506&amp;"_name"</f>
        <v>s1_node_relic_name</v>
      </c>
      <c r="F506" s="10" t="str">
        <f>"s1_node_"&amp;D506&amp;"_desc"</f>
        <v>s1_node_relic_desc</v>
      </c>
      <c r="G506" s="0" t="s">
        <v>147</v>
      </c>
      <c r="H506" s="0">
        <v>5</v>
      </c>
      <c r="I506" s="0" t="s">
        <v>27</v>
      </c>
      <c r="J506" s="0" t="s">
        <v>856</v>
      </c>
      <c r="K506" s="0">
        <v>3200</v>
      </c>
      <c r="L506" s="10">
        <v>3</v>
      </c>
      <c r="M506" s="0">
        <v>81</v>
      </c>
      <c r="N506" s="0">
        <v>4</v>
      </c>
      <c r="O506" s="0" t="s">
        <v>857</v>
      </c>
      <c r="P506" s="0" t="s">
        <v>858</v>
      </c>
      <c r="T506" s="0" t="str">
        <f>_xlfn.TEXTJOIN("_",TRUE,C506,"node_eff",D506,M506,N506)</f>
        <v>s1_node_eff_relic_81_4</v>
      </c>
    </row>
    <row r="507" spans="1:20" x14ac:dyDescent="0.45">
      <c r="A507" s="0" t="str">
        <f>_xlfn.TEXTJOIN("_",TRUE,C507,"node",D507,M507,N507)</f>
        <v>s1_node_relic_82_2</v>
      </c>
      <c r="B507" s="0" t="s">
        <v>0</v>
      </c>
      <c r="C507" s="0" t="s">
        <v>26</v>
      </c>
      <c r="D507" s="0" t="s">
        <v>104</v>
      </c>
      <c r="E507" s="0" t="str">
        <f>"s1_node_"&amp;D507&amp;"_name"</f>
        <v>s1_node_relic_name</v>
      </c>
      <c r="F507" s="10" t="str">
        <f>"s1_node_"&amp;D507&amp;"_desc"</f>
        <v>s1_node_relic_desc</v>
      </c>
      <c r="G507" s="0" t="s">
        <v>691</v>
      </c>
      <c r="H507" s="0">
        <v>5</v>
      </c>
      <c r="I507" s="0" t="s">
        <v>27</v>
      </c>
      <c r="J507" s="0" t="s">
        <v>392</v>
      </c>
      <c r="K507" s="0">
        <v>3240</v>
      </c>
      <c r="L507" s="10">
        <v>3</v>
      </c>
      <c r="M507" s="0">
        <v>82</v>
      </c>
      <c r="N507" s="0">
        <v>2</v>
      </c>
      <c r="O507" s="0" t="s">
        <v>859</v>
      </c>
      <c r="T507" s="0" t="str">
        <f>_xlfn.TEXTJOIN("_",TRUE,C507,"node_eff",D507,M507,N507)</f>
        <v>s1_node_eff_relic_82_2</v>
      </c>
    </row>
    <row r="508" spans="1:20" x14ac:dyDescent="0.45">
      <c r="A508" s="0" t="str">
        <f>_xlfn.TEXTJOIN("_",TRUE,C508,"node",D508,M508,N508)</f>
        <v>s1_node_relic_82_6</v>
      </c>
      <c r="B508" s="0" t="s">
        <v>0</v>
      </c>
      <c r="C508" s="0" t="s">
        <v>26</v>
      </c>
      <c r="D508" s="0" t="s">
        <v>104</v>
      </c>
      <c r="E508" s="0" t="str">
        <f>"s1_node_"&amp;D508&amp;"_name"</f>
        <v>s1_node_relic_name</v>
      </c>
      <c r="F508" s="10" t="str">
        <f>"s1_node_"&amp;D508&amp;"_desc"</f>
        <v>s1_node_relic_desc</v>
      </c>
      <c r="G508" s="0" t="s">
        <v>147</v>
      </c>
      <c r="H508" s="0">
        <v>5</v>
      </c>
      <c r="I508" s="0" t="s">
        <v>27</v>
      </c>
      <c r="J508" s="0" t="s">
        <v>392</v>
      </c>
      <c r="K508" s="0">
        <v>3240</v>
      </c>
      <c r="L508" s="10">
        <v>3</v>
      </c>
      <c r="M508" s="0">
        <v>82</v>
      </c>
      <c r="N508" s="0">
        <v>6</v>
      </c>
      <c r="O508" s="0" t="s">
        <v>859</v>
      </c>
      <c r="T508" s="0" t="str">
        <f>_xlfn.TEXTJOIN("_",TRUE,C508,"node_eff",D508,M508,N508)</f>
        <v>s1_node_eff_relic_82_6</v>
      </c>
    </row>
    <row r="509" spans="1:20" x14ac:dyDescent="0.45">
      <c r="A509" s="0" t="str">
        <f>_xlfn.TEXTJOIN("_",TRUE,C509,"node",D509,M509,N509)</f>
        <v>s1_node_relic_83_2</v>
      </c>
      <c r="B509" s="0" t="s">
        <v>0</v>
      </c>
      <c r="C509" s="0" t="s">
        <v>26</v>
      </c>
      <c r="D509" s="0" t="s">
        <v>104</v>
      </c>
      <c r="E509" s="0" t="str">
        <f>"s1_node_"&amp;D509&amp;"_name"</f>
        <v>s1_node_relic_name</v>
      </c>
      <c r="F509" s="10" t="str">
        <f>"s1_node_"&amp;D509&amp;"_desc"</f>
        <v>s1_node_relic_desc</v>
      </c>
      <c r="G509" s="0" t="s">
        <v>672</v>
      </c>
      <c r="H509" s="0">
        <v>5</v>
      </c>
      <c r="I509" s="0" t="s">
        <v>27</v>
      </c>
      <c r="J509" s="0" t="s">
        <v>860</v>
      </c>
      <c r="K509" s="0">
        <v>3270</v>
      </c>
      <c r="L509" s="10">
        <v>3</v>
      </c>
      <c r="M509" s="0">
        <v>83</v>
      </c>
      <c r="N509" s="0">
        <v>2</v>
      </c>
      <c r="O509" s="0" t="s">
        <v>861</v>
      </c>
      <c r="T509" s="0" t="str">
        <f>_xlfn.TEXTJOIN("_",TRUE,C509,"node_eff",D509,M509,N509)</f>
        <v>s1_node_eff_relic_83_2</v>
      </c>
    </row>
    <row r="510" spans="1:20" x14ac:dyDescent="0.45">
      <c r="A510" s="0" t="str">
        <f>_xlfn.TEXTJOIN("_",TRUE,C510,"node",D510,M510,N510)</f>
        <v>s1_node_relic_83_6</v>
      </c>
      <c r="B510" s="0" t="s">
        <v>0</v>
      </c>
      <c r="C510" s="0" t="s">
        <v>26</v>
      </c>
      <c r="D510" s="0" t="s">
        <v>104</v>
      </c>
      <c r="E510" s="0" t="str">
        <f>"s1_node_"&amp;D510&amp;"_name"</f>
        <v>s1_node_relic_name</v>
      </c>
      <c r="F510" s="10" t="str">
        <f>"s1_node_"&amp;D510&amp;"_desc"</f>
        <v>s1_node_relic_desc</v>
      </c>
      <c r="G510" s="0" t="s">
        <v>147</v>
      </c>
      <c r="H510" s="0">
        <v>5</v>
      </c>
      <c r="I510" s="0" t="s">
        <v>27</v>
      </c>
      <c r="J510" s="0" t="s">
        <v>860</v>
      </c>
      <c r="K510" s="0">
        <v>3270</v>
      </c>
      <c r="L510" s="10">
        <v>3</v>
      </c>
      <c r="M510" s="0">
        <v>83</v>
      </c>
      <c r="N510" s="0">
        <v>6</v>
      </c>
      <c r="O510" s="0" t="s">
        <v>862</v>
      </c>
      <c r="T510" s="0" t="str">
        <f>_xlfn.TEXTJOIN("_",TRUE,C510,"node_eff",D510,M510,N510)</f>
        <v>s1_node_eff_relic_83_6</v>
      </c>
    </row>
    <row r="511" spans="1:20" x14ac:dyDescent="0.45">
      <c r="A511" s="0" t="str">
        <f>_xlfn.TEXTJOIN("_",TRUE,C511,"node",D511,M511,N511)</f>
        <v>s1_node_relic_84_2</v>
      </c>
      <c r="B511" s="0" t="s">
        <v>0</v>
      </c>
      <c r="C511" s="0" t="s">
        <v>26</v>
      </c>
      <c r="D511" s="0" t="s">
        <v>104</v>
      </c>
      <c r="E511" s="0" t="str">
        <f>"s1_node_"&amp;D511&amp;"_name"</f>
        <v>s1_node_relic_name</v>
      </c>
      <c r="F511" s="10" t="str">
        <f>"s1_node_"&amp;D511&amp;"_desc"</f>
        <v>s1_node_relic_desc</v>
      </c>
      <c r="G511" s="0" t="s">
        <v>140</v>
      </c>
      <c r="H511" s="0">
        <v>5</v>
      </c>
      <c r="I511" s="0" t="s">
        <v>27</v>
      </c>
      <c r="J511" s="0" t="s">
        <v>397</v>
      </c>
      <c r="K511" s="0">
        <v>3310</v>
      </c>
      <c r="L511" s="10">
        <v>3</v>
      </c>
      <c r="M511" s="0">
        <v>84</v>
      </c>
      <c r="N511" s="0">
        <v>2</v>
      </c>
      <c r="O511" s="0" t="s">
        <v>863</v>
      </c>
      <c r="T511" s="0" t="str">
        <f>_xlfn.TEXTJOIN("_",TRUE,C511,"node_eff",D511,M511,N511)</f>
        <v>s1_node_eff_relic_84_2</v>
      </c>
    </row>
    <row r="512" spans="1:20" x14ac:dyDescent="0.45">
      <c r="A512" s="0" t="str">
        <f>_xlfn.TEXTJOIN("_",TRUE,C512,"node",D512,M512,N512)</f>
        <v>s1_node_relic_84_6</v>
      </c>
      <c r="B512" s="0" t="s">
        <v>0</v>
      </c>
      <c r="C512" s="0" t="s">
        <v>26</v>
      </c>
      <c r="D512" s="0" t="s">
        <v>104</v>
      </c>
      <c r="E512" s="0" t="str">
        <f>"s1_node_"&amp;D512&amp;"_name"</f>
        <v>s1_node_relic_name</v>
      </c>
      <c r="F512" s="10" t="str">
        <f>"s1_node_"&amp;D512&amp;"_desc"</f>
        <v>s1_node_relic_desc</v>
      </c>
      <c r="G512" s="0" t="s">
        <v>136</v>
      </c>
      <c r="H512" s="0">
        <v>5</v>
      </c>
      <c r="I512" s="0" t="s">
        <v>27</v>
      </c>
      <c r="J512" s="0" t="s">
        <v>397</v>
      </c>
      <c r="K512" s="0">
        <v>3310</v>
      </c>
      <c r="L512" s="10">
        <v>3</v>
      </c>
      <c r="M512" s="0">
        <v>84</v>
      </c>
      <c r="N512" s="0">
        <v>6</v>
      </c>
      <c r="O512" s="0" t="s">
        <v>864</v>
      </c>
      <c r="T512" s="0" t="str">
        <f>_xlfn.TEXTJOIN("_",TRUE,C512,"node_eff",D512,M512,N512)</f>
        <v>s1_node_eff_relic_84_6</v>
      </c>
    </row>
    <row r="513" spans="1:20" x14ac:dyDescent="0.45">
      <c r="A513" s="0" t="str">
        <f>_xlfn.TEXTJOIN("_",TRUE,C513,"node",D513,M513,N513)</f>
        <v>s1_node_relic_85_2</v>
      </c>
      <c r="B513" s="0" t="s">
        <v>0</v>
      </c>
      <c r="C513" s="0" t="s">
        <v>26</v>
      </c>
      <c r="D513" s="0" t="s">
        <v>104</v>
      </c>
      <c r="E513" s="0" t="str">
        <f>"s1_node_"&amp;D513&amp;"_name"</f>
        <v>s1_node_relic_name</v>
      </c>
      <c r="F513" s="10" t="str">
        <f>"s1_node_"&amp;D513&amp;"_desc"</f>
        <v>s1_node_relic_desc</v>
      </c>
      <c r="G513" s="0" t="s">
        <v>147</v>
      </c>
      <c r="H513" s="0">
        <v>5</v>
      </c>
      <c r="I513" s="0" t="s">
        <v>27</v>
      </c>
      <c r="J513" s="0" t="s">
        <v>400</v>
      </c>
      <c r="K513" s="0">
        <v>3350</v>
      </c>
      <c r="L513" s="10">
        <v>3</v>
      </c>
      <c r="M513" s="0">
        <v>85</v>
      </c>
      <c r="N513" s="0">
        <v>2</v>
      </c>
      <c r="O513" s="0" t="s">
        <v>865</v>
      </c>
      <c r="T513" s="0" t="str">
        <f>_xlfn.TEXTJOIN("_",TRUE,C513,"node_eff",D513,M513,N513)</f>
        <v>s1_node_eff_relic_85_2</v>
      </c>
    </row>
    <row r="514" spans="1:20" x14ac:dyDescent="0.45">
      <c r="A514" s="0" t="str">
        <f>_xlfn.TEXTJOIN("_",TRUE,C514,"node",D514,M514,N514)</f>
        <v>s1_node_relic_85_6</v>
      </c>
      <c r="B514" s="0" t="s">
        <v>0</v>
      </c>
      <c r="C514" s="0" t="s">
        <v>26</v>
      </c>
      <c r="D514" s="0" t="s">
        <v>104</v>
      </c>
      <c r="E514" s="0" t="str">
        <f>"s1_node_"&amp;D514&amp;"_name"</f>
        <v>s1_node_relic_name</v>
      </c>
      <c r="F514" s="10" t="str">
        <f>"s1_node_"&amp;D514&amp;"_desc"</f>
        <v>s1_node_relic_desc</v>
      </c>
      <c r="G514" s="0" t="s">
        <v>147</v>
      </c>
      <c r="H514" s="0">
        <v>5</v>
      </c>
      <c r="I514" s="0" t="s">
        <v>27</v>
      </c>
      <c r="J514" s="0" t="s">
        <v>400</v>
      </c>
      <c r="K514" s="0">
        <v>3350</v>
      </c>
      <c r="L514" s="10">
        <v>3</v>
      </c>
      <c r="M514" s="0">
        <v>85</v>
      </c>
      <c r="N514" s="0">
        <v>6</v>
      </c>
      <c r="O514" s="0" t="s">
        <v>866</v>
      </c>
      <c r="T514" s="0" t="str">
        <f>_xlfn.TEXTJOIN("_",TRUE,C514,"node_eff",D514,M514,N514)</f>
        <v>s1_node_eff_relic_85_6</v>
      </c>
    </row>
    <row r="515" spans="1:20" x14ac:dyDescent="0.45">
      <c r="A515" s="0" t="str">
        <f>_xlfn.TEXTJOIN("_",TRUE,C515,"node",D515,M515,N515)</f>
        <v>s1_node_relic_86_4</v>
      </c>
      <c r="B515" s="0" t="s">
        <v>0</v>
      </c>
      <c r="C515" s="0" t="s">
        <v>26</v>
      </c>
      <c r="D515" s="0" t="s">
        <v>104</v>
      </c>
      <c r="E515" s="0" t="str">
        <f>"s1_node_"&amp;D515&amp;"_name"</f>
        <v>s1_node_relic_name</v>
      </c>
      <c r="F515" s="10" t="str">
        <f>"s1_node_"&amp;D515&amp;"_desc"</f>
        <v>s1_node_relic_desc</v>
      </c>
      <c r="G515" s="0" t="s">
        <v>691</v>
      </c>
      <c r="H515" s="0">
        <v>5</v>
      </c>
      <c r="I515" s="0" t="s">
        <v>27</v>
      </c>
      <c r="J515" s="0" t="s">
        <v>867</v>
      </c>
      <c r="K515" s="0">
        <v>3390</v>
      </c>
      <c r="L515" s="10">
        <v>3</v>
      </c>
      <c r="M515" s="0">
        <v>86</v>
      </c>
      <c r="N515" s="0">
        <v>4</v>
      </c>
      <c r="O515" s="0" t="s">
        <v>868</v>
      </c>
      <c r="P515" s="0" t="s">
        <v>869</v>
      </c>
      <c r="T515" s="0" t="str">
        <f>_xlfn.TEXTJOIN("_",TRUE,C515,"node_eff",D515,M515,N515)</f>
        <v>s1_node_eff_relic_86_4</v>
      </c>
    </row>
    <row r="516" spans="1:20" x14ac:dyDescent="0.45">
      <c r="A516" s="0" t="str">
        <f>_xlfn.TEXTJOIN("_",TRUE,C516,"node",D516,M516,N516)</f>
        <v>s1_node_relic_87_2</v>
      </c>
      <c r="B516" s="0" t="s">
        <v>0</v>
      </c>
      <c r="C516" s="0" t="s">
        <v>26</v>
      </c>
      <c r="D516" s="0" t="s">
        <v>104</v>
      </c>
      <c r="E516" s="0" t="str">
        <f>"s1_node_"&amp;D516&amp;"_name"</f>
        <v>s1_node_relic_name</v>
      </c>
      <c r="F516" s="10" t="str">
        <f>"s1_node_"&amp;D516&amp;"_desc"</f>
        <v>s1_node_relic_desc</v>
      </c>
      <c r="G516" s="0" t="s">
        <v>136</v>
      </c>
      <c r="H516" s="0">
        <v>5</v>
      </c>
      <c r="I516" s="0" t="s">
        <v>27</v>
      </c>
      <c r="J516" s="0" t="s">
        <v>870</v>
      </c>
      <c r="K516" s="0">
        <v>3430</v>
      </c>
      <c r="L516" s="10">
        <v>3</v>
      </c>
      <c r="M516" s="0">
        <v>87</v>
      </c>
      <c r="N516" s="0">
        <v>2</v>
      </c>
      <c r="O516" s="0" t="s">
        <v>871</v>
      </c>
      <c r="T516" s="0" t="str">
        <f>_xlfn.TEXTJOIN("_",TRUE,C516,"node_eff",D516,M516,N516)</f>
        <v>s1_node_eff_relic_87_2</v>
      </c>
    </row>
    <row r="517" spans="1:20" x14ac:dyDescent="0.45">
      <c r="A517" s="0" t="str">
        <f>_xlfn.TEXTJOIN("_",TRUE,C517,"node",D517,M517,N517)</f>
        <v>s1_node_relic_87_6</v>
      </c>
      <c r="B517" s="0" t="s">
        <v>0</v>
      </c>
      <c r="C517" s="0" t="s">
        <v>26</v>
      </c>
      <c r="D517" s="0" t="s">
        <v>104</v>
      </c>
      <c r="E517" s="0" t="str">
        <f>"s1_node_"&amp;D517&amp;"_name"</f>
        <v>s1_node_relic_name</v>
      </c>
      <c r="F517" s="10" t="str">
        <f>"s1_node_"&amp;D517&amp;"_desc"</f>
        <v>s1_node_relic_desc</v>
      </c>
      <c r="G517" s="0" t="s">
        <v>672</v>
      </c>
      <c r="H517" s="0">
        <v>5</v>
      </c>
      <c r="I517" s="0" t="s">
        <v>27</v>
      </c>
      <c r="J517" s="0" t="s">
        <v>870</v>
      </c>
      <c r="K517" s="0">
        <v>3430</v>
      </c>
      <c r="L517" s="10">
        <v>3</v>
      </c>
      <c r="M517" s="0">
        <v>87</v>
      </c>
      <c r="N517" s="0">
        <v>6</v>
      </c>
      <c r="O517" s="0" t="s">
        <v>871</v>
      </c>
      <c r="T517" s="0" t="str">
        <f>_xlfn.TEXTJOIN("_",TRUE,C517,"node_eff",D517,M517,N517)</f>
        <v>s1_node_eff_relic_87_6</v>
      </c>
    </row>
    <row r="518" spans="1:20" x14ac:dyDescent="0.45">
      <c r="A518" s="0" t="str">
        <f>_xlfn.TEXTJOIN("_",TRUE,C518,"node",D518,M518,N518)</f>
        <v>s1_node_relic_88_2</v>
      </c>
      <c r="B518" s="0" t="s">
        <v>0</v>
      </c>
      <c r="C518" s="0" t="s">
        <v>26</v>
      </c>
      <c r="D518" s="0" t="s">
        <v>104</v>
      </c>
      <c r="E518" s="0" t="str">
        <f>"s1_node_"&amp;D518&amp;"_name"</f>
        <v>s1_node_relic_name</v>
      </c>
      <c r="F518" s="10" t="str">
        <f>"s1_node_"&amp;D518&amp;"_desc"</f>
        <v>s1_node_relic_desc</v>
      </c>
      <c r="G518" s="0" t="s">
        <v>147</v>
      </c>
      <c r="H518" s="0">
        <v>5</v>
      </c>
      <c r="I518" s="0" t="s">
        <v>27</v>
      </c>
      <c r="J518" s="0" t="s">
        <v>872</v>
      </c>
      <c r="K518" s="0">
        <v>3460</v>
      </c>
      <c r="L518" s="10">
        <v>3</v>
      </c>
      <c r="M518" s="0">
        <v>88</v>
      </c>
      <c r="N518" s="0">
        <v>2</v>
      </c>
      <c r="O518" s="0" t="s">
        <v>873</v>
      </c>
      <c r="T518" s="0" t="str">
        <f>_xlfn.TEXTJOIN("_",TRUE,C518,"node_eff",D518,M518,N518)</f>
        <v>s1_node_eff_relic_88_2</v>
      </c>
    </row>
    <row r="519" spans="1:20" x14ac:dyDescent="0.45">
      <c r="A519" s="0" t="str">
        <f>_xlfn.TEXTJOIN("_",TRUE,C519,"node",D519,M519,N519)</f>
        <v>s1_node_relic_88_6</v>
      </c>
      <c r="B519" s="0" t="s">
        <v>0</v>
      </c>
      <c r="C519" s="0" t="s">
        <v>26</v>
      </c>
      <c r="D519" s="0" t="s">
        <v>104</v>
      </c>
      <c r="E519" s="0" t="str">
        <f>"s1_node_"&amp;D519&amp;"_name"</f>
        <v>s1_node_relic_name</v>
      </c>
      <c r="F519" s="10" t="str">
        <f>"s1_node_"&amp;D519&amp;"_desc"</f>
        <v>s1_node_relic_desc</v>
      </c>
      <c r="G519" s="0" t="s">
        <v>140</v>
      </c>
      <c r="H519" s="0">
        <v>5</v>
      </c>
      <c r="I519" s="0" t="s">
        <v>27</v>
      </c>
      <c r="J519" s="0" t="s">
        <v>872</v>
      </c>
      <c r="K519" s="0">
        <v>3460</v>
      </c>
      <c r="L519" s="10">
        <v>3</v>
      </c>
      <c r="M519" s="0">
        <v>88</v>
      </c>
      <c r="N519" s="0">
        <v>6</v>
      </c>
      <c r="O519" s="0" t="s">
        <v>874</v>
      </c>
      <c r="T519" s="0" t="str">
        <f>_xlfn.TEXTJOIN("_",TRUE,C519,"node_eff",D519,M519,N519)</f>
        <v>s1_node_eff_relic_88_6</v>
      </c>
    </row>
    <row r="520" spans="1:20" x14ac:dyDescent="0.45">
      <c r="A520" s="0" t="str">
        <f>_xlfn.TEXTJOIN("_",TRUE,C520,"node",D520,M520,N520)</f>
        <v>s1_node_relic_89_2</v>
      </c>
      <c r="B520" s="0" t="s">
        <v>0</v>
      </c>
      <c r="C520" s="0" t="s">
        <v>26</v>
      </c>
      <c r="D520" s="0" t="s">
        <v>104</v>
      </c>
      <c r="E520" s="0" t="str">
        <f>"s1_node_"&amp;D520&amp;"_name"</f>
        <v>s1_node_relic_name</v>
      </c>
      <c r="F520" s="10" t="str">
        <f>"s1_node_"&amp;D520&amp;"_desc"</f>
        <v>s1_node_relic_desc</v>
      </c>
      <c r="G520" s="0" t="s">
        <v>417</v>
      </c>
      <c r="H520" s="0">
        <v>5</v>
      </c>
      <c r="I520" s="0" t="s">
        <v>27</v>
      </c>
      <c r="J520" s="0" t="s">
        <v>875</v>
      </c>
      <c r="K520" s="0">
        <v>3500</v>
      </c>
      <c r="L520" s="10">
        <v>3</v>
      </c>
      <c r="M520" s="0">
        <v>89</v>
      </c>
      <c r="N520" s="0">
        <v>2</v>
      </c>
      <c r="O520" s="0" t="s">
        <v>876</v>
      </c>
      <c r="T520" s="0" t="str">
        <f>_xlfn.TEXTJOIN("_",TRUE,C520,"node_eff",D520,M520,N520)</f>
        <v>s1_node_eff_relic_89_2</v>
      </c>
    </row>
    <row r="521" spans="1:20" x14ac:dyDescent="0.45">
      <c r="A521" s="0" t="str">
        <f>_xlfn.TEXTJOIN("_",TRUE,C521,"node",D521,M521,N521)</f>
        <v>s1_node_relic_89_6</v>
      </c>
      <c r="B521" s="0" t="s">
        <v>0</v>
      </c>
      <c r="C521" s="0" t="s">
        <v>26</v>
      </c>
      <c r="D521" s="0" t="s">
        <v>104</v>
      </c>
      <c r="E521" s="0" t="str">
        <f>"s1_node_"&amp;D521&amp;"_name"</f>
        <v>s1_node_relic_name</v>
      </c>
      <c r="F521" s="10" t="str">
        <f>"s1_node_"&amp;D521&amp;"_desc"</f>
        <v>s1_node_relic_desc</v>
      </c>
      <c r="G521" s="0" t="s">
        <v>147</v>
      </c>
      <c r="H521" s="0">
        <v>5</v>
      </c>
      <c r="I521" s="0" t="s">
        <v>27</v>
      </c>
      <c r="J521" s="0" t="s">
        <v>875</v>
      </c>
      <c r="K521" s="0">
        <v>3500</v>
      </c>
      <c r="L521" s="10">
        <v>3</v>
      </c>
      <c r="M521" s="0">
        <v>89</v>
      </c>
      <c r="N521" s="0">
        <v>6</v>
      </c>
      <c r="O521" s="0" t="s">
        <v>877</v>
      </c>
      <c r="T521" s="0" t="str">
        <f>_xlfn.TEXTJOIN("_",TRUE,C521,"node_eff",D521,M521,N521)</f>
        <v>s1_node_eff_relic_89_6</v>
      </c>
    </row>
    <row r="522" spans="1:20" x14ac:dyDescent="0.45">
      <c r="A522" s="0" t="str">
        <f>_xlfn.TEXTJOIN("_",TRUE,C522,"node",D522,M522,N522)</f>
        <v>s1_node_relic_90_2</v>
      </c>
      <c r="B522" s="0" t="s">
        <v>0</v>
      </c>
      <c r="C522" s="0" t="s">
        <v>26</v>
      </c>
      <c r="D522" s="0" t="s">
        <v>104</v>
      </c>
      <c r="E522" s="0" t="str">
        <f>"s1_node_"&amp;D522&amp;"_name"</f>
        <v>s1_node_relic_name</v>
      </c>
      <c r="F522" s="10" t="str">
        <f>"s1_node_"&amp;D522&amp;"_desc"</f>
        <v>s1_node_relic_desc</v>
      </c>
      <c r="G522" s="0" t="s">
        <v>147</v>
      </c>
      <c r="H522" s="0">
        <v>5</v>
      </c>
      <c r="I522" s="0" t="s">
        <v>27</v>
      </c>
      <c r="J522" s="0" t="s">
        <v>661</v>
      </c>
      <c r="K522" s="0">
        <v>3540</v>
      </c>
      <c r="L522" s="10">
        <v>3</v>
      </c>
      <c r="M522" s="0">
        <v>90</v>
      </c>
      <c r="N522" s="0">
        <v>2</v>
      </c>
      <c r="O522" s="0" t="s">
        <v>878</v>
      </c>
      <c r="T522" s="0" t="str">
        <f>_xlfn.TEXTJOIN("_",TRUE,C522,"node_eff",D522,M522,N522)</f>
        <v>s1_node_eff_relic_90_2</v>
      </c>
    </row>
    <row r="523" spans="1:20" x14ac:dyDescent="0.45">
      <c r="A523" s="0" t="str">
        <f>_xlfn.TEXTJOIN("_",TRUE,C523,"node",D523,M523,N523)</f>
        <v>s1_node_relic_90_6</v>
      </c>
      <c r="B523" s="0" t="s">
        <v>0</v>
      </c>
      <c r="C523" s="0" t="s">
        <v>26</v>
      </c>
      <c r="D523" s="0" t="s">
        <v>104</v>
      </c>
      <c r="E523" s="0" t="str">
        <f>"s1_node_"&amp;D523&amp;"_name"</f>
        <v>s1_node_relic_name</v>
      </c>
      <c r="F523" s="10" t="str">
        <f>"s1_node_"&amp;D523&amp;"_desc"</f>
        <v>s1_node_relic_desc</v>
      </c>
      <c r="G523" s="0" t="s">
        <v>691</v>
      </c>
      <c r="H523" s="0">
        <v>5</v>
      </c>
      <c r="I523" s="0" t="s">
        <v>27</v>
      </c>
      <c r="J523" s="0" t="s">
        <v>661</v>
      </c>
      <c r="K523" s="0">
        <v>3540</v>
      </c>
      <c r="L523" s="10">
        <v>3</v>
      </c>
      <c r="M523" s="0">
        <v>90</v>
      </c>
      <c r="N523" s="0">
        <v>6</v>
      </c>
      <c r="O523" s="0" t="s">
        <v>879</v>
      </c>
      <c r="T523" s="0" t="str">
        <f>_xlfn.TEXTJOIN("_",TRUE,C523,"node_eff",D523,M523,N523)</f>
        <v>s1_node_eff_relic_90_6</v>
      </c>
    </row>
    <row r="524" spans="1:20" x14ac:dyDescent="0.45">
      <c r="A524" s="0" t="str">
        <f>_xlfn.TEXTJOIN("_",TRUE,C524,"node",D524,M524,N524)</f>
        <v>s1_node_relic_91_4</v>
      </c>
      <c r="B524" s="0" t="s">
        <v>0</v>
      </c>
      <c r="C524" s="0" t="s">
        <v>26</v>
      </c>
      <c r="D524" s="0" t="s">
        <v>104</v>
      </c>
      <c r="E524" s="0" t="str">
        <f>"s1_node_"&amp;D524&amp;"_name"</f>
        <v>s1_node_relic_name</v>
      </c>
      <c r="F524" s="10" t="str">
        <f>"s1_node_"&amp;D524&amp;"_desc"</f>
        <v>s1_node_relic_desc</v>
      </c>
      <c r="G524" s="0" t="s">
        <v>136</v>
      </c>
      <c r="H524" s="0">
        <v>5</v>
      </c>
      <c r="I524" s="0" t="s">
        <v>27</v>
      </c>
      <c r="J524" s="0" t="s">
        <v>663</v>
      </c>
      <c r="K524" s="0">
        <v>3580</v>
      </c>
      <c r="L524" s="10">
        <v>3</v>
      </c>
      <c r="M524" s="0">
        <v>91</v>
      </c>
      <c r="N524" s="0">
        <v>4</v>
      </c>
      <c r="O524" s="0" t="s">
        <v>880</v>
      </c>
      <c r="P524" s="0" t="s">
        <v>881</v>
      </c>
      <c r="T524" s="0" t="str">
        <f>_xlfn.TEXTJOIN("_",TRUE,C524,"node_eff",D524,M524,N524)</f>
        <v>s1_node_eff_relic_91_4</v>
      </c>
    </row>
    <row r="525" spans="1:20" x14ac:dyDescent="0.45">
      <c r="A525" s="0" t="str">
        <f>_xlfn.TEXTJOIN("_",TRUE,C525,"node",D525,M525,N525)</f>
        <v>s1_node_relic_92_2</v>
      </c>
      <c r="B525" s="0" t="s">
        <v>0</v>
      </c>
      <c r="C525" s="0" t="s">
        <v>26</v>
      </c>
      <c r="D525" s="0" t="s">
        <v>104</v>
      </c>
      <c r="E525" s="0" t="str">
        <f>"s1_node_"&amp;D525&amp;"_name"</f>
        <v>s1_node_relic_name</v>
      </c>
      <c r="F525" s="10" t="str">
        <f>"s1_node_"&amp;D525&amp;"_desc"</f>
        <v>s1_node_relic_desc</v>
      </c>
      <c r="G525" s="0" t="s">
        <v>147</v>
      </c>
      <c r="H525" s="0">
        <v>5</v>
      </c>
      <c r="I525" s="0" t="s">
        <v>27</v>
      </c>
      <c r="J525" s="0" t="s">
        <v>882</v>
      </c>
      <c r="K525" s="0">
        <v>3620</v>
      </c>
      <c r="L525" s="10">
        <v>3</v>
      </c>
      <c r="M525" s="0">
        <v>92</v>
      </c>
      <c r="N525" s="0">
        <v>2</v>
      </c>
      <c r="O525" s="0" t="s">
        <v>883</v>
      </c>
      <c r="T525" s="0" t="str">
        <f>_xlfn.TEXTJOIN("_",TRUE,C525,"node_eff",D525,M525,N525)</f>
        <v>s1_node_eff_relic_92_2</v>
      </c>
    </row>
    <row r="526" spans="1:20" x14ac:dyDescent="0.45">
      <c r="A526" s="0" t="str">
        <f>_xlfn.TEXTJOIN("_",TRUE,C526,"node",D526,M526,N526)</f>
        <v>s1_node_relic_92_6</v>
      </c>
      <c r="B526" s="0" t="s">
        <v>0</v>
      </c>
      <c r="C526" s="0" t="s">
        <v>26</v>
      </c>
      <c r="D526" s="0" t="s">
        <v>104</v>
      </c>
      <c r="E526" s="0" t="str">
        <f>"s1_node_"&amp;D526&amp;"_name"</f>
        <v>s1_node_relic_name</v>
      </c>
      <c r="F526" s="10" t="str">
        <f>"s1_node_"&amp;D526&amp;"_desc"</f>
        <v>s1_node_relic_desc</v>
      </c>
      <c r="G526" s="0" t="s">
        <v>147</v>
      </c>
      <c r="H526" s="0">
        <v>5</v>
      </c>
      <c r="I526" s="0" t="s">
        <v>27</v>
      </c>
      <c r="J526" s="0" t="s">
        <v>882</v>
      </c>
      <c r="K526" s="0">
        <v>3620</v>
      </c>
      <c r="L526" s="10">
        <v>3</v>
      </c>
      <c r="M526" s="0">
        <v>92</v>
      </c>
      <c r="N526" s="0">
        <v>6</v>
      </c>
      <c r="O526" s="0" t="s">
        <v>883</v>
      </c>
      <c r="T526" s="0" t="str">
        <f>_xlfn.TEXTJOIN("_",TRUE,C526,"node_eff",D526,M526,N526)</f>
        <v>s1_node_eff_relic_92_6</v>
      </c>
    </row>
    <row r="527" spans="1:20" x14ac:dyDescent="0.45">
      <c r="A527" s="0" t="str">
        <f>_xlfn.TEXTJOIN("_",TRUE,C527,"node",D527,M527,N527)</f>
        <v>s1_node_relic_93_2</v>
      </c>
      <c r="B527" s="0" t="s">
        <v>0</v>
      </c>
      <c r="C527" s="0" t="s">
        <v>26</v>
      </c>
      <c r="D527" s="0" t="s">
        <v>104</v>
      </c>
      <c r="E527" s="0" t="str">
        <f>"s1_node_"&amp;D527&amp;"_name"</f>
        <v>s1_node_relic_name</v>
      </c>
      <c r="F527" s="10" t="str">
        <f>"s1_node_"&amp;D527&amp;"_desc"</f>
        <v>s1_node_relic_desc</v>
      </c>
      <c r="G527" s="0" t="s">
        <v>140</v>
      </c>
      <c r="H527" s="0">
        <v>5</v>
      </c>
      <c r="I527" s="0" t="s">
        <v>27</v>
      </c>
      <c r="J527" s="0" t="s">
        <v>669</v>
      </c>
      <c r="K527" s="0">
        <v>3650</v>
      </c>
      <c r="L527" s="10">
        <v>3</v>
      </c>
      <c r="M527" s="0">
        <v>93</v>
      </c>
      <c r="N527" s="0">
        <v>2</v>
      </c>
      <c r="O527" s="0" t="s">
        <v>884</v>
      </c>
      <c r="T527" s="0" t="str">
        <f>_xlfn.TEXTJOIN("_",TRUE,C527,"node_eff",D527,M527,N527)</f>
        <v>s1_node_eff_relic_93_2</v>
      </c>
    </row>
    <row r="528" spans="1:20" x14ac:dyDescent="0.45">
      <c r="A528" s="0" t="str">
        <f>_xlfn.TEXTJOIN("_",TRUE,C528,"node",D528,M528,N528)</f>
        <v>s1_node_relic_93_6</v>
      </c>
      <c r="B528" s="0" t="s">
        <v>0</v>
      </c>
      <c r="C528" s="0" t="s">
        <v>26</v>
      </c>
      <c r="D528" s="0" t="s">
        <v>104</v>
      </c>
      <c r="E528" s="0" t="str">
        <f>"s1_node_"&amp;D528&amp;"_name"</f>
        <v>s1_node_relic_name</v>
      </c>
      <c r="F528" s="10" t="str">
        <f>"s1_node_"&amp;D528&amp;"_desc"</f>
        <v>s1_node_relic_desc</v>
      </c>
      <c r="G528" s="0" t="s">
        <v>417</v>
      </c>
      <c r="H528" s="0">
        <v>5</v>
      </c>
      <c r="I528" s="0" t="s">
        <v>27</v>
      </c>
      <c r="J528" s="0" t="s">
        <v>669</v>
      </c>
      <c r="K528" s="0">
        <v>3650</v>
      </c>
      <c r="L528" s="10">
        <v>3</v>
      </c>
      <c r="M528" s="0">
        <v>93</v>
      </c>
      <c r="N528" s="0">
        <v>6</v>
      </c>
      <c r="O528" s="0" t="s">
        <v>885</v>
      </c>
      <c r="T528" s="0" t="str">
        <f>_xlfn.TEXTJOIN("_",TRUE,C528,"node_eff",D528,M528,N528)</f>
        <v>s1_node_eff_relic_93_6</v>
      </c>
    </row>
    <row r="529" spans="1:20" x14ac:dyDescent="0.45">
      <c r="A529" s="0" t="str">
        <f>_xlfn.TEXTJOIN("_",TRUE,C529,"node",D529,M529,N529)</f>
        <v>s1_node_relic_94_2</v>
      </c>
      <c r="B529" s="0" t="s">
        <v>0</v>
      </c>
      <c r="C529" s="0" t="s">
        <v>26</v>
      </c>
      <c r="D529" s="0" t="s">
        <v>104</v>
      </c>
      <c r="E529" s="0" t="str">
        <f>"s1_node_"&amp;D529&amp;"_name"</f>
        <v>s1_node_relic_name</v>
      </c>
      <c r="F529" s="10" t="str">
        <f>"s1_node_"&amp;D529&amp;"_desc"</f>
        <v>s1_node_relic_desc</v>
      </c>
      <c r="G529" s="0" t="s">
        <v>136</v>
      </c>
      <c r="H529" s="0">
        <v>5</v>
      </c>
      <c r="I529" s="0" t="s">
        <v>27</v>
      </c>
      <c r="J529" s="0" t="s">
        <v>886</v>
      </c>
      <c r="K529" s="0">
        <v>3690</v>
      </c>
      <c r="L529" s="10">
        <v>3</v>
      </c>
      <c r="M529" s="0">
        <v>94</v>
      </c>
      <c r="N529" s="0">
        <v>2</v>
      </c>
      <c r="O529" s="0" t="s">
        <v>887</v>
      </c>
      <c r="T529" s="0" t="str">
        <f>_xlfn.TEXTJOIN("_",TRUE,C529,"node_eff",D529,M529,N529)</f>
        <v>s1_node_eff_relic_94_2</v>
      </c>
    </row>
    <row r="530" spans="1:20" x14ac:dyDescent="0.45">
      <c r="A530" s="0" t="str">
        <f>_xlfn.TEXTJOIN("_",TRUE,C530,"node",D530,M530,N530)</f>
        <v>s1_node_relic_94_6</v>
      </c>
      <c r="B530" s="0" t="s">
        <v>0</v>
      </c>
      <c r="C530" s="0" t="s">
        <v>26</v>
      </c>
      <c r="D530" s="0" t="s">
        <v>104</v>
      </c>
      <c r="E530" s="0" t="str">
        <f>"s1_node_"&amp;D530&amp;"_name"</f>
        <v>s1_node_relic_name</v>
      </c>
      <c r="F530" s="10" t="str">
        <f>"s1_node_"&amp;D530&amp;"_desc"</f>
        <v>s1_node_relic_desc</v>
      </c>
      <c r="G530" s="0" t="s">
        <v>147</v>
      </c>
      <c r="H530" s="0">
        <v>5</v>
      </c>
      <c r="I530" s="0" t="s">
        <v>27</v>
      </c>
      <c r="J530" s="0" t="s">
        <v>886</v>
      </c>
      <c r="K530" s="0">
        <v>3690</v>
      </c>
      <c r="L530" s="10">
        <v>3</v>
      </c>
      <c r="M530" s="0">
        <v>94</v>
      </c>
      <c r="N530" s="0">
        <v>6</v>
      </c>
      <c r="O530" s="0" t="s">
        <v>888</v>
      </c>
      <c r="T530" s="0" t="str">
        <f>_xlfn.TEXTJOIN("_",TRUE,C530,"node_eff",D530,M530,N530)</f>
        <v>s1_node_eff_relic_94_6</v>
      </c>
    </row>
    <row r="531" spans="1:20" x14ac:dyDescent="0.45">
      <c r="A531" s="0" t="str">
        <f>_xlfn.TEXTJOIN("_",TRUE,C531,"node",D531,M531,N531)</f>
        <v>s1_node_relic_95_2</v>
      </c>
      <c r="B531" s="0" t="s">
        <v>0</v>
      </c>
      <c r="C531" s="0" t="s">
        <v>26</v>
      </c>
      <c r="D531" s="0" t="s">
        <v>104</v>
      </c>
      <c r="E531" s="0" t="str">
        <f>"s1_node_"&amp;D531&amp;"_name"</f>
        <v>s1_node_relic_name</v>
      </c>
      <c r="F531" s="10" t="str">
        <f>"s1_node_"&amp;D531&amp;"_desc"</f>
        <v>s1_node_relic_desc</v>
      </c>
      <c r="G531" s="0" t="s">
        <v>691</v>
      </c>
      <c r="H531" s="0">
        <v>5</v>
      </c>
      <c r="I531" s="0" t="s">
        <v>27</v>
      </c>
      <c r="J531" s="0" t="s">
        <v>889</v>
      </c>
      <c r="K531" s="0">
        <v>3730</v>
      </c>
      <c r="L531" s="10">
        <v>3</v>
      </c>
      <c r="M531" s="0">
        <v>95</v>
      </c>
      <c r="N531" s="0">
        <v>2</v>
      </c>
      <c r="O531" s="0" t="s">
        <v>890</v>
      </c>
      <c r="T531" s="0" t="str">
        <f>_xlfn.TEXTJOIN("_",TRUE,C531,"node_eff",D531,M531,N531)</f>
        <v>s1_node_eff_relic_95_2</v>
      </c>
    </row>
    <row r="532" spans="1:20" x14ac:dyDescent="0.45">
      <c r="A532" s="0" t="str">
        <f>_xlfn.TEXTJOIN("_",TRUE,C532,"node",D532,M532,N532)</f>
        <v>s1_node_relic_95_6</v>
      </c>
      <c r="B532" s="0" t="s">
        <v>0</v>
      </c>
      <c r="C532" s="0" t="s">
        <v>26</v>
      </c>
      <c r="D532" s="0" t="s">
        <v>104</v>
      </c>
      <c r="E532" s="0" t="str">
        <f>"s1_node_"&amp;D532&amp;"_name"</f>
        <v>s1_node_relic_name</v>
      </c>
      <c r="F532" s="10" t="str">
        <f>"s1_node_"&amp;D532&amp;"_desc"</f>
        <v>s1_node_relic_desc</v>
      </c>
      <c r="G532" s="0" t="s">
        <v>136</v>
      </c>
      <c r="H532" s="0">
        <v>5</v>
      </c>
      <c r="I532" s="0" t="s">
        <v>27</v>
      </c>
      <c r="J532" s="0" t="s">
        <v>889</v>
      </c>
      <c r="K532" s="0">
        <v>3730</v>
      </c>
      <c r="L532" s="10">
        <v>3</v>
      </c>
      <c r="M532" s="0">
        <v>95</v>
      </c>
      <c r="N532" s="0">
        <v>6</v>
      </c>
      <c r="O532" s="0" t="s">
        <v>891</v>
      </c>
      <c r="T532" s="0" t="str">
        <f>_xlfn.TEXTJOIN("_",TRUE,C532,"node_eff",D532,M532,N532)</f>
        <v>s1_node_eff_relic_95_6</v>
      </c>
    </row>
    <row r="533" spans="1:20" x14ac:dyDescent="0.45">
      <c r="A533" s="0" t="str">
        <f>_xlfn.TEXTJOIN("_",TRUE,C533,"node",D533,M533,N533)</f>
        <v>s1_node_relic_96_4</v>
      </c>
      <c r="B533" s="0" t="s">
        <v>0</v>
      </c>
      <c r="C533" s="0" t="s">
        <v>26</v>
      </c>
      <c r="D533" s="0" t="s">
        <v>104</v>
      </c>
      <c r="E533" s="0" t="str">
        <f>"s1_node_"&amp;D533&amp;"_name"</f>
        <v>s1_node_relic_name</v>
      </c>
      <c r="F533" s="10" t="str">
        <f>"s1_node_"&amp;D533&amp;"_desc"</f>
        <v>s1_node_relic_desc</v>
      </c>
      <c r="G533" s="0" t="s">
        <v>147</v>
      </c>
      <c r="H533" s="0">
        <v>5</v>
      </c>
      <c r="I533" s="0" t="s">
        <v>27</v>
      </c>
      <c r="J533" s="0" t="s">
        <v>892</v>
      </c>
      <c r="K533" s="0">
        <v>3770</v>
      </c>
      <c r="L533" s="10">
        <v>3</v>
      </c>
      <c r="M533" s="0">
        <v>96</v>
      </c>
      <c r="N533" s="0">
        <v>4</v>
      </c>
      <c r="O533" s="0" t="s">
        <v>893</v>
      </c>
      <c r="P533" s="0" t="s">
        <v>894</v>
      </c>
      <c r="T533" s="0" t="str">
        <f>_xlfn.TEXTJOIN("_",TRUE,C533,"node_eff",D533,M533,N533)</f>
        <v>s1_node_eff_relic_96_4</v>
      </c>
    </row>
    <row r="534" spans="1:20" x14ac:dyDescent="0.45">
      <c r="A534" s="0" t="str">
        <f>_xlfn.TEXTJOIN("_",TRUE,C534,"node",D534,M534,N534)</f>
        <v>s1_node_relic_97_2</v>
      </c>
      <c r="B534" s="0" t="s">
        <v>0</v>
      </c>
      <c r="C534" s="0" t="s">
        <v>26</v>
      </c>
      <c r="D534" s="0" t="s">
        <v>104</v>
      </c>
      <c r="E534" s="0" t="str">
        <f>"s1_node_"&amp;D534&amp;"_name"</f>
        <v>s1_node_relic_name</v>
      </c>
      <c r="F534" s="10" t="str">
        <f>"s1_node_"&amp;D534&amp;"_desc"</f>
        <v>s1_node_relic_desc</v>
      </c>
      <c r="G534" s="0" t="s">
        <v>672</v>
      </c>
      <c r="H534" s="0">
        <v>5</v>
      </c>
      <c r="I534" s="0" t="s">
        <v>27</v>
      </c>
      <c r="J534" s="0" t="s">
        <v>895</v>
      </c>
      <c r="K534" s="0">
        <v>3810</v>
      </c>
      <c r="L534" s="10">
        <v>3</v>
      </c>
      <c r="M534" s="0">
        <v>97</v>
      </c>
      <c r="N534" s="0">
        <v>2</v>
      </c>
      <c r="O534" s="0" t="s">
        <v>896</v>
      </c>
      <c r="T534" s="0" t="str">
        <f>_xlfn.TEXTJOIN("_",TRUE,C534,"node_eff",D534,M534,N534)</f>
        <v>s1_node_eff_relic_97_2</v>
      </c>
    </row>
    <row r="535" spans="1:20" x14ac:dyDescent="0.45">
      <c r="A535" s="0" t="str">
        <f>_xlfn.TEXTJOIN("_",TRUE,C535,"node",D535,M535,N535)</f>
        <v>s1_node_relic_97_6</v>
      </c>
      <c r="B535" s="0" t="s">
        <v>0</v>
      </c>
      <c r="C535" s="0" t="s">
        <v>26</v>
      </c>
      <c r="D535" s="0" t="s">
        <v>104</v>
      </c>
      <c r="E535" s="0" t="str">
        <f>"s1_node_"&amp;D535&amp;"_name"</f>
        <v>s1_node_relic_name</v>
      </c>
      <c r="F535" s="10" t="str">
        <f>"s1_node_"&amp;D535&amp;"_desc"</f>
        <v>s1_node_relic_desc</v>
      </c>
      <c r="G535" s="0" t="s">
        <v>140</v>
      </c>
      <c r="H535" s="0">
        <v>5</v>
      </c>
      <c r="I535" s="0" t="s">
        <v>27</v>
      </c>
      <c r="J535" s="0" t="s">
        <v>895</v>
      </c>
      <c r="K535" s="0">
        <v>3810</v>
      </c>
      <c r="L535" s="10">
        <v>3</v>
      </c>
      <c r="M535" s="0">
        <v>97</v>
      </c>
      <c r="N535" s="0">
        <v>6</v>
      </c>
      <c r="O535" s="0" t="s">
        <v>896</v>
      </c>
      <c r="T535" s="0" t="str">
        <f>_xlfn.TEXTJOIN("_",TRUE,C535,"node_eff",D535,M535,N535)</f>
        <v>s1_node_eff_relic_97_6</v>
      </c>
    </row>
    <row r="536" spans="1:20" x14ac:dyDescent="0.45">
      <c r="A536" s="0" t="str">
        <f>_xlfn.TEXTJOIN("_",TRUE,C536,"node",D536,M536,N536)</f>
        <v>s1_node_relic_98_2</v>
      </c>
      <c r="B536" s="0" t="s">
        <v>0</v>
      </c>
      <c r="C536" s="0" t="s">
        <v>26</v>
      </c>
      <c r="D536" s="0" t="s">
        <v>104</v>
      </c>
      <c r="E536" s="0" t="str">
        <f>"s1_node_"&amp;D536&amp;"_name"</f>
        <v>s1_node_relic_name</v>
      </c>
      <c r="F536" s="10" t="str">
        <f>"s1_node_"&amp;D536&amp;"_desc"</f>
        <v>s1_node_relic_desc</v>
      </c>
      <c r="G536" s="0" t="s">
        <v>417</v>
      </c>
      <c r="H536" s="0">
        <v>5</v>
      </c>
      <c r="I536" s="0" t="s">
        <v>27</v>
      </c>
      <c r="J536" s="0" t="s">
        <v>897</v>
      </c>
      <c r="K536" s="0">
        <v>3840</v>
      </c>
      <c r="L536" s="10">
        <v>3</v>
      </c>
      <c r="M536" s="0">
        <v>98</v>
      </c>
      <c r="N536" s="0">
        <v>2</v>
      </c>
      <c r="O536" s="0" t="s">
        <v>898</v>
      </c>
      <c r="T536" s="0" t="str">
        <f>_xlfn.TEXTJOIN("_",TRUE,C536,"node_eff",D536,M536,N536)</f>
        <v>s1_node_eff_relic_98_2</v>
      </c>
    </row>
    <row r="537" spans="1:20" x14ac:dyDescent="0.45">
      <c r="A537" s="0" t="str">
        <f>_xlfn.TEXTJOIN("_",TRUE,C537,"node",D537,M537,N537)</f>
        <v>s1_node_relic_98_6</v>
      </c>
      <c r="B537" s="0" t="s">
        <v>0</v>
      </c>
      <c r="C537" s="0" t="s">
        <v>26</v>
      </c>
      <c r="D537" s="0" t="s">
        <v>104</v>
      </c>
      <c r="E537" s="0" t="str">
        <f>"s1_node_"&amp;D537&amp;"_name"</f>
        <v>s1_node_relic_name</v>
      </c>
      <c r="F537" s="10" t="str">
        <f>"s1_node_"&amp;D537&amp;"_desc"</f>
        <v>s1_node_relic_desc</v>
      </c>
      <c r="G537" s="0" t="s">
        <v>136</v>
      </c>
      <c r="H537" s="0">
        <v>5</v>
      </c>
      <c r="I537" s="0" t="s">
        <v>27</v>
      </c>
      <c r="J537" s="0" t="s">
        <v>897</v>
      </c>
      <c r="K537" s="0">
        <v>3840</v>
      </c>
      <c r="L537" s="10">
        <v>3</v>
      </c>
      <c r="M537" s="0">
        <v>98</v>
      </c>
      <c r="N537" s="0">
        <v>6</v>
      </c>
      <c r="O537" s="0" t="s">
        <v>899</v>
      </c>
      <c r="T537" s="0" t="str">
        <f>_xlfn.TEXTJOIN("_",TRUE,C537,"node_eff",D537,M537,N537)</f>
        <v>s1_node_eff_relic_98_6</v>
      </c>
    </row>
    <row r="538" spans="1:20" x14ac:dyDescent="0.45">
      <c r="A538" s="0" t="str">
        <f>_xlfn.TEXTJOIN("_",TRUE,C538,"node",D538,M538,N538)</f>
        <v>s1_node_relic_99_2</v>
      </c>
      <c r="B538" s="0" t="s">
        <v>0</v>
      </c>
      <c r="C538" s="0" t="s">
        <v>26</v>
      </c>
      <c r="D538" s="0" t="s">
        <v>104</v>
      </c>
      <c r="E538" s="0" t="str">
        <f>"s1_node_"&amp;D538&amp;"_name"</f>
        <v>s1_node_relic_name</v>
      </c>
      <c r="F538" s="10" t="str">
        <f>"s1_node_"&amp;D538&amp;"_desc"</f>
        <v>s1_node_relic_desc</v>
      </c>
      <c r="G538" s="0" t="s">
        <v>147</v>
      </c>
      <c r="H538" s="0">
        <v>5</v>
      </c>
      <c r="I538" s="0" t="s">
        <v>27</v>
      </c>
      <c r="J538" s="0" t="s">
        <v>900</v>
      </c>
      <c r="K538" s="0">
        <v>3880</v>
      </c>
      <c r="L538" s="10">
        <v>3</v>
      </c>
      <c r="M538" s="0">
        <v>99</v>
      </c>
      <c r="N538" s="0">
        <v>2</v>
      </c>
      <c r="O538" s="0" t="s">
        <v>901</v>
      </c>
      <c r="T538" s="0" t="str">
        <f>_xlfn.TEXTJOIN("_",TRUE,C538,"node_eff",D538,M538,N538)</f>
        <v>s1_node_eff_relic_99_2</v>
      </c>
    </row>
    <row r="539" spans="1:20" x14ac:dyDescent="0.45">
      <c r="A539" s="0" t="str">
        <f>_xlfn.TEXTJOIN("_",TRUE,C539,"node",D539,M539,N539)</f>
        <v>s1_node_relic_99_6</v>
      </c>
      <c r="B539" s="0" t="s">
        <v>0</v>
      </c>
      <c r="C539" s="0" t="s">
        <v>26</v>
      </c>
      <c r="D539" s="0" t="s">
        <v>104</v>
      </c>
      <c r="E539" s="0" t="str">
        <f>"s1_node_"&amp;D539&amp;"_name"</f>
        <v>s1_node_relic_name</v>
      </c>
      <c r="F539" s="10" t="str">
        <f>"s1_node_"&amp;D539&amp;"_desc"</f>
        <v>s1_node_relic_desc</v>
      </c>
      <c r="G539" s="0" t="s">
        <v>691</v>
      </c>
      <c r="H539" s="0">
        <v>5</v>
      </c>
      <c r="I539" s="0" t="s">
        <v>27</v>
      </c>
      <c r="J539" s="0" t="s">
        <v>900</v>
      </c>
      <c r="K539" s="0">
        <v>3880</v>
      </c>
      <c r="L539" s="10">
        <v>3</v>
      </c>
      <c r="M539" s="0">
        <v>99</v>
      </c>
      <c r="N539" s="0">
        <v>6</v>
      </c>
      <c r="O539" s="0" t="s">
        <v>902</v>
      </c>
      <c r="T539" s="0" t="str">
        <f>_xlfn.TEXTJOIN("_",TRUE,C539,"node_eff",D539,M539,N539)</f>
        <v>s1_node_eff_relic_99_6</v>
      </c>
    </row>
    <row r="540" spans="1:20" x14ac:dyDescent="0.45">
      <c r="A540" s="0" t="str">
        <f>_xlfn.TEXTJOIN("_",TRUE,C540,"node",D540,M540,N540)</f>
        <v>s1_node_relic_100_4</v>
      </c>
      <c r="B540" s="0" t="s">
        <v>0</v>
      </c>
      <c r="C540" s="0" t="s">
        <v>26</v>
      </c>
      <c r="D540" s="0" t="s">
        <v>104</v>
      </c>
      <c r="E540" s="0" t="str">
        <f>"s1_node_"&amp;D540&amp;"_name"</f>
        <v>s1_node_relic_name</v>
      </c>
      <c r="F540" s="10" t="str">
        <f>"s1_node_"&amp;D540&amp;"_desc"</f>
        <v>s1_node_relic_desc</v>
      </c>
      <c r="G540" s="0" t="s">
        <v>147</v>
      </c>
      <c r="H540" s="0">
        <v>5</v>
      </c>
      <c r="I540" s="0" t="s">
        <v>27</v>
      </c>
      <c r="J540" s="0" t="s">
        <v>903</v>
      </c>
      <c r="K540" s="0">
        <v>3920</v>
      </c>
      <c r="L540" s="10">
        <v>3</v>
      </c>
      <c r="M540" s="0">
        <v>100</v>
      </c>
      <c r="N540" s="0">
        <v>4</v>
      </c>
      <c r="O540" s="0" t="s">
        <v>904</v>
      </c>
      <c r="P540" s="0" t="s">
        <v>905</v>
      </c>
      <c r="T540" s="0" t="str">
        <f>_xlfn.TEXTJOIN("_",TRUE,C540,"node_eff",D540,M540,N540)</f>
        <v>s1_node_eff_relic_100_4</v>
      </c>
    </row>
    <row r="541" spans="1:20" x14ac:dyDescent="0.45">
      <c r="A541" s="0" t="str">
        <f>_xlfn.TEXTJOIN("_",TRUE,C541,"node",D541,M541,N541)</f>
        <v>s1_node_battle_1_4</v>
      </c>
      <c r="B541" s="0" t="s">
        <v>0</v>
      </c>
      <c r="C541" s="0" t="s">
        <v>26</v>
      </c>
      <c r="D541" s="0" t="s">
        <v>105</v>
      </c>
      <c r="E541" s="0" t="str">
        <f>"s1_node_"&amp;D541&amp;"_name"</f>
        <v>s1_node_battle_name</v>
      </c>
      <c r="F541" s="10" t="str">
        <f>"s1_node_"&amp;D541&amp;"_desc"</f>
        <v>s1_node_battle_desc</v>
      </c>
      <c r="G541" s="0" t="s">
        <v>147</v>
      </c>
      <c r="H541" s="0">
        <v>1</v>
      </c>
      <c r="I541" s="0" t="s">
        <v>27</v>
      </c>
      <c r="J541" s="0" t="s">
        <v>144</v>
      </c>
      <c r="K541" s="0">
        <v>180</v>
      </c>
      <c r="L541" s="10">
        <v>3</v>
      </c>
      <c r="M541" s="0">
        <v>1</v>
      </c>
      <c r="N541" s="0">
        <v>4</v>
      </c>
      <c r="O541" s="10"/>
      <c r="P541" s="10"/>
      <c r="T541" s="0" t="str">
        <f>_xlfn.TEXTJOIN("_",TRUE,C541,"node_eff",D541,M541,N541)</f>
        <v>s1_node_eff_battle_1_4</v>
      </c>
    </row>
    <row r="542" spans="1:20" x14ac:dyDescent="0.45">
      <c r="A542" s="0" t="str">
        <f>_xlfn.TEXTJOIN("_",TRUE,C542,"node",D542,M542,N542)</f>
        <v>s1_node_battle_2_2</v>
      </c>
      <c r="B542" s="0" t="s">
        <v>0</v>
      </c>
      <c r="C542" s="0" t="s">
        <v>26</v>
      </c>
      <c r="D542" s="0" t="s">
        <v>105</v>
      </c>
      <c r="E542" s="0" t="str">
        <f>"s1_node_"&amp;D542&amp;"_name"</f>
        <v>s1_node_battle_name</v>
      </c>
      <c r="F542" s="10" t="str">
        <f>"s1_node_"&amp;D542&amp;"_desc"</f>
        <v>s1_node_battle_desc</v>
      </c>
      <c r="G542" s="0" t="s">
        <v>417</v>
      </c>
      <c r="H542" s="0">
        <v>1</v>
      </c>
      <c r="I542" s="0" t="s">
        <v>27</v>
      </c>
      <c r="J542" s="0" t="s">
        <v>148</v>
      </c>
      <c r="K542" s="0">
        <v>220</v>
      </c>
      <c r="L542" s="10">
        <v>3</v>
      </c>
      <c r="M542" s="0">
        <v>2</v>
      </c>
      <c r="N542" s="0">
        <v>2</v>
      </c>
      <c r="O542" s="10" t="s">
        <v>906</v>
      </c>
      <c r="P542" s="10"/>
      <c r="T542" s="0" t="str">
        <f>_xlfn.TEXTJOIN("_",TRUE,C542,"node_eff",D542,M542,N542)</f>
        <v>s1_node_eff_battle_2_2</v>
      </c>
    </row>
    <row r="543" spans="1:20" x14ac:dyDescent="0.45">
      <c r="A543" s="0" t="str">
        <f>_xlfn.TEXTJOIN("_",TRUE,C543,"node",D543,M543,N543)</f>
        <v>s1_node_battle_2_6</v>
      </c>
      <c r="B543" s="0" t="s">
        <v>0</v>
      </c>
      <c r="C543" s="0" t="s">
        <v>26</v>
      </c>
      <c r="D543" s="0" t="s">
        <v>105</v>
      </c>
      <c r="E543" s="0" t="str">
        <f>"s1_node_"&amp;D543&amp;"_name"</f>
        <v>s1_node_battle_name</v>
      </c>
      <c r="F543" s="10" t="str">
        <f>"s1_node_"&amp;D543&amp;"_desc"</f>
        <v>s1_node_battle_desc</v>
      </c>
      <c r="G543" s="0" t="s">
        <v>691</v>
      </c>
      <c r="H543" s="0">
        <v>1</v>
      </c>
      <c r="I543" s="0" t="s">
        <v>27</v>
      </c>
      <c r="J543" s="0" t="s">
        <v>148</v>
      </c>
      <c r="K543" s="0">
        <v>220</v>
      </c>
      <c r="L543" s="10">
        <v>3</v>
      </c>
      <c r="M543" s="0">
        <v>2</v>
      </c>
      <c r="N543" s="0">
        <v>6</v>
      </c>
      <c r="O543" s="10" t="s">
        <v>906</v>
      </c>
      <c r="P543" s="10"/>
      <c r="T543" s="0" t="str">
        <f>_xlfn.TEXTJOIN("_",TRUE,C543,"node_eff",D543,M543,N543)</f>
        <v>s1_node_eff_battle_2_6</v>
      </c>
    </row>
    <row r="544" spans="1:20" x14ac:dyDescent="0.45">
      <c r="A544" s="0" t="str">
        <f>_xlfn.TEXTJOIN("_",TRUE,C544,"node",D544,M544,N544)</f>
        <v>s1_node_battle_3_2</v>
      </c>
      <c r="B544" s="0" t="s">
        <v>0</v>
      </c>
      <c r="C544" s="0" t="s">
        <v>26</v>
      </c>
      <c r="D544" s="0" t="s">
        <v>105</v>
      </c>
      <c r="E544" s="0" t="str">
        <f>"s1_node_"&amp;D544&amp;"_name"</f>
        <v>s1_node_battle_name</v>
      </c>
      <c r="F544" s="10" t="str">
        <f>"s1_node_"&amp;D544&amp;"_desc"</f>
        <v>s1_node_battle_desc</v>
      </c>
      <c r="G544" s="0" t="s">
        <v>691</v>
      </c>
      <c r="H544" s="0">
        <v>1</v>
      </c>
      <c r="I544" s="0" t="s">
        <v>27</v>
      </c>
      <c r="J544" s="0" t="s">
        <v>907</v>
      </c>
      <c r="K544" s="0">
        <v>260</v>
      </c>
      <c r="L544" s="10">
        <v>3</v>
      </c>
      <c r="M544" s="0">
        <v>3</v>
      </c>
      <c r="N544" s="0">
        <v>2</v>
      </c>
      <c r="O544" s="10" t="s">
        <v>908</v>
      </c>
      <c r="P544" s="10"/>
      <c r="T544" s="0" t="str">
        <f>_xlfn.TEXTJOIN("_",TRUE,C544,"node_eff",D544,M544,N544)</f>
        <v>s1_node_eff_battle_3_2</v>
      </c>
    </row>
    <row r="545" spans="1:20" x14ac:dyDescent="0.45">
      <c r="A545" s="0" t="str">
        <f>_xlfn.TEXTJOIN("_",TRUE,C545,"node",D545,M545,N545)</f>
        <v>s1_node_battle_3_6</v>
      </c>
      <c r="B545" s="0" t="s">
        <v>0</v>
      </c>
      <c r="C545" s="0" t="s">
        <v>26</v>
      </c>
      <c r="D545" s="0" t="s">
        <v>105</v>
      </c>
      <c r="E545" s="0" t="str">
        <f>"s1_node_"&amp;D545&amp;"_name"</f>
        <v>s1_node_battle_name</v>
      </c>
      <c r="F545" s="10" t="str">
        <f>"s1_node_"&amp;D545&amp;"_desc"</f>
        <v>s1_node_battle_desc</v>
      </c>
      <c r="G545" s="0" t="s">
        <v>691</v>
      </c>
      <c r="H545" s="0">
        <v>1</v>
      </c>
      <c r="I545" s="0" t="s">
        <v>27</v>
      </c>
      <c r="J545" s="0" t="s">
        <v>907</v>
      </c>
      <c r="K545" s="0">
        <v>260</v>
      </c>
      <c r="L545" s="10">
        <v>3</v>
      </c>
      <c r="M545" s="0">
        <v>3</v>
      </c>
      <c r="N545" s="0">
        <v>6</v>
      </c>
      <c r="O545" s="10" t="s">
        <v>909</v>
      </c>
      <c r="P545" s="10"/>
      <c r="T545" s="0" t="str">
        <f>_xlfn.TEXTJOIN("_",TRUE,C545,"node_eff",D545,M545,N545)</f>
        <v>s1_node_eff_battle_3_6</v>
      </c>
    </row>
    <row r="546" spans="1:20" x14ac:dyDescent="0.45">
      <c r="A546" s="0" t="str">
        <f>_xlfn.TEXTJOIN("_",TRUE,C546,"node",D546,M546,N546)</f>
        <v>s1_node_battle_4_2</v>
      </c>
      <c r="B546" s="0" t="s">
        <v>0</v>
      </c>
      <c r="C546" s="0" t="s">
        <v>26</v>
      </c>
      <c r="D546" s="0" t="s">
        <v>105</v>
      </c>
      <c r="E546" s="0" t="str">
        <f>"s1_node_"&amp;D546&amp;"_name"</f>
        <v>s1_node_battle_name</v>
      </c>
      <c r="F546" s="10" t="str">
        <f>"s1_node_"&amp;D546&amp;"_desc"</f>
        <v>s1_node_battle_desc</v>
      </c>
      <c r="G546" s="0" t="s">
        <v>691</v>
      </c>
      <c r="H546" s="0">
        <v>1</v>
      </c>
      <c r="I546" s="0" t="s">
        <v>27</v>
      </c>
      <c r="J546" s="0" t="s">
        <v>910</v>
      </c>
      <c r="K546" s="0">
        <v>300</v>
      </c>
      <c r="L546" s="10">
        <v>3</v>
      </c>
      <c r="M546" s="0">
        <v>4</v>
      </c>
      <c r="N546" s="0">
        <v>2</v>
      </c>
      <c r="O546" s="10" t="s">
        <v>911</v>
      </c>
      <c r="P546" s="10"/>
      <c r="T546" s="0" t="str">
        <f>_xlfn.TEXTJOIN("_",TRUE,C546,"node_eff",D546,M546,N546)</f>
        <v>s1_node_eff_battle_4_2</v>
      </c>
    </row>
    <row r="547" spans="1:20" x14ac:dyDescent="0.45">
      <c r="A547" s="0" t="str">
        <f>_xlfn.TEXTJOIN("_",TRUE,C547,"node",D547,M547,N547)</f>
        <v>s1_node_battle_4_6</v>
      </c>
      <c r="B547" s="0" t="s">
        <v>0</v>
      </c>
      <c r="C547" s="0" t="s">
        <v>26</v>
      </c>
      <c r="D547" s="0" t="s">
        <v>105</v>
      </c>
      <c r="E547" s="0" t="str">
        <f>"s1_node_"&amp;D547&amp;"_name"</f>
        <v>s1_node_battle_name</v>
      </c>
      <c r="F547" s="10" t="str">
        <f>"s1_node_"&amp;D547&amp;"_desc"</f>
        <v>s1_node_battle_desc</v>
      </c>
      <c r="G547" s="0" t="s">
        <v>691</v>
      </c>
      <c r="H547" s="0">
        <v>1</v>
      </c>
      <c r="I547" s="0" t="s">
        <v>27</v>
      </c>
      <c r="J547" s="0" t="s">
        <v>910</v>
      </c>
      <c r="K547" s="0">
        <v>300</v>
      </c>
      <c r="L547" s="10">
        <v>3</v>
      </c>
      <c r="M547" s="0">
        <v>4</v>
      </c>
      <c r="N547" s="0">
        <v>6</v>
      </c>
      <c r="O547" s="10" t="s">
        <v>912</v>
      </c>
      <c r="P547" s="10"/>
      <c r="T547" s="0" t="str">
        <f>_xlfn.TEXTJOIN("_",TRUE,C547,"node_eff",D547,M547,N547)</f>
        <v>s1_node_eff_battle_4_6</v>
      </c>
    </row>
    <row r="548" spans="1:20" x14ac:dyDescent="0.45">
      <c r="A548" s="0" t="str">
        <f>_xlfn.TEXTJOIN("_",TRUE,C548,"node",D548,M548,N548)</f>
        <v>s1_node_battle_5_2</v>
      </c>
      <c r="B548" s="0" t="s">
        <v>0</v>
      </c>
      <c r="C548" s="0" t="s">
        <v>26</v>
      </c>
      <c r="D548" s="0" t="s">
        <v>105</v>
      </c>
      <c r="E548" s="0" t="str">
        <f>"s1_node_"&amp;D548&amp;"_name"</f>
        <v>s1_node_battle_name</v>
      </c>
      <c r="F548" s="10" t="str">
        <f>"s1_node_"&amp;D548&amp;"_desc"</f>
        <v>s1_node_battle_desc</v>
      </c>
      <c r="G548" s="0" t="s">
        <v>691</v>
      </c>
      <c r="H548" s="0">
        <v>1</v>
      </c>
      <c r="I548" s="0" t="s">
        <v>27</v>
      </c>
      <c r="J548" s="0" t="s">
        <v>913</v>
      </c>
      <c r="K548" s="0">
        <v>340</v>
      </c>
      <c r="L548" s="10">
        <v>3</v>
      </c>
      <c r="M548" s="0">
        <v>5</v>
      </c>
      <c r="N548" s="0">
        <v>2</v>
      </c>
      <c r="O548" s="10" t="s">
        <v>914</v>
      </c>
      <c r="P548" s="10"/>
      <c r="T548" s="0" t="str">
        <f>_xlfn.TEXTJOIN("_",TRUE,C548,"node_eff",D548,M548,N548)</f>
        <v>s1_node_eff_battle_5_2</v>
      </c>
    </row>
    <row r="549" spans="1:20" x14ac:dyDescent="0.45">
      <c r="A549" s="0" t="str">
        <f>_xlfn.TEXTJOIN("_",TRUE,C549,"node",D549,M549,N549)</f>
        <v>s1_node_battle_5_6</v>
      </c>
      <c r="B549" s="0" t="s">
        <v>0</v>
      </c>
      <c r="C549" s="0" t="s">
        <v>26</v>
      </c>
      <c r="D549" s="0" t="s">
        <v>105</v>
      </c>
      <c r="E549" s="0" t="str">
        <f>"s1_node_"&amp;D549&amp;"_name"</f>
        <v>s1_node_battle_name</v>
      </c>
      <c r="F549" s="10" t="str">
        <f>"s1_node_"&amp;D549&amp;"_desc"</f>
        <v>s1_node_battle_desc</v>
      </c>
      <c r="G549" s="0" t="s">
        <v>691</v>
      </c>
      <c r="H549" s="0">
        <v>1</v>
      </c>
      <c r="I549" s="0" t="s">
        <v>27</v>
      </c>
      <c r="J549" s="0" t="s">
        <v>913</v>
      </c>
      <c r="K549" s="0">
        <v>340</v>
      </c>
      <c r="L549" s="10">
        <v>3</v>
      </c>
      <c r="M549" s="0">
        <v>5</v>
      </c>
      <c r="N549" s="0">
        <v>6</v>
      </c>
      <c r="O549" s="10" t="s">
        <v>915</v>
      </c>
      <c r="P549" s="10"/>
      <c r="T549" s="0" t="str">
        <f>_xlfn.TEXTJOIN("_",TRUE,C549,"node_eff",D549,M549,N549)</f>
        <v>s1_node_eff_battle_5_6</v>
      </c>
    </row>
    <row r="550" spans="1:20" x14ac:dyDescent="0.45">
      <c r="A550" s="0" t="str">
        <f>_xlfn.TEXTJOIN("_",TRUE,C550,"node",D550,M550,N550)</f>
        <v>s1_node_battle_6_4</v>
      </c>
      <c r="B550" s="0" t="s">
        <v>0</v>
      </c>
      <c r="C550" s="0" t="s">
        <v>26</v>
      </c>
      <c r="D550" s="0" t="s">
        <v>105</v>
      </c>
      <c r="E550" s="0" t="str">
        <f>"s1_node_"&amp;D550&amp;"_name"</f>
        <v>s1_node_battle_name</v>
      </c>
      <c r="F550" s="10" t="str">
        <f>"s1_node_"&amp;D550&amp;"_desc"</f>
        <v>s1_node_battle_desc</v>
      </c>
      <c r="G550" s="0" t="s">
        <v>691</v>
      </c>
      <c r="H550" s="0">
        <v>1</v>
      </c>
      <c r="I550" s="0" t="s">
        <v>27</v>
      </c>
      <c r="J550" s="0" t="s">
        <v>916</v>
      </c>
      <c r="K550" s="0">
        <v>380</v>
      </c>
      <c r="L550" s="10">
        <v>3</v>
      </c>
      <c r="M550" s="0">
        <v>6</v>
      </c>
      <c r="N550" s="0">
        <v>4</v>
      </c>
      <c r="O550" s="10" t="s">
        <v>917</v>
      </c>
      <c r="P550" s="10" t="s">
        <v>918</v>
      </c>
      <c r="T550" s="0" t="str">
        <f>_xlfn.TEXTJOIN("_",TRUE,C550,"node_eff",D550,M550,N550)</f>
        <v>s1_node_eff_battle_6_4</v>
      </c>
    </row>
    <row r="551" spans="1:20" x14ac:dyDescent="0.45">
      <c r="A551" s="0" t="str">
        <f>_xlfn.TEXTJOIN("_",TRUE,C551,"node",D551,M551,N551)</f>
        <v>s1_node_battle_7_2</v>
      </c>
      <c r="B551" s="0" t="s">
        <v>0</v>
      </c>
      <c r="C551" s="0" t="s">
        <v>26</v>
      </c>
      <c r="D551" s="0" t="s">
        <v>105</v>
      </c>
      <c r="E551" s="0" t="str">
        <f>"s1_node_"&amp;D551&amp;"_name"</f>
        <v>s1_node_battle_name</v>
      </c>
      <c r="F551" s="10" t="str">
        <f>"s1_node_"&amp;D551&amp;"_desc"</f>
        <v>s1_node_battle_desc</v>
      </c>
      <c r="G551" s="0" t="s">
        <v>691</v>
      </c>
      <c r="H551" s="0">
        <v>1</v>
      </c>
      <c r="I551" s="0" t="s">
        <v>27</v>
      </c>
      <c r="J551" s="0" t="s">
        <v>919</v>
      </c>
      <c r="K551" s="0">
        <v>420</v>
      </c>
      <c r="L551" s="10">
        <v>3</v>
      </c>
      <c r="M551" s="0">
        <v>7</v>
      </c>
      <c r="N551" s="0">
        <v>2</v>
      </c>
      <c r="O551" s="10" t="s">
        <v>920</v>
      </c>
      <c r="P551" s="10"/>
      <c r="T551" s="0" t="str">
        <f>_xlfn.TEXTJOIN("_",TRUE,C551,"node_eff",D551,M551,N551)</f>
        <v>s1_node_eff_battle_7_2</v>
      </c>
    </row>
    <row r="552" spans="1:20" x14ac:dyDescent="0.45">
      <c r="A552" s="0" t="str">
        <f>_xlfn.TEXTJOIN("_",TRUE,C552,"node",D552,M552,N552)</f>
        <v>s1_node_battle_7_6</v>
      </c>
      <c r="B552" s="0" t="s">
        <v>0</v>
      </c>
      <c r="C552" s="0" t="s">
        <v>26</v>
      </c>
      <c r="D552" s="0" t="s">
        <v>105</v>
      </c>
      <c r="E552" s="0" t="str">
        <f>"s1_node_"&amp;D552&amp;"_name"</f>
        <v>s1_node_battle_name</v>
      </c>
      <c r="F552" s="10" t="str">
        <f>"s1_node_"&amp;D552&amp;"_desc"</f>
        <v>s1_node_battle_desc</v>
      </c>
      <c r="G552" s="0" t="s">
        <v>691</v>
      </c>
      <c r="H552" s="0">
        <v>1</v>
      </c>
      <c r="I552" s="0" t="s">
        <v>27</v>
      </c>
      <c r="J552" s="0" t="s">
        <v>919</v>
      </c>
      <c r="K552" s="0">
        <v>420</v>
      </c>
      <c r="L552" s="10">
        <v>3</v>
      </c>
      <c r="M552" s="0">
        <v>7</v>
      </c>
      <c r="N552" s="0">
        <v>6</v>
      </c>
      <c r="O552" s="10" t="s">
        <v>920</v>
      </c>
      <c r="P552" s="10"/>
      <c r="T552" s="0" t="str">
        <f>_xlfn.TEXTJOIN("_",TRUE,C552,"node_eff",D552,M552,N552)</f>
        <v>s1_node_eff_battle_7_6</v>
      </c>
    </row>
    <row r="553" spans="1:20" x14ac:dyDescent="0.45">
      <c r="A553" s="0" t="str">
        <f>_xlfn.TEXTJOIN("_",TRUE,C553,"node",D553,M553,N553)</f>
        <v>s1_node_battle_8_2</v>
      </c>
      <c r="B553" s="0" t="s">
        <v>0</v>
      </c>
      <c r="C553" s="0" t="s">
        <v>26</v>
      </c>
      <c r="D553" s="0" t="s">
        <v>105</v>
      </c>
      <c r="E553" s="0" t="str">
        <f>"s1_node_"&amp;D553&amp;"_name"</f>
        <v>s1_node_battle_name</v>
      </c>
      <c r="F553" s="10" t="str">
        <f>"s1_node_"&amp;D553&amp;"_desc"</f>
        <v>s1_node_battle_desc</v>
      </c>
      <c r="G553" s="0" t="s">
        <v>147</v>
      </c>
      <c r="H553" s="0">
        <v>1</v>
      </c>
      <c r="I553" s="0" t="s">
        <v>27</v>
      </c>
      <c r="J553" s="0" t="s">
        <v>921</v>
      </c>
      <c r="K553" s="0">
        <v>450</v>
      </c>
      <c r="L553" s="10">
        <v>3</v>
      </c>
      <c r="M553" s="0">
        <v>8</v>
      </c>
      <c r="N553" s="0">
        <v>2</v>
      </c>
      <c r="O553" s="10" t="s">
        <v>922</v>
      </c>
      <c r="P553" s="10"/>
      <c r="T553" s="0" t="str">
        <f>_xlfn.TEXTJOIN("_",TRUE,C553,"node_eff",D553,M553,N553)</f>
        <v>s1_node_eff_battle_8_2</v>
      </c>
    </row>
    <row r="554" spans="1:20" x14ac:dyDescent="0.45">
      <c r="A554" s="0" t="str">
        <f>_xlfn.TEXTJOIN("_",TRUE,C554,"node",D554,M554,N554)</f>
        <v>s1_node_battle_8_6</v>
      </c>
      <c r="B554" s="0" t="s">
        <v>0</v>
      </c>
      <c r="C554" s="0" t="s">
        <v>26</v>
      </c>
      <c r="D554" s="0" t="s">
        <v>105</v>
      </c>
      <c r="E554" s="0" t="str">
        <f>"s1_node_"&amp;D554&amp;"_name"</f>
        <v>s1_node_battle_name</v>
      </c>
      <c r="F554" s="10" t="str">
        <f>"s1_node_"&amp;D554&amp;"_desc"</f>
        <v>s1_node_battle_desc</v>
      </c>
      <c r="G554" s="0" t="s">
        <v>417</v>
      </c>
      <c r="H554" s="0">
        <v>1</v>
      </c>
      <c r="I554" s="0" t="s">
        <v>27</v>
      </c>
      <c r="J554" s="0" t="s">
        <v>921</v>
      </c>
      <c r="K554" s="0">
        <v>450</v>
      </c>
      <c r="L554" s="10">
        <v>3</v>
      </c>
      <c r="M554" s="0">
        <v>8</v>
      </c>
      <c r="N554" s="0">
        <v>6</v>
      </c>
      <c r="O554" s="10" t="s">
        <v>923</v>
      </c>
      <c r="P554" s="10"/>
      <c r="T554" s="0" t="str">
        <f>_xlfn.TEXTJOIN("_",TRUE,C554,"node_eff",D554,M554,N554)</f>
        <v>s1_node_eff_battle_8_6</v>
      </c>
    </row>
    <row r="555" spans="1:20" x14ac:dyDescent="0.45">
      <c r="A555" s="0" t="str">
        <f>_xlfn.TEXTJOIN("_",TRUE,C555,"node",D555,M555,N555)</f>
        <v>s1_node_battle_9_2</v>
      </c>
      <c r="B555" s="0" t="s">
        <v>0</v>
      </c>
      <c r="C555" s="0" t="s">
        <v>26</v>
      </c>
      <c r="D555" s="0" t="s">
        <v>105</v>
      </c>
      <c r="E555" s="0" t="str">
        <f>"s1_node_"&amp;D555&amp;"_name"</f>
        <v>s1_node_battle_name</v>
      </c>
      <c r="F555" s="10" t="str">
        <f>"s1_node_"&amp;D555&amp;"_desc"</f>
        <v>s1_node_battle_desc</v>
      </c>
      <c r="G555" s="0" t="s">
        <v>417</v>
      </c>
      <c r="H555" s="0">
        <v>1</v>
      </c>
      <c r="I555" s="0" t="s">
        <v>27</v>
      </c>
      <c r="J555" s="0" t="s">
        <v>924</v>
      </c>
      <c r="K555" s="0">
        <v>490</v>
      </c>
      <c r="L555" s="10">
        <v>3</v>
      </c>
      <c r="M555" s="0">
        <v>9</v>
      </c>
      <c r="N555" s="0">
        <v>2</v>
      </c>
      <c r="O555" s="10" t="s">
        <v>925</v>
      </c>
      <c r="P555" s="10"/>
      <c r="T555" s="0" t="str">
        <f>_xlfn.TEXTJOIN("_",TRUE,C555,"node_eff",D555,M555,N555)</f>
        <v>s1_node_eff_battle_9_2</v>
      </c>
    </row>
    <row r="556" spans="1:20" x14ac:dyDescent="0.45">
      <c r="A556" s="0" t="str">
        <f>_xlfn.TEXTJOIN("_",TRUE,C556,"node",D556,M556,N556)</f>
        <v>s1_node_battle_9_6</v>
      </c>
      <c r="B556" s="0" t="s">
        <v>0</v>
      </c>
      <c r="C556" s="0" t="s">
        <v>26</v>
      </c>
      <c r="D556" s="0" t="s">
        <v>105</v>
      </c>
      <c r="E556" s="0" t="str">
        <f>"s1_node_"&amp;D556&amp;"_name"</f>
        <v>s1_node_battle_name</v>
      </c>
      <c r="F556" s="10" t="str">
        <f>"s1_node_"&amp;D556&amp;"_desc"</f>
        <v>s1_node_battle_desc</v>
      </c>
      <c r="G556" s="0" t="s">
        <v>691</v>
      </c>
      <c r="H556" s="0">
        <v>1</v>
      </c>
      <c r="I556" s="0" t="s">
        <v>27</v>
      </c>
      <c r="J556" s="0" t="s">
        <v>924</v>
      </c>
      <c r="K556" s="0">
        <v>490</v>
      </c>
      <c r="L556" s="10">
        <v>3</v>
      </c>
      <c r="M556" s="0">
        <v>9</v>
      </c>
      <c r="N556" s="0">
        <v>6</v>
      </c>
      <c r="O556" s="10" t="s">
        <v>926</v>
      </c>
      <c r="P556" s="10"/>
      <c r="T556" s="0" t="str">
        <f>_xlfn.TEXTJOIN("_",TRUE,C556,"node_eff",D556,M556,N556)</f>
        <v>s1_node_eff_battle_9_6</v>
      </c>
    </row>
    <row r="557" spans="1:20" x14ac:dyDescent="0.45">
      <c r="A557" s="0" t="str">
        <f>_xlfn.TEXTJOIN("_",TRUE,C557,"node",D557,M557,N557)</f>
        <v>s1_node_battle_10_2</v>
      </c>
      <c r="B557" s="0" t="s">
        <v>0</v>
      </c>
      <c r="C557" s="0" t="s">
        <v>26</v>
      </c>
      <c r="D557" s="0" t="s">
        <v>105</v>
      </c>
      <c r="E557" s="0" t="str">
        <f>"s1_node_"&amp;D557&amp;"_name"</f>
        <v>s1_node_battle_name</v>
      </c>
      <c r="F557" s="10" t="str">
        <f>"s1_node_"&amp;D557&amp;"_desc"</f>
        <v>s1_node_battle_desc</v>
      </c>
      <c r="G557" s="0" t="s">
        <v>691</v>
      </c>
      <c r="H557" s="0">
        <v>1</v>
      </c>
      <c r="I557" s="0" t="s">
        <v>27</v>
      </c>
      <c r="J557" s="0" t="s">
        <v>173</v>
      </c>
      <c r="K557" s="0">
        <v>530</v>
      </c>
      <c r="L557" s="10">
        <v>3</v>
      </c>
      <c r="M557" s="0">
        <v>10</v>
      </c>
      <c r="N557" s="0">
        <v>2</v>
      </c>
      <c r="O557" s="10" t="s">
        <v>927</v>
      </c>
      <c r="P557" s="10"/>
      <c r="T557" s="0" t="str">
        <f>_xlfn.TEXTJOIN("_",TRUE,C557,"node_eff",D557,M557,N557)</f>
        <v>s1_node_eff_battle_10_2</v>
      </c>
    </row>
    <row r="558" spans="1:20" x14ac:dyDescent="0.45">
      <c r="A558" s="0" t="str">
        <f>_xlfn.TEXTJOIN("_",TRUE,C558,"node",D558,M558,N558)</f>
        <v>s1_node_battle_10_6</v>
      </c>
      <c r="B558" s="0" t="s">
        <v>0</v>
      </c>
      <c r="C558" s="0" t="s">
        <v>26</v>
      </c>
      <c r="D558" s="0" t="s">
        <v>105</v>
      </c>
      <c r="E558" s="0" t="str">
        <f>"s1_node_"&amp;D558&amp;"_name"</f>
        <v>s1_node_battle_name</v>
      </c>
      <c r="F558" s="10" t="str">
        <f>"s1_node_"&amp;D558&amp;"_desc"</f>
        <v>s1_node_battle_desc</v>
      </c>
      <c r="G558" s="0" t="s">
        <v>691</v>
      </c>
      <c r="H558" s="0">
        <v>1</v>
      </c>
      <c r="I558" s="0" t="s">
        <v>27</v>
      </c>
      <c r="J558" s="0" t="s">
        <v>173</v>
      </c>
      <c r="K558" s="0">
        <v>530</v>
      </c>
      <c r="L558" s="10">
        <v>3</v>
      </c>
      <c r="M558" s="0">
        <v>10</v>
      </c>
      <c r="N558" s="0">
        <v>6</v>
      </c>
      <c r="O558" s="10" t="s">
        <v>928</v>
      </c>
      <c r="P558" s="10"/>
      <c r="T558" s="0" t="str">
        <f>_xlfn.TEXTJOIN("_",TRUE,C558,"node_eff",D558,M558,N558)</f>
        <v>s1_node_eff_battle_10_6</v>
      </c>
    </row>
    <row r="559" spans="1:20" x14ac:dyDescent="0.45">
      <c r="A559" s="0" t="str">
        <f>_xlfn.TEXTJOIN("_",TRUE,C559,"node",D559,M559,N559)</f>
        <v>s1_node_battle_11_4</v>
      </c>
      <c r="B559" s="0" t="s">
        <v>0</v>
      </c>
      <c r="C559" s="0" t="s">
        <v>26</v>
      </c>
      <c r="D559" s="0" t="s">
        <v>105</v>
      </c>
      <c r="E559" s="0" t="str">
        <f>"s1_node_"&amp;D559&amp;"_name"</f>
        <v>s1_node_battle_name</v>
      </c>
      <c r="F559" s="10" t="str">
        <f>"s1_node_"&amp;D559&amp;"_desc"</f>
        <v>s1_node_battle_desc</v>
      </c>
      <c r="G559" s="0" t="s">
        <v>691</v>
      </c>
      <c r="H559" s="0">
        <v>1</v>
      </c>
      <c r="I559" s="0" t="s">
        <v>27</v>
      </c>
      <c r="J559" s="0" t="s">
        <v>176</v>
      </c>
      <c r="K559" s="0">
        <v>570</v>
      </c>
      <c r="L559" s="10">
        <v>3</v>
      </c>
      <c r="M559" s="0">
        <v>11</v>
      </c>
      <c r="N559" s="0">
        <v>4</v>
      </c>
      <c r="O559" s="10" t="s">
        <v>929</v>
      </c>
      <c r="P559" s="10" t="s">
        <v>930</v>
      </c>
      <c r="T559" s="0" t="str">
        <f>_xlfn.TEXTJOIN("_",TRUE,C559,"node_eff",D559,M559,N559)</f>
        <v>s1_node_eff_battle_11_4</v>
      </c>
    </row>
    <row r="560" spans="1:20" x14ac:dyDescent="0.45">
      <c r="A560" s="0" t="str">
        <f>_xlfn.TEXTJOIN("_",TRUE,C560,"node",D560,M560,N560)</f>
        <v>s1_node_battle_12_2</v>
      </c>
      <c r="B560" s="0" t="s">
        <v>0</v>
      </c>
      <c r="C560" s="0" t="s">
        <v>26</v>
      </c>
      <c r="D560" s="0" t="s">
        <v>105</v>
      </c>
      <c r="E560" s="0" t="str">
        <f>"s1_node_"&amp;D560&amp;"_name"</f>
        <v>s1_node_battle_name</v>
      </c>
      <c r="F560" s="10" t="str">
        <f>"s1_node_"&amp;D560&amp;"_desc"</f>
        <v>s1_node_battle_desc</v>
      </c>
      <c r="G560" s="0" t="s">
        <v>691</v>
      </c>
      <c r="H560" s="0">
        <v>1</v>
      </c>
      <c r="I560" s="0" t="s">
        <v>27</v>
      </c>
      <c r="J560" s="0" t="s">
        <v>448</v>
      </c>
      <c r="K560" s="0">
        <v>610</v>
      </c>
      <c r="L560" s="10">
        <v>3</v>
      </c>
      <c r="M560" s="0">
        <v>12</v>
      </c>
      <c r="N560" s="0">
        <v>2</v>
      </c>
      <c r="O560" s="10" t="s">
        <v>931</v>
      </c>
      <c r="P560" s="10"/>
      <c r="T560" s="0" t="str">
        <f>_xlfn.TEXTJOIN("_",TRUE,C560,"node_eff",D560,M560,N560)</f>
        <v>s1_node_eff_battle_12_2</v>
      </c>
    </row>
    <row r="561" spans="1:20" x14ac:dyDescent="0.45">
      <c r="A561" s="0" t="str">
        <f>_xlfn.TEXTJOIN("_",TRUE,C561,"node",D561,M561,N561)</f>
        <v>s1_node_battle_12_6</v>
      </c>
      <c r="B561" s="0" t="s">
        <v>0</v>
      </c>
      <c r="C561" s="0" t="s">
        <v>26</v>
      </c>
      <c r="D561" s="0" t="s">
        <v>105</v>
      </c>
      <c r="E561" s="0" t="str">
        <f>"s1_node_"&amp;D561&amp;"_name"</f>
        <v>s1_node_battle_name</v>
      </c>
      <c r="F561" s="10" t="str">
        <f>"s1_node_"&amp;D561&amp;"_desc"</f>
        <v>s1_node_battle_desc</v>
      </c>
      <c r="G561" s="0" t="s">
        <v>691</v>
      </c>
      <c r="H561" s="0">
        <v>1</v>
      </c>
      <c r="I561" s="0" t="s">
        <v>27</v>
      </c>
      <c r="J561" s="0" t="s">
        <v>448</v>
      </c>
      <c r="K561" s="0">
        <v>610</v>
      </c>
      <c r="L561" s="10">
        <v>3</v>
      </c>
      <c r="M561" s="0">
        <v>12</v>
      </c>
      <c r="N561" s="0">
        <v>6</v>
      </c>
      <c r="O561" s="10" t="s">
        <v>931</v>
      </c>
      <c r="P561" s="10"/>
      <c r="T561" s="0" t="str">
        <f>_xlfn.TEXTJOIN("_",TRUE,C561,"node_eff",D561,M561,N561)</f>
        <v>s1_node_eff_battle_12_6</v>
      </c>
    </row>
    <row r="562" spans="1:20" x14ac:dyDescent="0.45">
      <c r="A562" s="0" t="str">
        <f>_xlfn.TEXTJOIN("_",TRUE,C562,"node",D562,M562,N562)</f>
        <v>s1_node_battle_13_2</v>
      </c>
      <c r="B562" s="0" t="s">
        <v>0</v>
      </c>
      <c r="C562" s="0" t="s">
        <v>26</v>
      </c>
      <c r="D562" s="0" t="s">
        <v>105</v>
      </c>
      <c r="E562" s="0" t="str">
        <f>"s1_node_"&amp;D562&amp;"_name"</f>
        <v>s1_node_battle_name</v>
      </c>
      <c r="F562" s="10" t="str">
        <f>"s1_node_"&amp;D562&amp;"_desc"</f>
        <v>s1_node_battle_desc</v>
      </c>
      <c r="G562" s="0" t="s">
        <v>691</v>
      </c>
      <c r="H562" s="0">
        <v>1</v>
      </c>
      <c r="I562" s="0" t="s">
        <v>27</v>
      </c>
      <c r="J562" s="0" t="s">
        <v>451</v>
      </c>
      <c r="K562" s="0">
        <v>650</v>
      </c>
      <c r="L562" s="10">
        <v>3</v>
      </c>
      <c r="M562" s="0">
        <v>13</v>
      </c>
      <c r="N562" s="0">
        <v>2</v>
      </c>
      <c r="O562" s="10" t="s">
        <v>932</v>
      </c>
      <c r="P562" s="10"/>
      <c r="T562" s="0" t="str">
        <f>_xlfn.TEXTJOIN("_",TRUE,C562,"node_eff",D562,M562,N562)</f>
        <v>s1_node_eff_battle_13_2</v>
      </c>
    </row>
    <row r="563" spans="1:20" x14ac:dyDescent="0.45">
      <c r="A563" s="0" t="str">
        <f>_xlfn.TEXTJOIN("_",TRUE,C563,"node",D563,M563,N563)</f>
        <v>s1_node_battle_13_6</v>
      </c>
      <c r="B563" s="0" t="s">
        <v>0</v>
      </c>
      <c r="C563" s="0" t="s">
        <v>26</v>
      </c>
      <c r="D563" s="0" t="s">
        <v>105</v>
      </c>
      <c r="E563" s="0" t="str">
        <f>"s1_node_"&amp;D563&amp;"_name"</f>
        <v>s1_node_battle_name</v>
      </c>
      <c r="F563" s="10" t="str">
        <f>"s1_node_"&amp;D563&amp;"_desc"</f>
        <v>s1_node_battle_desc</v>
      </c>
      <c r="G563" s="0" t="s">
        <v>691</v>
      </c>
      <c r="H563" s="0">
        <v>1</v>
      </c>
      <c r="I563" s="0" t="s">
        <v>27</v>
      </c>
      <c r="J563" s="0" t="s">
        <v>451</v>
      </c>
      <c r="K563" s="0">
        <v>650</v>
      </c>
      <c r="L563" s="10">
        <v>3</v>
      </c>
      <c r="M563" s="0">
        <v>13</v>
      </c>
      <c r="N563" s="0">
        <v>6</v>
      </c>
      <c r="O563" s="10" t="s">
        <v>933</v>
      </c>
      <c r="P563" s="10"/>
      <c r="T563" s="0" t="str">
        <f>_xlfn.TEXTJOIN("_",TRUE,C563,"node_eff",D563,M563,N563)</f>
        <v>s1_node_eff_battle_13_6</v>
      </c>
    </row>
    <row r="564" spans="1:20" x14ac:dyDescent="0.45">
      <c r="A564" s="0" t="str">
        <f>_xlfn.TEXTJOIN("_",TRUE,C564,"node",D564,M564,N564)</f>
        <v>s1_node_battle_14_2</v>
      </c>
      <c r="B564" s="0" t="s">
        <v>0</v>
      </c>
      <c r="C564" s="0" t="s">
        <v>26</v>
      </c>
      <c r="D564" s="0" t="s">
        <v>105</v>
      </c>
      <c r="E564" s="0" t="str">
        <f>"s1_node_"&amp;D564&amp;"_name"</f>
        <v>s1_node_battle_name</v>
      </c>
      <c r="F564" s="10" t="str">
        <f>"s1_node_"&amp;D564&amp;"_desc"</f>
        <v>s1_node_battle_desc</v>
      </c>
      <c r="G564" s="0" t="s">
        <v>691</v>
      </c>
      <c r="H564" s="0">
        <v>1</v>
      </c>
      <c r="I564" s="0" t="s">
        <v>27</v>
      </c>
      <c r="J564" s="0" t="s">
        <v>704</v>
      </c>
      <c r="K564" s="0">
        <v>690</v>
      </c>
      <c r="L564" s="10">
        <v>3</v>
      </c>
      <c r="M564" s="0">
        <v>14</v>
      </c>
      <c r="N564" s="0">
        <v>2</v>
      </c>
      <c r="O564" s="10" t="s">
        <v>934</v>
      </c>
      <c r="P564" s="10"/>
      <c r="T564" s="0" t="str">
        <f>_xlfn.TEXTJOIN("_",TRUE,C564,"node_eff",D564,M564,N564)</f>
        <v>s1_node_eff_battle_14_2</v>
      </c>
    </row>
    <row r="565" spans="1:20" x14ac:dyDescent="0.45">
      <c r="A565" s="0" t="str">
        <f>_xlfn.TEXTJOIN("_",TRUE,C565,"node",D565,M565,N565)</f>
        <v>s1_node_battle_14_6</v>
      </c>
      <c r="B565" s="0" t="s">
        <v>0</v>
      </c>
      <c r="C565" s="0" t="s">
        <v>26</v>
      </c>
      <c r="D565" s="0" t="s">
        <v>105</v>
      </c>
      <c r="E565" s="0" t="str">
        <f>"s1_node_"&amp;D565&amp;"_name"</f>
        <v>s1_node_battle_name</v>
      </c>
      <c r="F565" s="10" t="str">
        <f>"s1_node_"&amp;D565&amp;"_desc"</f>
        <v>s1_node_battle_desc</v>
      </c>
      <c r="G565" s="0" t="s">
        <v>147</v>
      </c>
      <c r="H565" s="0">
        <v>1</v>
      </c>
      <c r="I565" s="0" t="s">
        <v>27</v>
      </c>
      <c r="J565" s="0" t="s">
        <v>704</v>
      </c>
      <c r="K565" s="0">
        <v>690</v>
      </c>
      <c r="L565" s="10">
        <v>3</v>
      </c>
      <c r="M565" s="0">
        <v>14</v>
      </c>
      <c r="N565" s="0">
        <v>6</v>
      </c>
      <c r="O565" s="10" t="s">
        <v>935</v>
      </c>
      <c r="P565" s="10"/>
      <c r="T565" s="0" t="str">
        <f>_xlfn.TEXTJOIN("_",TRUE,C565,"node_eff",D565,M565,N565)</f>
        <v>s1_node_eff_battle_14_6</v>
      </c>
    </row>
    <row r="566" spans="1:20" x14ac:dyDescent="0.45">
      <c r="A566" s="0" t="str">
        <f>_xlfn.TEXTJOIN("_",TRUE,C566,"node",D566,M566,N566)</f>
        <v>s1_node_battle_15_2</v>
      </c>
      <c r="B566" s="0" t="s">
        <v>0</v>
      </c>
      <c r="C566" s="0" t="s">
        <v>26</v>
      </c>
      <c r="D566" s="0" t="s">
        <v>105</v>
      </c>
      <c r="E566" s="0" t="str">
        <f>"s1_node_"&amp;D566&amp;"_name"</f>
        <v>s1_node_battle_name</v>
      </c>
      <c r="F566" s="10" t="str">
        <f>"s1_node_"&amp;D566&amp;"_desc"</f>
        <v>s1_node_battle_desc</v>
      </c>
      <c r="G566" s="0" t="s">
        <v>417</v>
      </c>
      <c r="H566" s="0">
        <v>1</v>
      </c>
      <c r="I566" s="0" t="s">
        <v>27</v>
      </c>
      <c r="J566" s="0" t="s">
        <v>707</v>
      </c>
      <c r="K566" s="0">
        <v>730</v>
      </c>
      <c r="L566" s="10">
        <v>3</v>
      </c>
      <c r="M566" s="0">
        <v>15</v>
      </c>
      <c r="N566" s="0">
        <v>2</v>
      </c>
      <c r="O566" s="10" t="s">
        <v>936</v>
      </c>
      <c r="P566" s="10"/>
      <c r="T566" s="0" t="str">
        <f>_xlfn.TEXTJOIN("_",TRUE,C566,"node_eff",D566,M566,N566)</f>
        <v>s1_node_eff_battle_15_2</v>
      </c>
    </row>
    <row r="567" spans="1:20" x14ac:dyDescent="0.45">
      <c r="A567" s="0" t="str">
        <f>_xlfn.TEXTJOIN("_",TRUE,C567,"node",D567,M567,N567)</f>
        <v>s1_node_battle_15_6</v>
      </c>
      <c r="B567" s="0" t="s">
        <v>0</v>
      </c>
      <c r="C567" s="0" t="s">
        <v>26</v>
      </c>
      <c r="D567" s="0" t="s">
        <v>105</v>
      </c>
      <c r="E567" s="0" t="str">
        <f>"s1_node_"&amp;D567&amp;"_name"</f>
        <v>s1_node_battle_name</v>
      </c>
      <c r="F567" s="10" t="str">
        <f>"s1_node_"&amp;D567&amp;"_desc"</f>
        <v>s1_node_battle_desc</v>
      </c>
      <c r="G567" s="0" t="s">
        <v>417</v>
      </c>
      <c r="H567" s="0">
        <v>1</v>
      </c>
      <c r="I567" s="0" t="s">
        <v>27</v>
      </c>
      <c r="J567" s="0" t="s">
        <v>707</v>
      </c>
      <c r="K567" s="0">
        <v>730</v>
      </c>
      <c r="L567" s="10">
        <v>3</v>
      </c>
      <c r="M567" s="0">
        <v>15</v>
      </c>
      <c r="N567" s="0">
        <v>6</v>
      </c>
      <c r="O567" s="10" t="s">
        <v>937</v>
      </c>
      <c r="P567" s="10"/>
      <c r="T567" s="0" t="str">
        <f>_xlfn.TEXTJOIN("_",TRUE,C567,"node_eff",D567,M567,N567)</f>
        <v>s1_node_eff_battle_15_6</v>
      </c>
    </row>
    <row r="568" spans="1:20" x14ac:dyDescent="0.45">
      <c r="A568" s="0" t="str">
        <f>_xlfn.TEXTJOIN("_",TRUE,C568,"node",D568,M568,N568)</f>
        <v>s1_node_battle_16_4</v>
      </c>
      <c r="B568" s="0" t="s">
        <v>0</v>
      </c>
      <c r="C568" s="0" t="s">
        <v>26</v>
      </c>
      <c r="D568" s="0" t="s">
        <v>105</v>
      </c>
      <c r="E568" s="0" t="str">
        <f>"s1_node_"&amp;D568&amp;"_name"</f>
        <v>s1_node_battle_name</v>
      </c>
      <c r="F568" s="10" t="str">
        <f>"s1_node_"&amp;D568&amp;"_desc"</f>
        <v>s1_node_battle_desc</v>
      </c>
      <c r="G568" s="0" t="s">
        <v>691</v>
      </c>
      <c r="H568" s="0">
        <v>1</v>
      </c>
      <c r="I568" s="0" t="s">
        <v>27</v>
      </c>
      <c r="J568" s="0" t="s">
        <v>710</v>
      </c>
      <c r="K568" s="0">
        <v>770</v>
      </c>
      <c r="L568" s="10">
        <v>3</v>
      </c>
      <c r="M568" s="0">
        <v>16</v>
      </c>
      <c r="N568" s="0">
        <v>4</v>
      </c>
      <c r="O568" s="10" t="s">
        <v>938</v>
      </c>
      <c r="P568" s="10" t="s">
        <v>939</v>
      </c>
      <c r="T568" s="0" t="str">
        <f>_xlfn.TEXTJOIN("_",TRUE,C568,"node_eff",D568,M568,N568)</f>
        <v>s1_node_eff_battle_16_4</v>
      </c>
    </row>
    <row r="569" spans="1:20" x14ac:dyDescent="0.45">
      <c r="A569" s="0" t="str">
        <f>_xlfn.TEXTJOIN("_",TRUE,C569,"node",D569,M569,N569)</f>
        <v>s1_node_battle_17_2</v>
      </c>
      <c r="B569" s="0" t="s">
        <v>0</v>
      </c>
      <c r="C569" s="0" t="s">
        <v>26</v>
      </c>
      <c r="D569" s="0" t="s">
        <v>105</v>
      </c>
      <c r="E569" s="0" t="str">
        <f>"s1_node_"&amp;D569&amp;"_name"</f>
        <v>s1_node_battle_name</v>
      </c>
      <c r="F569" s="10" t="str">
        <f>"s1_node_"&amp;D569&amp;"_desc"</f>
        <v>s1_node_battle_desc</v>
      </c>
      <c r="G569" s="0" t="s">
        <v>691</v>
      </c>
      <c r="H569" s="0">
        <v>1</v>
      </c>
      <c r="I569" s="0" t="s">
        <v>27</v>
      </c>
      <c r="J569" s="0" t="s">
        <v>196</v>
      </c>
      <c r="K569" s="0">
        <v>810</v>
      </c>
      <c r="L569" s="10">
        <v>3</v>
      </c>
      <c r="M569" s="0">
        <v>17</v>
      </c>
      <c r="N569" s="0">
        <v>2</v>
      </c>
      <c r="O569" s="10" t="s">
        <v>940</v>
      </c>
      <c r="P569" s="10"/>
      <c r="T569" s="0" t="str">
        <f>_xlfn.TEXTJOIN("_",TRUE,C569,"node_eff",D569,M569,N569)</f>
        <v>s1_node_eff_battle_17_2</v>
      </c>
    </row>
    <row r="570" spans="1:20" x14ac:dyDescent="0.45">
      <c r="A570" s="0" t="str">
        <f>_xlfn.TEXTJOIN("_",TRUE,C570,"node",D570,M570,N570)</f>
        <v>s1_node_battle_17_6</v>
      </c>
      <c r="B570" s="0" t="s">
        <v>0</v>
      </c>
      <c r="C570" s="0" t="s">
        <v>26</v>
      </c>
      <c r="D570" s="0" t="s">
        <v>105</v>
      </c>
      <c r="E570" s="0" t="str">
        <f>"s1_node_"&amp;D570&amp;"_name"</f>
        <v>s1_node_battle_name</v>
      </c>
      <c r="F570" s="10" t="str">
        <f>"s1_node_"&amp;D570&amp;"_desc"</f>
        <v>s1_node_battle_desc</v>
      </c>
      <c r="G570" s="0" t="s">
        <v>691</v>
      </c>
      <c r="H570" s="0">
        <v>1</v>
      </c>
      <c r="I570" s="0" t="s">
        <v>27</v>
      </c>
      <c r="J570" s="0" t="s">
        <v>196</v>
      </c>
      <c r="K570" s="0">
        <v>810</v>
      </c>
      <c r="L570" s="10">
        <v>3</v>
      </c>
      <c r="M570" s="0">
        <v>17</v>
      </c>
      <c r="N570" s="0">
        <v>6</v>
      </c>
      <c r="O570" s="10" t="s">
        <v>940</v>
      </c>
      <c r="P570" s="10"/>
      <c r="T570" s="0" t="str">
        <f>_xlfn.TEXTJOIN("_",TRUE,C570,"node_eff",D570,M570,N570)</f>
        <v>s1_node_eff_battle_17_6</v>
      </c>
    </row>
    <row r="571" spans="1:20" x14ac:dyDescent="0.45">
      <c r="A571" s="0" t="str">
        <f>_xlfn.TEXTJOIN("_",TRUE,C571,"node",D571,M571,N571)</f>
        <v>s1_node_battle_18_2</v>
      </c>
      <c r="B571" s="0" t="s">
        <v>0</v>
      </c>
      <c r="C571" s="0" t="s">
        <v>26</v>
      </c>
      <c r="D571" s="0" t="s">
        <v>105</v>
      </c>
      <c r="E571" s="0" t="str">
        <f>"s1_node_"&amp;D571&amp;"_name"</f>
        <v>s1_node_battle_name</v>
      </c>
      <c r="F571" s="10" t="str">
        <f>"s1_node_"&amp;D571&amp;"_desc"</f>
        <v>s1_node_battle_desc</v>
      </c>
      <c r="G571" s="0" t="s">
        <v>691</v>
      </c>
      <c r="H571" s="0">
        <v>1</v>
      </c>
      <c r="I571" s="0" t="s">
        <v>27</v>
      </c>
      <c r="J571" s="0" t="s">
        <v>941</v>
      </c>
      <c r="K571" s="0">
        <v>850</v>
      </c>
      <c r="L571" s="10">
        <v>3</v>
      </c>
      <c r="M571" s="0">
        <v>18</v>
      </c>
      <c r="N571" s="0">
        <v>2</v>
      </c>
      <c r="O571" s="10" t="s">
        <v>942</v>
      </c>
      <c r="P571" s="10"/>
      <c r="T571" s="0" t="str">
        <f>_xlfn.TEXTJOIN("_",TRUE,C571,"node_eff",D571,M571,N571)</f>
        <v>s1_node_eff_battle_18_2</v>
      </c>
    </row>
    <row r="572" spans="1:20" x14ac:dyDescent="0.45">
      <c r="A572" s="0" t="str">
        <f>_xlfn.TEXTJOIN("_",TRUE,C572,"node",D572,M572,N572)</f>
        <v>s1_node_battle_18_6</v>
      </c>
      <c r="B572" s="0" t="s">
        <v>0</v>
      </c>
      <c r="C572" s="0" t="s">
        <v>26</v>
      </c>
      <c r="D572" s="0" t="s">
        <v>105</v>
      </c>
      <c r="E572" s="0" t="str">
        <f>"s1_node_"&amp;D572&amp;"_name"</f>
        <v>s1_node_battle_name</v>
      </c>
      <c r="F572" s="10" t="str">
        <f>"s1_node_"&amp;D572&amp;"_desc"</f>
        <v>s1_node_battle_desc</v>
      </c>
      <c r="G572" s="0" t="s">
        <v>691</v>
      </c>
      <c r="H572" s="0">
        <v>1</v>
      </c>
      <c r="I572" s="0" t="s">
        <v>27</v>
      </c>
      <c r="J572" s="0" t="s">
        <v>941</v>
      </c>
      <c r="K572" s="0">
        <v>850</v>
      </c>
      <c r="L572" s="10">
        <v>3</v>
      </c>
      <c r="M572" s="0">
        <v>18</v>
      </c>
      <c r="N572" s="0">
        <v>6</v>
      </c>
      <c r="O572" s="10" t="s">
        <v>943</v>
      </c>
      <c r="P572" s="10"/>
      <c r="T572" s="0" t="str">
        <f>_xlfn.TEXTJOIN("_",TRUE,C572,"node_eff",D572,M572,N572)</f>
        <v>s1_node_eff_battle_18_6</v>
      </c>
    </row>
    <row r="573" spans="1:20" x14ac:dyDescent="0.45">
      <c r="A573" s="0" t="str">
        <f>_xlfn.TEXTJOIN("_",TRUE,C573,"node",D573,M573,N573)</f>
        <v>s1_node_battle_19_2</v>
      </c>
      <c r="B573" s="0" t="s">
        <v>0</v>
      </c>
      <c r="C573" s="0" t="s">
        <v>26</v>
      </c>
      <c r="D573" s="0" t="s">
        <v>105</v>
      </c>
      <c r="E573" s="0" t="str">
        <f>"s1_node_"&amp;D573&amp;"_name"</f>
        <v>s1_node_battle_name</v>
      </c>
      <c r="F573" s="10" t="str">
        <f>"s1_node_"&amp;D573&amp;"_desc"</f>
        <v>s1_node_battle_desc</v>
      </c>
      <c r="G573" s="0" t="s">
        <v>691</v>
      </c>
      <c r="H573" s="0">
        <v>1</v>
      </c>
      <c r="I573" s="0" t="s">
        <v>27</v>
      </c>
      <c r="J573" s="0" t="s">
        <v>944</v>
      </c>
      <c r="K573" s="0">
        <v>890</v>
      </c>
      <c r="L573" s="10">
        <v>3</v>
      </c>
      <c r="M573" s="0">
        <v>19</v>
      </c>
      <c r="N573" s="0">
        <v>2</v>
      </c>
      <c r="O573" s="10" t="s">
        <v>945</v>
      </c>
      <c r="P573" s="10"/>
      <c r="T573" s="0" t="str">
        <f>_xlfn.TEXTJOIN("_",TRUE,C573,"node_eff",D573,M573,N573)</f>
        <v>s1_node_eff_battle_19_2</v>
      </c>
    </row>
    <row r="574" spans="1:20" x14ac:dyDescent="0.45">
      <c r="A574" s="0" t="str">
        <f>_xlfn.TEXTJOIN("_",TRUE,C574,"node",D574,M574,N574)</f>
        <v>s1_node_battle_19_6</v>
      </c>
      <c r="B574" s="0" t="s">
        <v>0</v>
      </c>
      <c r="C574" s="0" t="s">
        <v>26</v>
      </c>
      <c r="D574" s="0" t="s">
        <v>105</v>
      </c>
      <c r="E574" s="0" t="str">
        <f>"s1_node_"&amp;D574&amp;"_name"</f>
        <v>s1_node_battle_name</v>
      </c>
      <c r="F574" s="10" t="str">
        <f>"s1_node_"&amp;D574&amp;"_desc"</f>
        <v>s1_node_battle_desc</v>
      </c>
      <c r="G574" s="0" t="s">
        <v>691</v>
      </c>
      <c r="H574" s="0">
        <v>1</v>
      </c>
      <c r="I574" s="0" t="s">
        <v>27</v>
      </c>
      <c r="J574" s="0" t="s">
        <v>944</v>
      </c>
      <c r="K574" s="0">
        <v>890</v>
      </c>
      <c r="L574" s="10">
        <v>3</v>
      </c>
      <c r="M574" s="0">
        <v>19</v>
      </c>
      <c r="N574" s="0">
        <v>6</v>
      </c>
      <c r="O574" s="10" t="s">
        <v>946</v>
      </c>
      <c r="P574" s="10"/>
      <c r="T574" s="0" t="str">
        <f>_xlfn.TEXTJOIN("_",TRUE,C574,"node_eff",D574,M574,N574)</f>
        <v>s1_node_eff_battle_19_6</v>
      </c>
    </row>
    <row r="575" spans="1:20" x14ac:dyDescent="0.45">
      <c r="A575" s="0" t="str">
        <f>_xlfn.TEXTJOIN("_",TRUE,C575,"node",D575,M575,N575)</f>
        <v>s1_node_battle_20_2</v>
      </c>
      <c r="B575" s="0" t="s">
        <v>0</v>
      </c>
      <c r="C575" s="0" t="s">
        <v>26</v>
      </c>
      <c r="D575" s="0" t="s">
        <v>105</v>
      </c>
      <c r="E575" s="0" t="str">
        <f>"s1_node_"&amp;D575&amp;"_name"</f>
        <v>s1_node_battle_name</v>
      </c>
      <c r="F575" s="10" t="str">
        <f>"s1_node_"&amp;D575&amp;"_desc"</f>
        <v>s1_node_battle_desc</v>
      </c>
      <c r="G575" s="0" t="s">
        <v>691</v>
      </c>
      <c r="H575" s="0">
        <v>1</v>
      </c>
      <c r="I575" s="0" t="s">
        <v>27</v>
      </c>
      <c r="J575" s="0" t="s">
        <v>473</v>
      </c>
      <c r="K575" s="0">
        <v>930</v>
      </c>
      <c r="L575" s="10">
        <v>3</v>
      </c>
      <c r="M575" s="0">
        <v>20</v>
      </c>
      <c r="N575" s="0">
        <v>2</v>
      </c>
      <c r="O575" s="10" t="s">
        <v>947</v>
      </c>
      <c r="P575" s="10"/>
      <c r="T575" s="0" t="str">
        <f>_xlfn.TEXTJOIN("_",TRUE,C575,"node_eff",D575,M575,N575)</f>
        <v>s1_node_eff_battle_20_2</v>
      </c>
    </row>
    <row r="576" spans="1:20" x14ac:dyDescent="0.45">
      <c r="A576" s="0" t="str">
        <f>_xlfn.TEXTJOIN("_",TRUE,C576,"node",D576,M576,N576)</f>
        <v>s1_node_battle_20_6</v>
      </c>
      <c r="B576" s="0" t="s">
        <v>0</v>
      </c>
      <c r="C576" s="0" t="s">
        <v>26</v>
      </c>
      <c r="D576" s="0" t="s">
        <v>105</v>
      </c>
      <c r="E576" s="0" t="str">
        <f>"s1_node_"&amp;D576&amp;"_name"</f>
        <v>s1_node_battle_name</v>
      </c>
      <c r="F576" s="10" t="str">
        <f>"s1_node_"&amp;D576&amp;"_desc"</f>
        <v>s1_node_battle_desc</v>
      </c>
      <c r="G576" s="0" t="s">
        <v>691</v>
      </c>
      <c r="H576" s="0">
        <v>1</v>
      </c>
      <c r="I576" s="0" t="s">
        <v>27</v>
      </c>
      <c r="J576" s="0" t="s">
        <v>473</v>
      </c>
      <c r="K576" s="0">
        <v>930</v>
      </c>
      <c r="L576" s="10">
        <v>3</v>
      </c>
      <c r="M576" s="0">
        <v>20</v>
      </c>
      <c r="N576" s="0">
        <v>6</v>
      </c>
      <c r="O576" s="10" t="s">
        <v>948</v>
      </c>
      <c r="P576" s="10"/>
      <c r="T576" s="0" t="str">
        <f>_xlfn.TEXTJOIN("_",TRUE,C576,"node_eff",D576,M576,N576)</f>
        <v>s1_node_eff_battle_20_6</v>
      </c>
    </row>
    <row r="577" spans="1:20" x14ac:dyDescent="0.45">
      <c r="A577" s="0" t="str">
        <f>_xlfn.TEXTJOIN("_",TRUE,C577,"node",D577,M577,N577)</f>
        <v>s1_node_battle_21_4</v>
      </c>
      <c r="B577" s="0" t="s">
        <v>0</v>
      </c>
      <c r="C577" s="0" t="s">
        <v>26</v>
      </c>
      <c r="D577" s="0" t="s">
        <v>105</v>
      </c>
      <c r="E577" s="0" t="str">
        <f>"s1_node_"&amp;D577&amp;"_name"</f>
        <v>s1_node_battle_name</v>
      </c>
      <c r="F577" s="10" t="str">
        <f>"s1_node_"&amp;D577&amp;"_desc"</f>
        <v>s1_node_battle_desc</v>
      </c>
      <c r="G577" s="0" t="s">
        <v>691</v>
      </c>
      <c r="H577" s="0">
        <v>2</v>
      </c>
      <c r="I577" s="0" t="s">
        <v>27</v>
      </c>
      <c r="J577" s="0" t="s">
        <v>721</v>
      </c>
      <c r="K577" s="0">
        <v>960</v>
      </c>
      <c r="L577" s="10">
        <v>3</v>
      </c>
      <c r="M577" s="0">
        <v>21</v>
      </c>
      <c r="N577" s="0">
        <v>4</v>
      </c>
      <c r="O577" s="10" t="s">
        <v>949</v>
      </c>
      <c r="P577" s="10" t="s">
        <v>950</v>
      </c>
      <c r="T577" s="0" t="str">
        <f>_xlfn.TEXTJOIN("_",TRUE,C577,"node_eff",D577,M577,N577)</f>
        <v>s1_node_eff_battle_21_4</v>
      </c>
    </row>
    <row r="578" spans="1:20" x14ac:dyDescent="0.45">
      <c r="A578" s="0" t="str">
        <f>_xlfn.TEXTJOIN("_",TRUE,C578,"node",D578,M578,N578)</f>
        <v>s1_node_battle_22_2</v>
      </c>
      <c r="B578" s="0" t="s">
        <v>0</v>
      </c>
      <c r="C578" s="0" t="s">
        <v>26</v>
      </c>
      <c r="D578" s="0" t="s">
        <v>105</v>
      </c>
      <c r="E578" s="0" t="str">
        <f>"s1_node_"&amp;D578&amp;"_name"</f>
        <v>s1_node_battle_name</v>
      </c>
      <c r="F578" s="10" t="str">
        <f>"s1_node_"&amp;D578&amp;"_desc"</f>
        <v>s1_node_battle_desc</v>
      </c>
      <c r="G578" s="0" t="s">
        <v>147</v>
      </c>
      <c r="H578" s="0">
        <v>2</v>
      </c>
      <c r="I578" s="0" t="s">
        <v>27</v>
      </c>
      <c r="J578" s="0" t="s">
        <v>479</v>
      </c>
      <c r="K578" s="0">
        <v>1000</v>
      </c>
      <c r="L578" s="10">
        <v>3</v>
      </c>
      <c r="M578" s="0">
        <v>22</v>
      </c>
      <c r="N578" s="0">
        <v>2</v>
      </c>
      <c r="O578" s="10" t="s">
        <v>951</v>
      </c>
      <c r="P578" s="10"/>
      <c r="T578" s="0" t="str">
        <f>_xlfn.TEXTJOIN("_",TRUE,C578,"node_eff",D578,M578,N578)</f>
        <v>s1_node_eff_battle_22_2</v>
      </c>
    </row>
    <row r="579" spans="1:20" x14ac:dyDescent="0.45">
      <c r="A579" s="0" t="str">
        <f>_xlfn.TEXTJOIN("_",TRUE,C579,"node",D579,M579,N579)</f>
        <v>s1_node_battle_22_6</v>
      </c>
      <c r="B579" s="0" t="s">
        <v>0</v>
      </c>
      <c r="C579" s="0" t="s">
        <v>26</v>
      </c>
      <c r="D579" s="0" t="s">
        <v>105</v>
      </c>
      <c r="E579" s="0" t="str">
        <f>"s1_node_"&amp;D579&amp;"_name"</f>
        <v>s1_node_battle_name</v>
      </c>
      <c r="F579" s="10" t="str">
        <f>"s1_node_"&amp;D579&amp;"_desc"</f>
        <v>s1_node_battle_desc</v>
      </c>
      <c r="G579" s="0" t="s">
        <v>417</v>
      </c>
      <c r="H579" s="0">
        <v>2</v>
      </c>
      <c r="I579" s="0" t="s">
        <v>27</v>
      </c>
      <c r="J579" s="0" t="s">
        <v>479</v>
      </c>
      <c r="K579" s="0">
        <v>1000</v>
      </c>
      <c r="L579" s="10">
        <v>3</v>
      </c>
      <c r="M579" s="0">
        <v>22</v>
      </c>
      <c r="N579" s="0">
        <v>6</v>
      </c>
      <c r="O579" s="10" t="s">
        <v>951</v>
      </c>
      <c r="P579" s="10"/>
      <c r="T579" s="0" t="str">
        <f>_xlfn.TEXTJOIN("_",TRUE,C579,"node_eff",D579,M579,N579)</f>
        <v>s1_node_eff_battle_22_6</v>
      </c>
    </row>
    <row r="580" spans="1:20" x14ac:dyDescent="0.45">
      <c r="A580" s="0" t="str">
        <f>_xlfn.TEXTJOIN("_",TRUE,C580,"node",D580,M580,N580)</f>
        <v>s1_node_battle_23_2</v>
      </c>
      <c r="B580" s="0" t="s">
        <v>0</v>
      </c>
      <c r="C580" s="0" t="s">
        <v>26</v>
      </c>
      <c r="D580" s="0" t="s">
        <v>105</v>
      </c>
      <c r="E580" s="0" t="str">
        <f>"s1_node_"&amp;D580&amp;"_name"</f>
        <v>s1_node_battle_name</v>
      </c>
      <c r="F580" s="10" t="str">
        <f>"s1_node_"&amp;D580&amp;"_desc"</f>
        <v>s1_node_battle_desc</v>
      </c>
      <c r="G580" s="0" t="s">
        <v>691</v>
      </c>
      <c r="H580" s="0">
        <v>2</v>
      </c>
      <c r="I580" s="0" t="s">
        <v>27</v>
      </c>
      <c r="J580" s="0" t="s">
        <v>482</v>
      </c>
      <c r="K580" s="0">
        <v>1040</v>
      </c>
      <c r="L580" s="10">
        <v>3</v>
      </c>
      <c r="M580" s="0">
        <v>23</v>
      </c>
      <c r="N580" s="0">
        <v>2</v>
      </c>
      <c r="O580" s="10" t="s">
        <v>952</v>
      </c>
      <c r="P580" s="10"/>
      <c r="T580" s="0" t="str">
        <f>_xlfn.TEXTJOIN("_",TRUE,C580,"node_eff",D580,M580,N580)</f>
        <v>s1_node_eff_battle_23_2</v>
      </c>
    </row>
    <row r="581" spans="1:20" x14ac:dyDescent="0.45">
      <c r="A581" s="0" t="str">
        <f>_xlfn.TEXTJOIN("_",TRUE,C581,"node",D581,M581,N581)</f>
        <v>s1_node_battle_23_6</v>
      </c>
      <c r="B581" s="0" t="s">
        <v>0</v>
      </c>
      <c r="C581" s="0" t="s">
        <v>26</v>
      </c>
      <c r="D581" s="0" t="s">
        <v>105</v>
      </c>
      <c r="E581" s="0" t="str">
        <f>"s1_node_"&amp;D581&amp;"_name"</f>
        <v>s1_node_battle_name</v>
      </c>
      <c r="F581" s="10" t="str">
        <f>"s1_node_"&amp;D581&amp;"_desc"</f>
        <v>s1_node_battle_desc</v>
      </c>
      <c r="G581" s="0" t="s">
        <v>691</v>
      </c>
      <c r="H581" s="0">
        <v>2</v>
      </c>
      <c r="I581" s="0" t="s">
        <v>27</v>
      </c>
      <c r="J581" s="0" t="s">
        <v>482</v>
      </c>
      <c r="K581" s="0">
        <v>1040</v>
      </c>
      <c r="L581" s="10">
        <v>3</v>
      </c>
      <c r="M581" s="0">
        <v>23</v>
      </c>
      <c r="N581" s="0">
        <v>6</v>
      </c>
      <c r="O581" s="10" t="s">
        <v>953</v>
      </c>
      <c r="P581" s="10"/>
      <c r="T581" s="0" t="str">
        <f>_xlfn.TEXTJOIN("_",TRUE,C581,"node_eff",D581,M581,N581)</f>
        <v>s1_node_eff_battle_23_6</v>
      </c>
    </row>
    <row r="582" spans="1:20" x14ac:dyDescent="0.45">
      <c r="A582" s="0" t="str">
        <f>_xlfn.TEXTJOIN("_",TRUE,C582,"node",D582,M582,N582)</f>
        <v>s1_node_battle_24_2</v>
      </c>
      <c r="B582" s="0" t="s">
        <v>0</v>
      </c>
      <c r="C582" s="0" t="s">
        <v>26</v>
      </c>
      <c r="D582" s="0" t="s">
        <v>105</v>
      </c>
      <c r="E582" s="0" t="str">
        <f>"s1_node_"&amp;D582&amp;"_name"</f>
        <v>s1_node_battle_name</v>
      </c>
      <c r="F582" s="10" t="str">
        <f>"s1_node_"&amp;D582&amp;"_desc"</f>
        <v>s1_node_battle_desc</v>
      </c>
      <c r="G582" s="0" t="s">
        <v>691</v>
      </c>
      <c r="H582" s="0">
        <v>2</v>
      </c>
      <c r="I582" s="0" t="s">
        <v>27</v>
      </c>
      <c r="J582" s="0" t="s">
        <v>484</v>
      </c>
      <c r="K582" s="0">
        <v>1080</v>
      </c>
      <c r="L582" s="10">
        <v>3</v>
      </c>
      <c r="M582" s="0">
        <v>24</v>
      </c>
      <c r="N582" s="0">
        <v>2</v>
      </c>
      <c r="O582" s="10" t="s">
        <v>954</v>
      </c>
      <c r="P582" s="10"/>
      <c r="T582" s="0" t="str">
        <f>_xlfn.TEXTJOIN("_",TRUE,C582,"node_eff",D582,M582,N582)</f>
        <v>s1_node_eff_battle_24_2</v>
      </c>
    </row>
    <row r="583" spans="1:20" x14ac:dyDescent="0.45">
      <c r="A583" s="0" t="str">
        <f>_xlfn.TEXTJOIN("_",TRUE,C583,"node",D583,M583,N583)</f>
        <v>s1_node_battle_24_6</v>
      </c>
      <c r="B583" s="0" t="s">
        <v>0</v>
      </c>
      <c r="C583" s="0" t="s">
        <v>26</v>
      </c>
      <c r="D583" s="0" t="s">
        <v>105</v>
      </c>
      <c r="E583" s="0" t="str">
        <f>"s1_node_"&amp;D583&amp;"_name"</f>
        <v>s1_node_battle_name</v>
      </c>
      <c r="F583" s="10" t="str">
        <f>"s1_node_"&amp;D583&amp;"_desc"</f>
        <v>s1_node_battle_desc</v>
      </c>
      <c r="G583" s="0" t="s">
        <v>691</v>
      </c>
      <c r="H583" s="0">
        <v>2</v>
      </c>
      <c r="I583" s="0" t="s">
        <v>27</v>
      </c>
      <c r="J583" s="0" t="s">
        <v>484</v>
      </c>
      <c r="K583" s="0">
        <v>1080</v>
      </c>
      <c r="L583" s="10">
        <v>3</v>
      </c>
      <c r="M583" s="0">
        <v>24</v>
      </c>
      <c r="N583" s="0">
        <v>6</v>
      </c>
      <c r="O583" s="10" t="s">
        <v>955</v>
      </c>
      <c r="P583" s="10"/>
      <c r="T583" s="0" t="str">
        <f>_xlfn.TEXTJOIN("_",TRUE,C583,"node_eff",D583,M583,N583)</f>
        <v>s1_node_eff_battle_24_6</v>
      </c>
    </row>
    <row r="584" spans="1:20" x14ac:dyDescent="0.45">
      <c r="A584" s="0" t="str">
        <f>_xlfn.TEXTJOIN("_",TRUE,C584,"node",D584,M584,N584)</f>
        <v>s1_node_battle_25_2</v>
      </c>
      <c r="B584" s="0" t="s">
        <v>0</v>
      </c>
      <c r="C584" s="0" t="s">
        <v>26</v>
      </c>
      <c r="D584" s="0" t="s">
        <v>105</v>
      </c>
      <c r="E584" s="0" t="str">
        <f>"s1_node_"&amp;D584&amp;"_name"</f>
        <v>s1_node_battle_name</v>
      </c>
      <c r="F584" s="10" t="str">
        <f>"s1_node_"&amp;D584&amp;"_desc"</f>
        <v>s1_node_battle_desc</v>
      </c>
      <c r="G584" s="0" t="s">
        <v>691</v>
      </c>
      <c r="H584" s="0">
        <v>2</v>
      </c>
      <c r="I584" s="0" t="s">
        <v>27</v>
      </c>
      <c r="J584" s="0" t="s">
        <v>221</v>
      </c>
      <c r="K584" s="0">
        <v>1120</v>
      </c>
      <c r="L584" s="10">
        <v>3</v>
      </c>
      <c r="M584" s="0">
        <v>25</v>
      </c>
      <c r="N584" s="0">
        <v>2</v>
      </c>
      <c r="O584" s="10" t="s">
        <v>956</v>
      </c>
      <c r="P584" s="10"/>
      <c r="T584" s="0" t="str">
        <f>_xlfn.TEXTJOIN("_",TRUE,C584,"node_eff",D584,M584,N584)</f>
        <v>s1_node_eff_battle_25_2</v>
      </c>
    </row>
    <row r="585" spans="1:20" x14ac:dyDescent="0.45">
      <c r="A585" s="0" t="str">
        <f>_xlfn.TEXTJOIN("_",TRUE,C585,"node",D585,M585,N585)</f>
        <v>s1_node_battle_25_6</v>
      </c>
      <c r="B585" s="0" t="s">
        <v>0</v>
      </c>
      <c r="C585" s="0" t="s">
        <v>26</v>
      </c>
      <c r="D585" s="0" t="s">
        <v>105</v>
      </c>
      <c r="E585" s="0" t="str">
        <f>"s1_node_"&amp;D585&amp;"_name"</f>
        <v>s1_node_battle_name</v>
      </c>
      <c r="F585" s="10" t="str">
        <f>"s1_node_"&amp;D585&amp;"_desc"</f>
        <v>s1_node_battle_desc</v>
      </c>
      <c r="G585" s="0" t="s">
        <v>691</v>
      </c>
      <c r="H585" s="0">
        <v>2</v>
      </c>
      <c r="I585" s="0" t="s">
        <v>27</v>
      </c>
      <c r="J585" s="0" t="s">
        <v>221</v>
      </c>
      <c r="K585" s="0">
        <v>1120</v>
      </c>
      <c r="L585" s="10">
        <v>3</v>
      </c>
      <c r="M585" s="0">
        <v>25</v>
      </c>
      <c r="N585" s="0">
        <v>6</v>
      </c>
      <c r="O585" s="10" t="s">
        <v>957</v>
      </c>
      <c r="P585" s="10"/>
      <c r="T585" s="0" t="str">
        <f>_xlfn.TEXTJOIN("_",TRUE,C585,"node_eff",D585,M585,N585)</f>
        <v>s1_node_eff_battle_25_6</v>
      </c>
    </row>
    <row r="586" spans="1:20" x14ac:dyDescent="0.45">
      <c r="A586" s="0" t="str">
        <f>_xlfn.TEXTJOIN("_",TRUE,C586,"node",D586,M586,N586)</f>
        <v>s1_node_battle_26_4</v>
      </c>
      <c r="B586" s="0" t="s">
        <v>0</v>
      </c>
      <c r="C586" s="0" t="s">
        <v>26</v>
      </c>
      <c r="D586" s="0" t="s">
        <v>105</v>
      </c>
      <c r="E586" s="0" t="str">
        <f>"s1_node_"&amp;D586&amp;"_name"</f>
        <v>s1_node_battle_name</v>
      </c>
      <c r="F586" s="10" t="str">
        <f>"s1_node_"&amp;D586&amp;"_desc"</f>
        <v>s1_node_battle_desc</v>
      </c>
      <c r="G586" s="0" t="s">
        <v>691</v>
      </c>
      <c r="H586" s="0">
        <v>2</v>
      </c>
      <c r="I586" s="0" t="s">
        <v>27</v>
      </c>
      <c r="J586" s="0" t="s">
        <v>224</v>
      </c>
      <c r="K586" s="0">
        <v>1160</v>
      </c>
      <c r="L586" s="10">
        <v>3</v>
      </c>
      <c r="M586" s="0">
        <v>26</v>
      </c>
      <c r="N586" s="0">
        <v>4</v>
      </c>
      <c r="O586" s="10" t="s">
        <v>958</v>
      </c>
      <c r="P586" s="10" t="s">
        <v>959</v>
      </c>
      <c r="T586" s="0" t="str">
        <f>_xlfn.TEXTJOIN("_",TRUE,C586,"node_eff",D586,M586,N586)</f>
        <v>s1_node_eff_battle_26_4</v>
      </c>
    </row>
    <row r="587" spans="1:20" x14ac:dyDescent="0.45">
      <c r="A587" s="0" t="str">
        <f>_xlfn.TEXTJOIN("_",TRUE,C587,"node",D587,M587,N587)</f>
        <v>s1_node_battle_27_2</v>
      </c>
      <c r="B587" s="0" t="s">
        <v>0</v>
      </c>
      <c r="C587" s="0" t="s">
        <v>26</v>
      </c>
      <c r="D587" s="0" t="s">
        <v>105</v>
      </c>
      <c r="E587" s="0" t="str">
        <f>"s1_node_"&amp;D587&amp;"_name"</f>
        <v>s1_node_battle_name</v>
      </c>
      <c r="F587" s="10" t="str">
        <f>"s1_node_"&amp;D587&amp;"_desc"</f>
        <v>s1_node_battle_desc</v>
      </c>
      <c r="G587" s="0" t="s">
        <v>691</v>
      </c>
      <c r="H587" s="0">
        <v>2</v>
      </c>
      <c r="I587" s="0" t="s">
        <v>27</v>
      </c>
      <c r="J587" s="0" t="s">
        <v>960</v>
      </c>
      <c r="K587" s="0">
        <v>1200</v>
      </c>
      <c r="L587" s="10">
        <v>3</v>
      </c>
      <c r="M587" s="0">
        <v>27</v>
      </c>
      <c r="N587" s="0">
        <v>2</v>
      </c>
      <c r="O587" s="10" t="s">
        <v>961</v>
      </c>
      <c r="P587" s="10"/>
      <c r="T587" s="0" t="str">
        <f>_xlfn.TEXTJOIN("_",TRUE,C587,"node_eff",D587,M587,N587)</f>
        <v>s1_node_eff_battle_27_2</v>
      </c>
    </row>
    <row r="588" spans="1:20" x14ac:dyDescent="0.45">
      <c r="A588" s="0" t="str">
        <f>_xlfn.TEXTJOIN("_",TRUE,C588,"node",D588,M588,N588)</f>
        <v>s1_node_battle_27_6</v>
      </c>
      <c r="B588" s="0" t="s">
        <v>0</v>
      </c>
      <c r="C588" s="0" t="s">
        <v>26</v>
      </c>
      <c r="D588" s="0" t="s">
        <v>105</v>
      </c>
      <c r="E588" s="0" t="str">
        <f>"s1_node_"&amp;D588&amp;"_name"</f>
        <v>s1_node_battle_name</v>
      </c>
      <c r="F588" s="10" t="str">
        <f>"s1_node_"&amp;D588&amp;"_desc"</f>
        <v>s1_node_battle_desc</v>
      </c>
      <c r="G588" s="0" t="s">
        <v>691</v>
      </c>
      <c r="H588" s="0">
        <v>2</v>
      </c>
      <c r="I588" s="0" t="s">
        <v>27</v>
      </c>
      <c r="J588" s="0" t="s">
        <v>960</v>
      </c>
      <c r="K588" s="0">
        <v>1200</v>
      </c>
      <c r="L588" s="10">
        <v>3</v>
      </c>
      <c r="M588" s="0">
        <v>27</v>
      </c>
      <c r="N588" s="0">
        <v>6</v>
      </c>
      <c r="O588" s="10" t="s">
        <v>961</v>
      </c>
      <c r="P588" s="10"/>
      <c r="T588" s="0" t="str">
        <f>_xlfn.TEXTJOIN("_",TRUE,C588,"node_eff",D588,M588,N588)</f>
        <v>s1_node_eff_battle_27_6</v>
      </c>
    </row>
    <row r="589" spans="1:20" x14ac:dyDescent="0.45">
      <c r="A589" s="0" t="str">
        <f>_xlfn.TEXTJOIN("_",TRUE,C589,"node",D589,M589,N589)</f>
        <v>s1_node_battle_28_2</v>
      </c>
      <c r="B589" s="0" t="s">
        <v>0</v>
      </c>
      <c r="C589" s="0" t="s">
        <v>26</v>
      </c>
      <c r="D589" s="0" t="s">
        <v>105</v>
      </c>
      <c r="E589" s="0" t="str">
        <f>"s1_node_"&amp;D589&amp;"_name"</f>
        <v>s1_node_battle_name</v>
      </c>
      <c r="F589" s="10" t="str">
        <f>"s1_node_"&amp;D589&amp;"_desc"</f>
        <v>s1_node_battle_desc</v>
      </c>
      <c r="G589" s="0" t="s">
        <v>691</v>
      </c>
      <c r="H589" s="0">
        <v>2</v>
      </c>
      <c r="I589" s="0" t="s">
        <v>27</v>
      </c>
      <c r="J589" s="0" t="s">
        <v>962</v>
      </c>
      <c r="K589" s="0">
        <v>1240</v>
      </c>
      <c r="L589" s="10">
        <v>3</v>
      </c>
      <c r="M589" s="0">
        <v>28</v>
      </c>
      <c r="N589" s="0">
        <v>2</v>
      </c>
      <c r="O589" s="10" t="s">
        <v>963</v>
      </c>
      <c r="P589" s="10"/>
      <c r="T589" s="0" t="str">
        <f>_xlfn.TEXTJOIN("_",TRUE,C589,"node_eff",D589,M589,N589)</f>
        <v>s1_node_eff_battle_28_2</v>
      </c>
    </row>
    <row r="590" spans="1:20" x14ac:dyDescent="0.45">
      <c r="A590" s="0" t="str">
        <f>_xlfn.TEXTJOIN("_",TRUE,C590,"node",D590,M590,N590)</f>
        <v>s1_node_battle_28_6</v>
      </c>
      <c r="B590" s="0" t="s">
        <v>0</v>
      </c>
      <c r="C590" s="0" t="s">
        <v>26</v>
      </c>
      <c r="D590" s="0" t="s">
        <v>105</v>
      </c>
      <c r="E590" s="0" t="str">
        <f>"s1_node_"&amp;D590&amp;"_name"</f>
        <v>s1_node_battle_name</v>
      </c>
      <c r="F590" s="10" t="str">
        <f>"s1_node_"&amp;D590&amp;"_desc"</f>
        <v>s1_node_battle_desc</v>
      </c>
      <c r="G590" s="0" t="s">
        <v>147</v>
      </c>
      <c r="H590" s="0">
        <v>2</v>
      </c>
      <c r="I590" s="0" t="s">
        <v>27</v>
      </c>
      <c r="J590" s="0" t="s">
        <v>962</v>
      </c>
      <c r="K590" s="0">
        <v>1240</v>
      </c>
      <c r="L590" s="10">
        <v>3</v>
      </c>
      <c r="M590" s="0">
        <v>28</v>
      </c>
      <c r="N590" s="0">
        <v>6</v>
      </c>
      <c r="O590" s="10" t="s">
        <v>964</v>
      </c>
      <c r="P590" s="10"/>
      <c r="T590" s="0" t="str">
        <f>_xlfn.TEXTJOIN("_",TRUE,C590,"node_eff",D590,M590,N590)</f>
        <v>s1_node_eff_battle_28_6</v>
      </c>
    </row>
    <row r="591" spans="1:20" x14ac:dyDescent="0.45">
      <c r="A591" s="0" t="str">
        <f>_xlfn.TEXTJOIN("_",TRUE,C591,"node",D591,M591,N591)</f>
        <v>s1_node_battle_29_2</v>
      </c>
      <c r="B591" s="0" t="s">
        <v>0</v>
      </c>
      <c r="C591" s="0" t="s">
        <v>26</v>
      </c>
      <c r="D591" s="0" t="s">
        <v>105</v>
      </c>
      <c r="E591" s="0" t="str">
        <f>"s1_node_"&amp;D591&amp;"_name"</f>
        <v>s1_node_battle_name</v>
      </c>
      <c r="F591" s="10" t="str">
        <f>"s1_node_"&amp;D591&amp;"_desc"</f>
        <v>s1_node_battle_desc</v>
      </c>
      <c r="G591" s="0" t="s">
        <v>417</v>
      </c>
      <c r="H591" s="0">
        <v>2</v>
      </c>
      <c r="I591" s="0" t="s">
        <v>27</v>
      </c>
      <c r="J591" s="0" t="s">
        <v>965</v>
      </c>
      <c r="K591" s="0">
        <v>1280</v>
      </c>
      <c r="L591" s="10">
        <v>3</v>
      </c>
      <c r="M591" s="0">
        <v>29</v>
      </c>
      <c r="N591" s="0">
        <v>2</v>
      </c>
      <c r="O591" s="10" t="s">
        <v>966</v>
      </c>
      <c r="P591" s="10"/>
      <c r="T591" s="0" t="str">
        <f>_xlfn.TEXTJOIN("_",TRUE,C591,"node_eff",D591,M591,N591)</f>
        <v>s1_node_eff_battle_29_2</v>
      </c>
    </row>
    <row r="592" spans="1:20" x14ac:dyDescent="0.45">
      <c r="A592" s="0" t="str">
        <f>_xlfn.TEXTJOIN("_",TRUE,C592,"node",D592,M592,N592)</f>
        <v>s1_node_battle_29_6</v>
      </c>
      <c r="B592" s="0" t="s">
        <v>0</v>
      </c>
      <c r="C592" s="0" t="s">
        <v>26</v>
      </c>
      <c r="D592" s="0" t="s">
        <v>105</v>
      </c>
      <c r="E592" s="0" t="str">
        <f>"s1_node_"&amp;D592&amp;"_name"</f>
        <v>s1_node_battle_name</v>
      </c>
      <c r="F592" s="10" t="str">
        <f>"s1_node_"&amp;D592&amp;"_desc"</f>
        <v>s1_node_battle_desc</v>
      </c>
      <c r="G592" s="0" t="s">
        <v>691</v>
      </c>
      <c r="H592" s="0">
        <v>2</v>
      </c>
      <c r="I592" s="0" t="s">
        <v>27</v>
      </c>
      <c r="J592" s="0" t="s">
        <v>965</v>
      </c>
      <c r="K592" s="0">
        <v>1280</v>
      </c>
      <c r="L592" s="10">
        <v>3</v>
      </c>
      <c r="M592" s="0">
        <v>29</v>
      </c>
      <c r="N592" s="0">
        <v>6</v>
      </c>
      <c r="O592" s="10" t="s">
        <v>967</v>
      </c>
      <c r="P592" s="10"/>
      <c r="T592" s="0" t="str">
        <f>_xlfn.TEXTJOIN("_",TRUE,C592,"node_eff",D592,M592,N592)</f>
        <v>s1_node_eff_battle_29_6</v>
      </c>
    </row>
    <row r="593" spans="1:20" x14ac:dyDescent="0.45">
      <c r="A593" s="0" t="str">
        <f>_xlfn.TEXTJOIN("_",TRUE,C593,"node",D593,M593,N593)</f>
        <v>s1_node_battle_30_2</v>
      </c>
      <c r="B593" s="0" t="s">
        <v>0</v>
      </c>
      <c r="C593" s="0" t="s">
        <v>26</v>
      </c>
      <c r="D593" s="0" t="s">
        <v>105</v>
      </c>
      <c r="E593" s="0" t="str">
        <f>"s1_node_"&amp;D593&amp;"_name"</f>
        <v>s1_node_battle_name</v>
      </c>
      <c r="F593" s="10" t="str">
        <f>"s1_node_"&amp;D593&amp;"_desc"</f>
        <v>s1_node_battle_desc</v>
      </c>
      <c r="G593" s="0" t="s">
        <v>691</v>
      </c>
      <c r="H593" s="0">
        <v>2</v>
      </c>
      <c r="I593" s="0" t="s">
        <v>27</v>
      </c>
      <c r="J593" s="0" t="s">
        <v>968</v>
      </c>
      <c r="K593" s="0">
        <v>1320</v>
      </c>
      <c r="L593" s="10">
        <v>3</v>
      </c>
      <c r="M593" s="0">
        <v>30</v>
      </c>
      <c r="N593" s="0">
        <v>2</v>
      </c>
      <c r="O593" s="10" t="s">
        <v>969</v>
      </c>
      <c r="P593" s="10"/>
      <c r="T593" s="0" t="str">
        <f>_xlfn.TEXTJOIN("_",TRUE,C593,"node_eff",D593,M593,N593)</f>
        <v>s1_node_eff_battle_30_2</v>
      </c>
    </row>
    <row r="594" spans="1:20" x14ac:dyDescent="0.45">
      <c r="A594" s="0" t="str">
        <f>_xlfn.TEXTJOIN("_",TRUE,C594,"node",D594,M594,N594)</f>
        <v>s1_node_battle_30_6</v>
      </c>
      <c r="B594" s="0" t="s">
        <v>0</v>
      </c>
      <c r="C594" s="0" t="s">
        <v>26</v>
      </c>
      <c r="D594" s="0" t="s">
        <v>105</v>
      </c>
      <c r="E594" s="0" t="str">
        <f>"s1_node_"&amp;D594&amp;"_name"</f>
        <v>s1_node_battle_name</v>
      </c>
      <c r="F594" s="10" t="str">
        <f>"s1_node_"&amp;D594&amp;"_desc"</f>
        <v>s1_node_battle_desc</v>
      </c>
      <c r="G594" s="0" t="s">
        <v>691</v>
      </c>
      <c r="H594" s="0">
        <v>2</v>
      </c>
      <c r="I594" s="0" t="s">
        <v>27</v>
      </c>
      <c r="J594" s="0" t="s">
        <v>968</v>
      </c>
      <c r="K594" s="0">
        <v>1320</v>
      </c>
      <c r="L594" s="10">
        <v>3</v>
      </c>
      <c r="M594" s="0">
        <v>30</v>
      </c>
      <c r="N594" s="0">
        <v>6</v>
      </c>
      <c r="O594" s="10" t="s">
        <v>970</v>
      </c>
      <c r="P594" s="10"/>
      <c r="T594" s="0" t="str">
        <f>_xlfn.TEXTJOIN("_",TRUE,C594,"node_eff",D594,M594,N594)</f>
        <v>s1_node_eff_battle_30_6</v>
      </c>
    </row>
    <row r="595" spans="1:20" x14ac:dyDescent="0.45">
      <c r="A595" s="0" t="str">
        <f>_xlfn.TEXTJOIN("_",TRUE,C595,"node",D595,M595,N595)</f>
        <v>s1_node_battle_31_4</v>
      </c>
      <c r="B595" s="0" t="s">
        <v>0</v>
      </c>
      <c r="C595" s="0" t="s">
        <v>26</v>
      </c>
      <c r="D595" s="0" t="s">
        <v>105</v>
      </c>
      <c r="E595" s="0" t="str">
        <f>"s1_node_"&amp;D595&amp;"_name"</f>
        <v>s1_node_battle_name</v>
      </c>
      <c r="F595" s="10" t="str">
        <f>"s1_node_"&amp;D595&amp;"_desc"</f>
        <v>s1_node_battle_desc</v>
      </c>
      <c r="G595" s="0" t="s">
        <v>691</v>
      </c>
      <c r="H595" s="0">
        <v>2</v>
      </c>
      <c r="I595" s="0" t="s">
        <v>27</v>
      </c>
      <c r="J595" s="0" t="s">
        <v>506</v>
      </c>
      <c r="K595" s="0">
        <v>1360</v>
      </c>
      <c r="L595" s="10">
        <v>3</v>
      </c>
      <c r="M595" s="0">
        <v>31</v>
      </c>
      <c r="N595" s="0">
        <v>4</v>
      </c>
      <c r="O595" s="10" t="s">
        <v>971</v>
      </c>
      <c r="P595" s="10" t="s">
        <v>972</v>
      </c>
      <c r="T595" s="0" t="str">
        <f>_xlfn.TEXTJOIN("_",TRUE,C595,"node_eff",D595,M595,N595)</f>
        <v>s1_node_eff_battle_31_4</v>
      </c>
    </row>
    <row r="596" spans="1:20" x14ac:dyDescent="0.45">
      <c r="A596" s="0" t="str">
        <f>_xlfn.TEXTJOIN("_",TRUE,C596,"node",D596,M596,N596)</f>
        <v>s1_node_battle_32_2</v>
      </c>
      <c r="B596" s="0" t="s">
        <v>0</v>
      </c>
      <c r="C596" s="0" t="s">
        <v>26</v>
      </c>
      <c r="D596" s="0" t="s">
        <v>105</v>
      </c>
      <c r="E596" s="0" t="str">
        <f>"s1_node_"&amp;D596&amp;"_name"</f>
        <v>s1_node_battle_name</v>
      </c>
      <c r="F596" s="10" t="str">
        <f>"s1_node_"&amp;D596&amp;"_desc"</f>
        <v>s1_node_battle_desc</v>
      </c>
      <c r="G596" s="0" t="s">
        <v>691</v>
      </c>
      <c r="H596" s="0">
        <v>2</v>
      </c>
      <c r="I596" s="0" t="s">
        <v>27</v>
      </c>
      <c r="J596" s="0" t="s">
        <v>243</v>
      </c>
      <c r="K596" s="0">
        <v>1400</v>
      </c>
      <c r="L596" s="10">
        <v>3</v>
      </c>
      <c r="M596" s="0">
        <v>32</v>
      </c>
      <c r="N596" s="0">
        <v>2</v>
      </c>
      <c r="O596" s="10" t="s">
        <v>973</v>
      </c>
      <c r="P596" s="10"/>
      <c r="T596" s="0" t="str">
        <f>_xlfn.TEXTJOIN("_",TRUE,C596,"node_eff",D596,M596,N596)</f>
        <v>s1_node_eff_battle_32_2</v>
      </c>
    </row>
    <row r="597" spans="1:20" x14ac:dyDescent="0.45">
      <c r="A597" s="0" t="str">
        <f>_xlfn.TEXTJOIN("_",TRUE,C597,"node",D597,M597,N597)</f>
        <v>s1_node_battle_32_6</v>
      </c>
      <c r="B597" s="0" t="s">
        <v>0</v>
      </c>
      <c r="C597" s="0" t="s">
        <v>26</v>
      </c>
      <c r="D597" s="0" t="s">
        <v>105</v>
      </c>
      <c r="E597" s="0" t="str">
        <f>"s1_node_"&amp;D597&amp;"_name"</f>
        <v>s1_node_battle_name</v>
      </c>
      <c r="F597" s="10" t="str">
        <f>"s1_node_"&amp;D597&amp;"_desc"</f>
        <v>s1_node_battle_desc</v>
      </c>
      <c r="G597" s="0" t="s">
        <v>691</v>
      </c>
      <c r="H597" s="0">
        <v>2</v>
      </c>
      <c r="I597" s="0" t="s">
        <v>27</v>
      </c>
      <c r="J597" s="0" t="s">
        <v>243</v>
      </c>
      <c r="K597" s="0">
        <v>1400</v>
      </c>
      <c r="L597" s="10">
        <v>3</v>
      </c>
      <c r="M597" s="0">
        <v>32</v>
      </c>
      <c r="N597" s="0">
        <v>6</v>
      </c>
      <c r="O597" s="10" t="s">
        <v>973</v>
      </c>
      <c r="P597" s="10"/>
      <c r="T597" s="0" t="str">
        <f>_xlfn.TEXTJOIN("_",TRUE,C597,"node_eff",D597,M597,N597)</f>
        <v>s1_node_eff_battle_32_6</v>
      </c>
    </row>
    <row r="598" spans="1:20" x14ac:dyDescent="0.45">
      <c r="A598" s="0" t="str">
        <f>_xlfn.TEXTJOIN("_",TRUE,C598,"node",D598,M598,N598)</f>
        <v>s1_node_battle_33_2</v>
      </c>
      <c r="B598" s="0" t="s">
        <v>0</v>
      </c>
      <c r="C598" s="0" t="s">
        <v>26</v>
      </c>
      <c r="D598" s="0" t="s">
        <v>105</v>
      </c>
      <c r="E598" s="0" t="str">
        <f>"s1_node_"&amp;D598&amp;"_name"</f>
        <v>s1_node_battle_name</v>
      </c>
      <c r="F598" s="10" t="str">
        <f>"s1_node_"&amp;D598&amp;"_desc"</f>
        <v>s1_node_battle_desc</v>
      </c>
      <c r="G598" s="0" t="s">
        <v>691</v>
      </c>
      <c r="H598" s="0">
        <v>2</v>
      </c>
      <c r="I598" s="0" t="s">
        <v>27</v>
      </c>
      <c r="J598" s="0" t="s">
        <v>510</v>
      </c>
      <c r="K598" s="0">
        <v>1430</v>
      </c>
      <c r="L598" s="10">
        <v>3</v>
      </c>
      <c r="M598" s="0">
        <v>33</v>
      </c>
      <c r="N598" s="0">
        <v>2</v>
      </c>
      <c r="O598" s="10" t="s">
        <v>974</v>
      </c>
      <c r="P598" s="10"/>
      <c r="T598" s="0" t="str">
        <f>_xlfn.TEXTJOIN("_",TRUE,C598,"node_eff",D598,M598,N598)</f>
        <v>s1_node_eff_battle_33_2</v>
      </c>
    </row>
    <row r="599" spans="1:20" x14ac:dyDescent="0.45">
      <c r="A599" s="0" t="str">
        <f>_xlfn.TEXTJOIN("_",TRUE,C599,"node",D599,M599,N599)</f>
        <v>s1_node_battle_33_6</v>
      </c>
      <c r="B599" s="0" t="s">
        <v>0</v>
      </c>
      <c r="C599" s="0" t="s">
        <v>26</v>
      </c>
      <c r="D599" s="0" t="s">
        <v>105</v>
      </c>
      <c r="E599" s="0" t="str">
        <f>"s1_node_"&amp;D599&amp;"_name"</f>
        <v>s1_node_battle_name</v>
      </c>
      <c r="F599" s="10" t="str">
        <f>"s1_node_"&amp;D599&amp;"_desc"</f>
        <v>s1_node_battle_desc</v>
      </c>
      <c r="G599" s="0" t="s">
        <v>691</v>
      </c>
      <c r="H599" s="0">
        <v>2</v>
      </c>
      <c r="I599" s="0" t="s">
        <v>27</v>
      </c>
      <c r="J599" s="0" t="s">
        <v>510</v>
      </c>
      <c r="K599" s="0">
        <v>1430</v>
      </c>
      <c r="L599" s="10">
        <v>3</v>
      </c>
      <c r="M599" s="0">
        <v>33</v>
      </c>
      <c r="N599" s="0">
        <v>6</v>
      </c>
      <c r="O599" s="10" t="s">
        <v>975</v>
      </c>
      <c r="P599" s="10"/>
      <c r="T599" s="0" t="str">
        <f>_xlfn.TEXTJOIN("_",TRUE,C599,"node_eff",D599,M599,N599)</f>
        <v>s1_node_eff_battle_33_6</v>
      </c>
    </row>
    <row r="600" spans="1:20" x14ac:dyDescent="0.45">
      <c r="A600" s="0" t="str">
        <f>_xlfn.TEXTJOIN("_",TRUE,C600,"node",D600,M600,N600)</f>
        <v>s1_node_battle_34_2</v>
      </c>
      <c r="B600" s="0" t="s">
        <v>0</v>
      </c>
      <c r="C600" s="0" t="s">
        <v>26</v>
      </c>
      <c r="D600" s="0" t="s">
        <v>105</v>
      </c>
      <c r="E600" s="0" t="str">
        <f>"s1_node_"&amp;D600&amp;"_name"</f>
        <v>s1_node_battle_name</v>
      </c>
      <c r="F600" s="10" t="str">
        <f>"s1_node_"&amp;D600&amp;"_desc"</f>
        <v>s1_node_battle_desc</v>
      </c>
      <c r="G600" s="0" t="s">
        <v>691</v>
      </c>
      <c r="H600" s="0">
        <v>2</v>
      </c>
      <c r="I600" s="0" t="s">
        <v>27</v>
      </c>
      <c r="J600" s="0" t="s">
        <v>249</v>
      </c>
      <c r="K600" s="0">
        <v>1470</v>
      </c>
      <c r="L600" s="10">
        <v>3</v>
      </c>
      <c r="M600" s="0">
        <v>34</v>
      </c>
      <c r="N600" s="0">
        <v>2</v>
      </c>
      <c r="O600" s="10" t="s">
        <v>976</v>
      </c>
      <c r="P600" s="10"/>
      <c r="T600" s="0" t="str">
        <f>_xlfn.TEXTJOIN("_",TRUE,C600,"node_eff",D600,M600,N600)</f>
        <v>s1_node_eff_battle_34_2</v>
      </c>
    </row>
    <row r="601" spans="1:20" x14ac:dyDescent="0.45">
      <c r="A601" s="0" t="str">
        <f>_xlfn.TEXTJOIN("_",TRUE,C601,"node",D601,M601,N601)</f>
        <v>s1_node_battle_34_6</v>
      </c>
      <c r="B601" s="0" t="s">
        <v>0</v>
      </c>
      <c r="C601" s="0" t="s">
        <v>26</v>
      </c>
      <c r="D601" s="0" t="s">
        <v>105</v>
      </c>
      <c r="E601" s="0" t="str">
        <f>"s1_node_"&amp;D601&amp;"_name"</f>
        <v>s1_node_battle_name</v>
      </c>
      <c r="F601" s="10" t="str">
        <f>"s1_node_"&amp;D601&amp;"_desc"</f>
        <v>s1_node_battle_desc</v>
      </c>
      <c r="G601" s="0" t="s">
        <v>691</v>
      </c>
      <c r="H601" s="0">
        <v>2</v>
      </c>
      <c r="I601" s="0" t="s">
        <v>27</v>
      </c>
      <c r="J601" s="0" t="s">
        <v>249</v>
      </c>
      <c r="K601" s="0">
        <v>1470</v>
      </c>
      <c r="L601" s="10">
        <v>3</v>
      </c>
      <c r="M601" s="0">
        <v>34</v>
      </c>
      <c r="N601" s="0">
        <v>6</v>
      </c>
      <c r="O601" s="10" t="s">
        <v>977</v>
      </c>
      <c r="P601" s="10"/>
      <c r="T601" s="0" t="str">
        <f>_xlfn.TEXTJOIN("_",TRUE,C601,"node_eff",D601,M601,N601)</f>
        <v>s1_node_eff_battle_34_6</v>
      </c>
    </row>
    <row r="602" spans="1:20" x14ac:dyDescent="0.45">
      <c r="A602" s="0" t="str">
        <f>_xlfn.TEXTJOIN("_",TRUE,C602,"node",D602,M602,N602)</f>
        <v>s1_node_battle_35_2</v>
      </c>
      <c r="B602" s="0" t="s">
        <v>0</v>
      </c>
      <c r="C602" s="0" t="s">
        <v>26</v>
      </c>
      <c r="D602" s="0" t="s">
        <v>105</v>
      </c>
      <c r="E602" s="0" t="str">
        <f>"s1_node_"&amp;D602&amp;"_name"</f>
        <v>s1_node_battle_name</v>
      </c>
      <c r="F602" s="10" t="str">
        <f>"s1_node_"&amp;D602&amp;"_desc"</f>
        <v>s1_node_battle_desc</v>
      </c>
      <c r="G602" s="0" t="s">
        <v>147</v>
      </c>
      <c r="H602" s="0">
        <v>2</v>
      </c>
      <c r="I602" s="0" t="s">
        <v>27</v>
      </c>
      <c r="J602" s="0" t="s">
        <v>252</v>
      </c>
      <c r="K602" s="0">
        <v>1510</v>
      </c>
      <c r="L602" s="10">
        <v>3</v>
      </c>
      <c r="M602" s="0">
        <v>35</v>
      </c>
      <c r="N602" s="0">
        <v>2</v>
      </c>
      <c r="O602" s="10" t="s">
        <v>978</v>
      </c>
      <c r="P602" s="10"/>
      <c r="T602" s="0" t="str">
        <f>_xlfn.TEXTJOIN("_",TRUE,C602,"node_eff",D602,M602,N602)</f>
        <v>s1_node_eff_battle_35_2</v>
      </c>
    </row>
    <row r="603" spans="1:20" x14ac:dyDescent="0.45">
      <c r="A603" s="0" t="str">
        <f>_xlfn.TEXTJOIN("_",TRUE,C603,"node",D603,M603,N603)</f>
        <v>s1_node_battle_35_6</v>
      </c>
      <c r="B603" s="0" t="s">
        <v>0</v>
      </c>
      <c r="C603" s="0" t="s">
        <v>26</v>
      </c>
      <c r="D603" s="0" t="s">
        <v>105</v>
      </c>
      <c r="E603" s="0" t="str">
        <f>"s1_node_"&amp;D603&amp;"_name"</f>
        <v>s1_node_battle_name</v>
      </c>
      <c r="F603" s="10" t="str">
        <f>"s1_node_"&amp;D603&amp;"_desc"</f>
        <v>s1_node_battle_desc</v>
      </c>
      <c r="G603" s="0" t="s">
        <v>417</v>
      </c>
      <c r="H603" s="0">
        <v>2</v>
      </c>
      <c r="I603" s="0" t="s">
        <v>27</v>
      </c>
      <c r="J603" s="0" t="s">
        <v>252</v>
      </c>
      <c r="K603" s="0">
        <v>1510</v>
      </c>
      <c r="L603" s="10">
        <v>3</v>
      </c>
      <c r="M603" s="0">
        <v>35</v>
      </c>
      <c r="N603" s="0">
        <v>6</v>
      </c>
      <c r="O603" s="10" t="s">
        <v>979</v>
      </c>
      <c r="P603" s="10"/>
      <c r="T603" s="0" t="str">
        <f>_xlfn.TEXTJOIN("_",TRUE,C603,"node_eff",D603,M603,N603)</f>
        <v>s1_node_eff_battle_35_6</v>
      </c>
    </row>
    <row r="604" spans="1:20" x14ac:dyDescent="0.45">
      <c r="A604" s="0" t="str">
        <f>_xlfn.TEXTJOIN("_",TRUE,C604,"node",D604,M604,N604)</f>
        <v>s1_node_battle_36_4</v>
      </c>
      <c r="B604" s="0" t="s">
        <v>0</v>
      </c>
      <c r="C604" s="0" t="s">
        <v>26</v>
      </c>
      <c r="D604" s="0" t="s">
        <v>105</v>
      </c>
      <c r="E604" s="0" t="str">
        <f>"s1_node_"&amp;D604&amp;"_name"</f>
        <v>s1_node_battle_name</v>
      </c>
      <c r="F604" s="10" t="str">
        <f>"s1_node_"&amp;D604&amp;"_desc"</f>
        <v>s1_node_battle_desc</v>
      </c>
      <c r="G604" s="0" t="s">
        <v>417</v>
      </c>
      <c r="H604" s="0">
        <v>2</v>
      </c>
      <c r="I604" s="0" t="s">
        <v>27</v>
      </c>
      <c r="J604" s="0" t="s">
        <v>980</v>
      </c>
      <c r="K604" s="0">
        <v>1550</v>
      </c>
      <c r="L604" s="10">
        <v>3</v>
      </c>
      <c r="M604" s="0">
        <v>36</v>
      </c>
      <c r="N604" s="0">
        <v>4</v>
      </c>
      <c r="O604" s="10" t="s">
        <v>981</v>
      </c>
      <c r="P604" s="10" t="s">
        <v>982</v>
      </c>
      <c r="T604" s="0" t="str">
        <f>_xlfn.TEXTJOIN("_",TRUE,C604,"node_eff",D604,M604,N604)</f>
        <v>s1_node_eff_battle_36_4</v>
      </c>
    </row>
    <row r="605" spans="1:20" x14ac:dyDescent="0.45">
      <c r="A605" s="0" t="str">
        <f>_xlfn.TEXTJOIN("_",TRUE,C605,"node",D605,M605,N605)</f>
        <v>s1_node_battle_37_2</v>
      </c>
      <c r="B605" s="0" t="s">
        <v>0</v>
      </c>
      <c r="C605" s="0" t="s">
        <v>26</v>
      </c>
      <c r="D605" s="0" t="s">
        <v>105</v>
      </c>
      <c r="E605" s="0" t="str">
        <f>"s1_node_"&amp;D605&amp;"_name"</f>
        <v>s1_node_battle_name</v>
      </c>
      <c r="F605" s="10" t="str">
        <f>"s1_node_"&amp;D605&amp;"_desc"</f>
        <v>s1_node_battle_desc</v>
      </c>
      <c r="G605" s="0" t="s">
        <v>691</v>
      </c>
      <c r="H605" s="0">
        <v>2</v>
      </c>
      <c r="I605" s="0" t="s">
        <v>27</v>
      </c>
      <c r="J605" s="0" t="s">
        <v>983</v>
      </c>
      <c r="K605" s="0">
        <v>1590</v>
      </c>
      <c r="L605" s="10">
        <v>3</v>
      </c>
      <c r="M605" s="0">
        <v>37</v>
      </c>
      <c r="N605" s="0">
        <v>2</v>
      </c>
      <c r="O605" s="10" t="s">
        <v>984</v>
      </c>
      <c r="P605" s="10"/>
      <c r="T605" s="0" t="str">
        <f>_xlfn.TEXTJOIN("_",TRUE,C605,"node_eff",D605,M605,N605)</f>
        <v>s1_node_eff_battle_37_2</v>
      </c>
    </row>
    <row r="606" spans="1:20" x14ac:dyDescent="0.45">
      <c r="A606" s="0" t="str">
        <f>_xlfn.TEXTJOIN("_",TRUE,C606,"node",D606,M606,N606)</f>
        <v>s1_node_battle_37_6</v>
      </c>
      <c r="B606" s="0" t="s">
        <v>0</v>
      </c>
      <c r="C606" s="0" t="s">
        <v>26</v>
      </c>
      <c r="D606" s="0" t="s">
        <v>105</v>
      </c>
      <c r="E606" s="0" t="str">
        <f>"s1_node_"&amp;D606&amp;"_name"</f>
        <v>s1_node_battle_name</v>
      </c>
      <c r="F606" s="10" t="str">
        <f>"s1_node_"&amp;D606&amp;"_desc"</f>
        <v>s1_node_battle_desc</v>
      </c>
      <c r="G606" s="0" t="s">
        <v>691</v>
      </c>
      <c r="H606" s="0">
        <v>2</v>
      </c>
      <c r="I606" s="0" t="s">
        <v>27</v>
      </c>
      <c r="J606" s="0" t="s">
        <v>983</v>
      </c>
      <c r="K606" s="0">
        <v>1590</v>
      </c>
      <c r="L606" s="10">
        <v>3</v>
      </c>
      <c r="M606" s="0">
        <v>37</v>
      </c>
      <c r="N606" s="0">
        <v>6</v>
      </c>
      <c r="O606" s="10" t="s">
        <v>984</v>
      </c>
      <c r="P606" s="10"/>
      <c r="T606" s="0" t="str">
        <f>_xlfn.TEXTJOIN("_",TRUE,C606,"node_eff",D606,M606,N606)</f>
        <v>s1_node_eff_battle_37_6</v>
      </c>
    </row>
    <row r="607" spans="1:20" x14ac:dyDescent="0.45">
      <c r="A607" s="0" t="str">
        <f>_xlfn.TEXTJOIN("_",TRUE,C607,"node",D607,M607,N607)</f>
        <v>s1_node_battle_38_2</v>
      </c>
      <c r="B607" s="0" t="s">
        <v>0</v>
      </c>
      <c r="C607" s="0" t="s">
        <v>26</v>
      </c>
      <c r="D607" s="0" t="s">
        <v>105</v>
      </c>
      <c r="E607" s="0" t="str">
        <f>"s1_node_"&amp;D607&amp;"_name"</f>
        <v>s1_node_battle_name</v>
      </c>
      <c r="F607" s="10" t="str">
        <f>"s1_node_"&amp;D607&amp;"_desc"</f>
        <v>s1_node_battle_desc</v>
      </c>
      <c r="G607" s="0" t="s">
        <v>691</v>
      </c>
      <c r="H607" s="0">
        <v>2</v>
      </c>
      <c r="I607" s="0" t="s">
        <v>27</v>
      </c>
      <c r="J607" s="0" t="s">
        <v>985</v>
      </c>
      <c r="K607" s="0">
        <v>1630</v>
      </c>
      <c r="L607" s="10">
        <v>3</v>
      </c>
      <c r="M607" s="0">
        <v>38</v>
      </c>
      <c r="N607" s="0">
        <v>2</v>
      </c>
      <c r="O607" s="10" t="s">
        <v>986</v>
      </c>
      <c r="P607" s="10"/>
      <c r="T607" s="0" t="str">
        <f>_xlfn.TEXTJOIN("_",TRUE,C607,"node_eff",D607,M607,N607)</f>
        <v>s1_node_eff_battle_38_2</v>
      </c>
    </row>
    <row r="608" spans="1:20" x14ac:dyDescent="0.45">
      <c r="A608" s="0" t="str">
        <f>_xlfn.TEXTJOIN("_",TRUE,C608,"node",D608,M608,N608)</f>
        <v>s1_node_battle_38_6</v>
      </c>
      <c r="B608" s="0" t="s">
        <v>0</v>
      </c>
      <c r="C608" s="0" t="s">
        <v>26</v>
      </c>
      <c r="D608" s="0" t="s">
        <v>105</v>
      </c>
      <c r="E608" s="0" t="str">
        <f>"s1_node_"&amp;D608&amp;"_name"</f>
        <v>s1_node_battle_name</v>
      </c>
      <c r="F608" s="10" t="str">
        <f>"s1_node_"&amp;D608&amp;"_desc"</f>
        <v>s1_node_battle_desc</v>
      </c>
      <c r="G608" s="0" t="s">
        <v>691</v>
      </c>
      <c r="H608" s="0">
        <v>2</v>
      </c>
      <c r="I608" s="0" t="s">
        <v>27</v>
      </c>
      <c r="J608" s="0" t="s">
        <v>985</v>
      </c>
      <c r="K608" s="0">
        <v>1630</v>
      </c>
      <c r="L608" s="10">
        <v>3</v>
      </c>
      <c r="M608" s="0">
        <v>38</v>
      </c>
      <c r="N608" s="0">
        <v>6</v>
      </c>
      <c r="O608" s="10" t="s">
        <v>987</v>
      </c>
      <c r="P608" s="10"/>
      <c r="T608" s="0" t="str">
        <f>_xlfn.TEXTJOIN("_",TRUE,C608,"node_eff",D608,M608,N608)</f>
        <v>s1_node_eff_battle_38_6</v>
      </c>
    </row>
    <row r="609" spans="1:20" x14ac:dyDescent="0.45">
      <c r="A609" s="0" t="str">
        <f>_xlfn.TEXTJOIN("_",TRUE,C609,"node",D609,M609,N609)</f>
        <v>s1_node_battle_39_2</v>
      </c>
      <c r="B609" s="0" t="s">
        <v>0</v>
      </c>
      <c r="C609" s="0" t="s">
        <v>26</v>
      </c>
      <c r="D609" s="0" t="s">
        <v>105</v>
      </c>
      <c r="E609" s="0" t="str">
        <f>"s1_node_"&amp;D609&amp;"_name"</f>
        <v>s1_node_battle_name</v>
      </c>
      <c r="F609" s="10" t="str">
        <f>"s1_node_"&amp;D609&amp;"_desc"</f>
        <v>s1_node_battle_desc</v>
      </c>
      <c r="G609" s="0" t="s">
        <v>691</v>
      </c>
      <c r="H609" s="0">
        <v>2</v>
      </c>
      <c r="I609" s="0" t="s">
        <v>27</v>
      </c>
      <c r="J609" s="0" t="s">
        <v>988</v>
      </c>
      <c r="K609" s="0">
        <v>1670</v>
      </c>
      <c r="L609" s="10">
        <v>3</v>
      </c>
      <c r="M609" s="0">
        <v>39</v>
      </c>
      <c r="N609" s="0">
        <v>2</v>
      </c>
      <c r="O609" s="10" t="s">
        <v>989</v>
      </c>
      <c r="P609" s="10"/>
      <c r="T609" s="0" t="str">
        <f>_xlfn.TEXTJOIN("_",TRUE,C609,"node_eff",D609,M609,N609)</f>
        <v>s1_node_eff_battle_39_2</v>
      </c>
    </row>
    <row r="610" spans="1:20" x14ac:dyDescent="0.45">
      <c r="A610" s="0" t="str">
        <f>_xlfn.TEXTJOIN("_",TRUE,C610,"node",D610,M610,N610)</f>
        <v>s1_node_battle_39_6</v>
      </c>
      <c r="B610" s="0" t="s">
        <v>0</v>
      </c>
      <c r="C610" s="0" t="s">
        <v>26</v>
      </c>
      <c r="D610" s="0" t="s">
        <v>105</v>
      </c>
      <c r="E610" s="0" t="str">
        <f>"s1_node_"&amp;D610&amp;"_name"</f>
        <v>s1_node_battle_name</v>
      </c>
      <c r="F610" s="10" t="str">
        <f>"s1_node_"&amp;D610&amp;"_desc"</f>
        <v>s1_node_battle_desc</v>
      </c>
      <c r="G610" s="0" t="s">
        <v>691</v>
      </c>
      <c r="H610" s="0">
        <v>2</v>
      </c>
      <c r="I610" s="0" t="s">
        <v>27</v>
      </c>
      <c r="J610" s="0" t="s">
        <v>988</v>
      </c>
      <c r="K610" s="0">
        <v>1670</v>
      </c>
      <c r="L610" s="10">
        <v>3</v>
      </c>
      <c r="M610" s="0">
        <v>39</v>
      </c>
      <c r="N610" s="0">
        <v>6</v>
      </c>
      <c r="O610" s="10" t="s">
        <v>990</v>
      </c>
      <c r="P610" s="10"/>
      <c r="T610" s="0" t="str">
        <f>_xlfn.TEXTJOIN("_",TRUE,C610,"node_eff",D610,M610,N610)</f>
        <v>s1_node_eff_battle_39_6</v>
      </c>
    </row>
    <row r="611" spans="1:20" x14ac:dyDescent="0.45">
      <c r="A611" s="0" t="str">
        <f>_xlfn.TEXTJOIN("_",TRUE,C611,"node",D611,M611,N611)</f>
        <v>s1_node_battle_40_2</v>
      </c>
      <c r="B611" s="0" t="s">
        <v>0</v>
      </c>
      <c r="C611" s="0" t="s">
        <v>26</v>
      </c>
      <c r="D611" s="0" t="s">
        <v>105</v>
      </c>
      <c r="E611" s="0" t="str">
        <f>"s1_node_"&amp;D611&amp;"_name"</f>
        <v>s1_node_battle_name</v>
      </c>
      <c r="F611" s="10" t="str">
        <f>"s1_node_"&amp;D611&amp;"_desc"</f>
        <v>s1_node_battle_desc</v>
      </c>
      <c r="G611" s="0" t="s">
        <v>691</v>
      </c>
      <c r="H611" s="0">
        <v>2</v>
      </c>
      <c r="I611" s="0" t="s">
        <v>27</v>
      </c>
      <c r="J611" s="0" t="s">
        <v>268</v>
      </c>
      <c r="K611" s="0">
        <v>1710</v>
      </c>
      <c r="L611" s="10">
        <v>3</v>
      </c>
      <c r="M611" s="0">
        <v>40</v>
      </c>
      <c r="N611" s="0">
        <v>2</v>
      </c>
      <c r="O611" s="10" t="s">
        <v>991</v>
      </c>
      <c r="P611" s="10"/>
      <c r="T611" s="0" t="str">
        <f>_xlfn.TEXTJOIN("_",TRUE,C611,"node_eff",D611,M611,N611)</f>
        <v>s1_node_eff_battle_40_2</v>
      </c>
    </row>
    <row r="612" spans="1:20" x14ac:dyDescent="0.45">
      <c r="A612" s="0" t="str">
        <f>_xlfn.TEXTJOIN("_",TRUE,C612,"node",D612,M612,N612)</f>
        <v>s1_node_battle_40_6</v>
      </c>
      <c r="B612" s="0" t="s">
        <v>0</v>
      </c>
      <c r="C612" s="0" t="s">
        <v>26</v>
      </c>
      <c r="D612" s="0" t="s">
        <v>105</v>
      </c>
      <c r="E612" s="0" t="str">
        <f>"s1_node_"&amp;D612&amp;"_name"</f>
        <v>s1_node_battle_name</v>
      </c>
      <c r="F612" s="10" t="str">
        <f>"s1_node_"&amp;D612&amp;"_desc"</f>
        <v>s1_node_battle_desc</v>
      </c>
      <c r="G612" s="0" t="s">
        <v>691</v>
      </c>
      <c r="H612" s="0">
        <v>2</v>
      </c>
      <c r="I612" s="0" t="s">
        <v>27</v>
      </c>
      <c r="J612" s="0" t="s">
        <v>268</v>
      </c>
      <c r="K612" s="0">
        <v>1710</v>
      </c>
      <c r="L612" s="10">
        <v>3</v>
      </c>
      <c r="M612" s="0">
        <v>40</v>
      </c>
      <c r="N612" s="0">
        <v>6</v>
      </c>
      <c r="O612" s="10" t="s">
        <v>992</v>
      </c>
      <c r="P612" s="10"/>
      <c r="T612" s="0" t="str">
        <f>_xlfn.TEXTJOIN("_",TRUE,C612,"node_eff",D612,M612,N612)</f>
        <v>s1_node_eff_battle_40_6</v>
      </c>
    </row>
    <row r="613" spans="1:20" x14ac:dyDescent="0.45">
      <c r="A613" s="0" t="str">
        <f>_xlfn.TEXTJOIN("_",TRUE,C613,"node",D613,M613,N613)</f>
        <v>s1_node_battle_41_4</v>
      </c>
      <c r="B613" s="0" t="s">
        <v>0</v>
      </c>
      <c r="C613" s="0" t="s">
        <v>26</v>
      </c>
      <c r="D613" s="0" t="s">
        <v>105</v>
      </c>
      <c r="E613" s="0" t="str">
        <f>"s1_node_"&amp;D613&amp;"_name"</f>
        <v>s1_node_battle_name</v>
      </c>
      <c r="F613" s="10" t="str">
        <f>"s1_node_"&amp;D613&amp;"_desc"</f>
        <v>s1_node_battle_desc</v>
      </c>
      <c r="G613" s="0" t="s">
        <v>691</v>
      </c>
      <c r="H613" s="0">
        <v>3</v>
      </c>
      <c r="I613" s="0" t="s">
        <v>27</v>
      </c>
      <c r="J613" s="0" t="s">
        <v>271</v>
      </c>
      <c r="K613" s="0">
        <v>1750</v>
      </c>
      <c r="L613" s="10">
        <v>3</v>
      </c>
      <c r="M613" s="0">
        <v>41</v>
      </c>
      <c r="N613" s="0">
        <v>4</v>
      </c>
      <c r="O613" s="0" t="s">
        <v>993</v>
      </c>
      <c r="P613" s="0" t="s">
        <v>994</v>
      </c>
      <c r="T613" s="0" t="str">
        <f>_xlfn.TEXTJOIN("_",TRUE,C613,"node_eff",D613,M613,N613)</f>
        <v>s1_node_eff_battle_41_4</v>
      </c>
    </row>
    <row r="614" spans="1:20" x14ac:dyDescent="0.45">
      <c r="A614" s="0" t="str">
        <f>_xlfn.TEXTJOIN("_",TRUE,C614,"node",D614,M614,N614)</f>
        <v>s1_node_battle_42_2</v>
      </c>
      <c r="B614" s="0" t="s">
        <v>0</v>
      </c>
      <c r="C614" s="0" t="s">
        <v>26</v>
      </c>
      <c r="D614" s="0" t="s">
        <v>105</v>
      </c>
      <c r="E614" s="0" t="str">
        <f>"s1_node_"&amp;D614&amp;"_name"</f>
        <v>s1_node_battle_name</v>
      </c>
      <c r="F614" s="10" t="str">
        <f>"s1_node_"&amp;D614&amp;"_desc"</f>
        <v>s1_node_battle_desc</v>
      </c>
      <c r="G614" s="0" t="s">
        <v>691</v>
      </c>
      <c r="H614" s="0">
        <v>3</v>
      </c>
      <c r="I614" s="0" t="s">
        <v>27</v>
      </c>
      <c r="J614" s="0" t="s">
        <v>533</v>
      </c>
      <c r="K614" s="0">
        <v>1790</v>
      </c>
      <c r="L614" s="10">
        <v>3</v>
      </c>
      <c r="M614" s="0">
        <v>42</v>
      </c>
      <c r="N614" s="0">
        <v>2</v>
      </c>
      <c r="O614" s="0" t="s">
        <v>995</v>
      </c>
      <c r="T614" s="0" t="str">
        <f>_xlfn.TEXTJOIN("_",TRUE,C614,"node_eff",D614,M614,N614)</f>
        <v>s1_node_eff_battle_42_2</v>
      </c>
    </row>
    <row r="615" spans="1:20" x14ac:dyDescent="0.45">
      <c r="A615" s="0" t="str">
        <f>_xlfn.TEXTJOIN("_",TRUE,C615,"node",D615,M615,N615)</f>
        <v>s1_node_battle_42_6</v>
      </c>
      <c r="B615" s="0" t="s">
        <v>0</v>
      </c>
      <c r="C615" s="0" t="s">
        <v>26</v>
      </c>
      <c r="D615" s="0" t="s">
        <v>105</v>
      </c>
      <c r="E615" s="0" t="str">
        <f>"s1_node_"&amp;D615&amp;"_name"</f>
        <v>s1_node_battle_name</v>
      </c>
      <c r="F615" s="10" t="str">
        <f>"s1_node_"&amp;D615&amp;"_desc"</f>
        <v>s1_node_battle_desc</v>
      </c>
      <c r="G615" s="0" t="s">
        <v>417</v>
      </c>
      <c r="H615" s="0">
        <v>3</v>
      </c>
      <c r="I615" s="0" t="s">
        <v>27</v>
      </c>
      <c r="J615" s="0" t="s">
        <v>533</v>
      </c>
      <c r="K615" s="0">
        <v>1790</v>
      </c>
      <c r="L615" s="10">
        <v>3</v>
      </c>
      <c r="M615" s="0">
        <v>42</v>
      </c>
      <c r="N615" s="0">
        <v>6</v>
      </c>
      <c r="O615" s="0" t="s">
        <v>995</v>
      </c>
      <c r="T615" s="0" t="str">
        <f>_xlfn.TEXTJOIN("_",TRUE,C615,"node_eff",D615,M615,N615)</f>
        <v>s1_node_eff_battle_42_6</v>
      </c>
    </row>
    <row r="616" spans="1:20" x14ac:dyDescent="0.45">
      <c r="A616" s="0" t="str">
        <f>_xlfn.TEXTJOIN("_",TRUE,C616,"node",D616,M616,N616)</f>
        <v>s1_node_battle_43_2</v>
      </c>
      <c r="B616" s="0" t="s">
        <v>0</v>
      </c>
      <c r="C616" s="0" t="s">
        <v>26</v>
      </c>
      <c r="D616" s="0" t="s">
        <v>105</v>
      </c>
      <c r="E616" s="0" t="str">
        <f>"s1_node_"&amp;D616&amp;"_name"</f>
        <v>s1_node_battle_name</v>
      </c>
      <c r="F616" s="10" t="str">
        <f>"s1_node_"&amp;D616&amp;"_desc"</f>
        <v>s1_node_battle_desc</v>
      </c>
      <c r="G616" s="0" t="s">
        <v>417</v>
      </c>
      <c r="H616" s="0">
        <v>3</v>
      </c>
      <c r="I616" s="0" t="s">
        <v>27</v>
      </c>
      <c r="J616" s="0" t="s">
        <v>536</v>
      </c>
      <c r="K616" s="0">
        <v>1830</v>
      </c>
      <c r="L616" s="10">
        <v>3</v>
      </c>
      <c r="M616" s="0">
        <v>43</v>
      </c>
      <c r="N616" s="0">
        <v>2</v>
      </c>
      <c r="O616" s="0" t="s">
        <v>996</v>
      </c>
      <c r="T616" s="0" t="str">
        <f>_xlfn.TEXTJOIN("_",TRUE,C616,"node_eff",D616,M616,N616)</f>
        <v>s1_node_eff_battle_43_2</v>
      </c>
    </row>
    <row r="617" spans="1:20" x14ac:dyDescent="0.45">
      <c r="A617" s="0" t="str">
        <f>_xlfn.TEXTJOIN("_",TRUE,C617,"node",D617,M617,N617)</f>
        <v>s1_node_battle_43_6</v>
      </c>
      <c r="B617" s="0" t="s">
        <v>0</v>
      </c>
      <c r="C617" s="0" t="s">
        <v>26</v>
      </c>
      <c r="D617" s="0" t="s">
        <v>105</v>
      </c>
      <c r="E617" s="0" t="str">
        <f>"s1_node_"&amp;D617&amp;"_name"</f>
        <v>s1_node_battle_name</v>
      </c>
      <c r="F617" s="10" t="str">
        <f>"s1_node_"&amp;D617&amp;"_desc"</f>
        <v>s1_node_battle_desc</v>
      </c>
      <c r="G617" s="0" t="s">
        <v>691</v>
      </c>
      <c r="H617" s="0">
        <v>3</v>
      </c>
      <c r="I617" s="0" t="s">
        <v>27</v>
      </c>
      <c r="J617" s="0" t="s">
        <v>536</v>
      </c>
      <c r="K617" s="0">
        <v>1830</v>
      </c>
      <c r="L617" s="10">
        <v>3</v>
      </c>
      <c r="M617" s="0">
        <v>43</v>
      </c>
      <c r="N617" s="0">
        <v>6</v>
      </c>
      <c r="O617" s="0" t="s">
        <v>997</v>
      </c>
      <c r="T617" s="0" t="str">
        <f>_xlfn.TEXTJOIN("_",TRUE,C617,"node_eff",D617,M617,N617)</f>
        <v>s1_node_eff_battle_43_6</v>
      </c>
    </row>
    <row r="618" spans="1:20" x14ac:dyDescent="0.45">
      <c r="A618" s="0" t="str">
        <f>_xlfn.TEXTJOIN("_",TRUE,C618,"node",D618,M618,N618)</f>
        <v>s1_node_battle_44_2</v>
      </c>
      <c r="B618" s="0" t="s">
        <v>0</v>
      </c>
      <c r="C618" s="0" t="s">
        <v>26</v>
      </c>
      <c r="D618" s="0" t="s">
        <v>105</v>
      </c>
      <c r="E618" s="0" t="str">
        <f>"s1_node_"&amp;D618&amp;"_name"</f>
        <v>s1_node_battle_name</v>
      </c>
      <c r="F618" s="10" t="str">
        <f>"s1_node_"&amp;D618&amp;"_desc"</f>
        <v>s1_node_battle_desc</v>
      </c>
      <c r="G618" s="0" t="s">
        <v>691</v>
      </c>
      <c r="H618" s="0">
        <v>3</v>
      </c>
      <c r="I618" s="0" t="s">
        <v>27</v>
      </c>
      <c r="J618" s="0" t="s">
        <v>774</v>
      </c>
      <c r="K618" s="0">
        <v>1870</v>
      </c>
      <c r="L618" s="10">
        <v>3</v>
      </c>
      <c r="M618" s="0">
        <v>44</v>
      </c>
      <c r="N618" s="0">
        <v>2</v>
      </c>
      <c r="O618" s="0" t="s">
        <v>998</v>
      </c>
      <c r="T618" s="0" t="str">
        <f>_xlfn.TEXTJOIN("_",TRUE,C618,"node_eff",D618,M618,N618)</f>
        <v>s1_node_eff_battle_44_2</v>
      </c>
    </row>
    <row r="619" spans="1:20" x14ac:dyDescent="0.45">
      <c r="A619" s="0" t="str">
        <f>_xlfn.TEXTJOIN("_",TRUE,C619,"node",D619,M619,N619)</f>
        <v>s1_node_battle_44_6</v>
      </c>
      <c r="B619" s="0" t="s">
        <v>0</v>
      </c>
      <c r="C619" s="0" t="s">
        <v>26</v>
      </c>
      <c r="D619" s="0" t="s">
        <v>105</v>
      </c>
      <c r="E619" s="0" t="str">
        <f>"s1_node_"&amp;D619&amp;"_name"</f>
        <v>s1_node_battle_name</v>
      </c>
      <c r="F619" s="10" t="str">
        <f>"s1_node_"&amp;D619&amp;"_desc"</f>
        <v>s1_node_battle_desc</v>
      </c>
      <c r="G619" s="0" t="s">
        <v>691</v>
      </c>
      <c r="H619" s="0">
        <v>3</v>
      </c>
      <c r="I619" s="0" t="s">
        <v>27</v>
      </c>
      <c r="J619" s="0" t="s">
        <v>774</v>
      </c>
      <c r="K619" s="0">
        <v>1870</v>
      </c>
      <c r="L619" s="10">
        <v>3</v>
      </c>
      <c r="M619" s="0">
        <v>44</v>
      </c>
      <c r="N619" s="0">
        <v>6</v>
      </c>
      <c r="O619" s="0" t="s">
        <v>999</v>
      </c>
      <c r="T619" s="0" t="str">
        <f>_xlfn.TEXTJOIN("_",TRUE,C619,"node_eff",D619,M619,N619)</f>
        <v>s1_node_eff_battle_44_6</v>
      </c>
    </row>
    <row r="620" spans="1:20" x14ac:dyDescent="0.45">
      <c r="A620" s="0" t="str">
        <f>_xlfn.TEXTJOIN("_",TRUE,C620,"node",D620,M620,N620)</f>
        <v>s1_node_battle_45_2</v>
      </c>
      <c r="B620" s="0" t="s">
        <v>0</v>
      </c>
      <c r="C620" s="0" t="s">
        <v>26</v>
      </c>
      <c r="D620" s="0" t="s">
        <v>105</v>
      </c>
      <c r="E620" s="0" t="str">
        <f>"s1_node_"&amp;D620&amp;"_name"</f>
        <v>s1_node_battle_name</v>
      </c>
      <c r="F620" s="10" t="str">
        <f>"s1_node_"&amp;D620&amp;"_desc"</f>
        <v>s1_node_battle_desc</v>
      </c>
      <c r="G620" s="0" t="s">
        <v>691</v>
      </c>
      <c r="H620" s="0">
        <v>3</v>
      </c>
      <c r="I620" s="0" t="s">
        <v>27</v>
      </c>
      <c r="J620" s="0" t="s">
        <v>542</v>
      </c>
      <c r="K620" s="0">
        <v>1900</v>
      </c>
      <c r="L620" s="10">
        <v>3</v>
      </c>
      <c r="M620" s="0">
        <v>45</v>
      </c>
      <c r="N620" s="0">
        <v>2</v>
      </c>
      <c r="O620" s="0" t="s">
        <v>1000</v>
      </c>
      <c r="T620" s="0" t="str">
        <f>_xlfn.TEXTJOIN("_",TRUE,C620,"node_eff",D620,M620,N620)</f>
        <v>s1_node_eff_battle_45_2</v>
      </c>
    </row>
    <row r="621" spans="1:20" x14ac:dyDescent="0.45">
      <c r="A621" s="0" t="str">
        <f>_xlfn.TEXTJOIN("_",TRUE,C621,"node",D621,M621,N621)</f>
        <v>s1_node_battle_45_6</v>
      </c>
      <c r="B621" s="0" t="s">
        <v>0</v>
      </c>
      <c r="C621" s="0" t="s">
        <v>26</v>
      </c>
      <c r="D621" s="0" t="s">
        <v>105</v>
      </c>
      <c r="E621" s="0" t="str">
        <f>"s1_node_"&amp;D621&amp;"_name"</f>
        <v>s1_node_battle_name</v>
      </c>
      <c r="F621" s="10" t="str">
        <f>"s1_node_"&amp;D621&amp;"_desc"</f>
        <v>s1_node_battle_desc</v>
      </c>
      <c r="G621" s="0" t="s">
        <v>691</v>
      </c>
      <c r="H621" s="0">
        <v>3</v>
      </c>
      <c r="I621" s="0" t="s">
        <v>27</v>
      </c>
      <c r="J621" s="0" t="s">
        <v>542</v>
      </c>
      <c r="K621" s="0">
        <v>1900</v>
      </c>
      <c r="L621" s="10">
        <v>3</v>
      </c>
      <c r="M621" s="0">
        <v>45</v>
      </c>
      <c r="N621" s="0">
        <v>6</v>
      </c>
      <c r="O621" s="0" t="s">
        <v>1001</v>
      </c>
      <c r="T621" s="0" t="str">
        <f>_xlfn.TEXTJOIN("_",TRUE,C621,"node_eff",D621,M621,N621)</f>
        <v>s1_node_eff_battle_45_6</v>
      </c>
    </row>
    <row r="622" spans="1:20" x14ac:dyDescent="0.45">
      <c r="A622" s="0" t="str">
        <f>_xlfn.TEXTJOIN("_",TRUE,C622,"node",D622,M622,N622)</f>
        <v>s1_node_battle_46_4</v>
      </c>
      <c r="B622" s="0" t="s">
        <v>0</v>
      </c>
      <c r="C622" s="0" t="s">
        <v>26</v>
      </c>
      <c r="D622" s="0" t="s">
        <v>105</v>
      </c>
      <c r="E622" s="0" t="str">
        <f>"s1_node_"&amp;D622&amp;"_name"</f>
        <v>s1_node_battle_name</v>
      </c>
      <c r="F622" s="10" t="str">
        <f>"s1_node_"&amp;D622&amp;"_desc"</f>
        <v>s1_node_battle_desc</v>
      </c>
      <c r="G622" s="0" t="s">
        <v>691</v>
      </c>
      <c r="H622" s="0">
        <v>3</v>
      </c>
      <c r="I622" s="0" t="s">
        <v>27</v>
      </c>
      <c r="J622" s="0" t="s">
        <v>1002</v>
      </c>
      <c r="K622" s="0">
        <v>1940</v>
      </c>
      <c r="L622" s="10">
        <v>3</v>
      </c>
      <c r="M622" s="0">
        <v>46</v>
      </c>
      <c r="N622" s="0">
        <v>4</v>
      </c>
      <c r="O622" s="0" t="s">
        <v>1003</v>
      </c>
      <c r="P622" s="0" t="s">
        <v>1004</v>
      </c>
      <c r="T622" s="0" t="str">
        <f>_xlfn.TEXTJOIN("_",TRUE,C622,"node_eff",D622,M622,N622)</f>
        <v>s1_node_eff_battle_46_4</v>
      </c>
    </row>
    <row r="623" spans="1:20" x14ac:dyDescent="0.45">
      <c r="A623" s="0" t="str">
        <f>_xlfn.TEXTJOIN("_",TRUE,C623,"node",D623,M623,N623)</f>
        <v>s1_node_battle_47_2</v>
      </c>
      <c r="B623" s="0" t="s">
        <v>0</v>
      </c>
      <c r="C623" s="0" t="s">
        <v>26</v>
      </c>
      <c r="D623" s="0" t="s">
        <v>105</v>
      </c>
      <c r="E623" s="0" t="str">
        <f>"s1_node_"&amp;D623&amp;"_name"</f>
        <v>s1_node_battle_name</v>
      </c>
      <c r="F623" s="10" t="str">
        <f>"s1_node_"&amp;D623&amp;"_desc"</f>
        <v>s1_node_battle_desc</v>
      </c>
      <c r="G623" s="0" t="s">
        <v>691</v>
      </c>
      <c r="H623" s="0">
        <v>3</v>
      </c>
      <c r="I623" s="0" t="s">
        <v>27</v>
      </c>
      <c r="J623" s="0" t="s">
        <v>782</v>
      </c>
      <c r="K623" s="0">
        <v>1980</v>
      </c>
      <c r="L623" s="10">
        <v>3</v>
      </c>
      <c r="M623" s="0">
        <v>47</v>
      </c>
      <c r="N623" s="0">
        <v>2</v>
      </c>
      <c r="O623" s="0" t="s">
        <v>1005</v>
      </c>
      <c r="T623" s="0" t="str">
        <f>_xlfn.TEXTJOIN("_",TRUE,C623,"node_eff",D623,M623,N623)</f>
        <v>s1_node_eff_battle_47_2</v>
      </c>
    </row>
    <row r="624" spans="1:20" x14ac:dyDescent="0.45">
      <c r="A624" s="0" t="str">
        <f>_xlfn.TEXTJOIN("_",TRUE,C624,"node",D624,M624,N624)</f>
        <v>s1_node_battle_47_6</v>
      </c>
      <c r="B624" s="0" t="s">
        <v>0</v>
      </c>
      <c r="C624" s="0" t="s">
        <v>26</v>
      </c>
      <c r="D624" s="0" t="s">
        <v>105</v>
      </c>
      <c r="E624" s="0" t="str">
        <f>"s1_node_"&amp;D624&amp;"_name"</f>
        <v>s1_node_battle_name</v>
      </c>
      <c r="F624" s="10" t="str">
        <f>"s1_node_"&amp;D624&amp;"_desc"</f>
        <v>s1_node_battle_desc</v>
      </c>
      <c r="G624" s="0" t="s">
        <v>691</v>
      </c>
      <c r="H624" s="0">
        <v>3</v>
      </c>
      <c r="I624" s="0" t="s">
        <v>27</v>
      </c>
      <c r="J624" s="0" t="s">
        <v>782</v>
      </c>
      <c r="K624" s="0">
        <v>1980</v>
      </c>
      <c r="L624" s="10">
        <v>3</v>
      </c>
      <c r="M624" s="0">
        <v>47</v>
      </c>
      <c r="N624" s="0">
        <v>6</v>
      </c>
      <c r="O624" s="0" t="s">
        <v>1005</v>
      </c>
      <c r="T624" s="0" t="str">
        <f>_xlfn.TEXTJOIN("_",TRUE,C624,"node_eff",D624,M624,N624)</f>
        <v>s1_node_eff_battle_47_6</v>
      </c>
    </row>
    <row r="625" spans="1:20" x14ac:dyDescent="0.45">
      <c r="A625" s="0" t="str">
        <f>_xlfn.TEXTJOIN("_",TRUE,C625,"node",D625,M625,N625)</f>
        <v>s1_node_battle_48_2</v>
      </c>
      <c r="B625" s="0" t="s">
        <v>0</v>
      </c>
      <c r="C625" s="0" t="s">
        <v>26</v>
      </c>
      <c r="D625" s="0" t="s">
        <v>105</v>
      </c>
      <c r="E625" s="0" t="str">
        <f>"s1_node_"&amp;D625&amp;"_name"</f>
        <v>s1_node_battle_name</v>
      </c>
      <c r="F625" s="10" t="str">
        <f>"s1_node_"&amp;D625&amp;"_desc"</f>
        <v>s1_node_battle_desc</v>
      </c>
      <c r="G625" s="0" t="s">
        <v>691</v>
      </c>
      <c r="H625" s="0">
        <v>3</v>
      </c>
      <c r="I625" s="0" t="s">
        <v>27</v>
      </c>
      <c r="J625" s="0" t="s">
        <v>785</v>
      </c>
      <c r="K625" s="0">
        <v>2020</v>
      </c>
      <c r="L625" s="10">
        <v>3</v>
      </c>
      <c r="M625" s="0">
        <v>48</v>
      </c>
      <c r="N625" s="0">
        <v>2</v>
      </c>
      <c r="O625" s="0" t="s">
        <v>1006</v>
      </c>
      <c r="T625" s="0" t="str">
        <f>_xlfn.TEXTJOIN("_",TRUE,C625,"node_eff",D625,M625,N625)</f>
        <v>s1_node_eff_battle_48_2</v>
      </c>
    </row>
    <row r="626" spans="1:20" x14ac:dyDescent="0.45">
      <c r="A626" s="0" t="str">
        <f>_xlfn.TEXTJOIN("_",TRUE,C626,"node",D626,M626,N626)</f>
        <v>s1_node_battle_48_6</v>
      </c>
      <c r="B626" s="0" t="s">
        <v>0</v>
      </c>
      <c r="C626" s="0" t="s">
        <v>26</v>
      </c>
      <c r="D626" s="0" t="s">
        <v>105</v>
      </c>
      <c r="E626" s="0" t="str">
        <f>"s1_node_"&amp;D626&amp;"_name"</f>
        <v>s1_node_battle_name</v>
      </c>
      <c r="F626" s="10" t="str">
        <f>"s1_node_"&amp;D626&amp;"_desc"</f>
        <v>s1_node_battle_desc</v>
      </c>
      <c r="G626" s="0" t="s">
        <v>691</v>
      </c>
      <c r="H626" s="0">
        <v>3</v>
      </c>
      <c r="I626" s="0" t="s">
        <v>27</v>
      </c>
      <c r="J626" s="0" t="s">
        <v>785</v>
      </c>
      <c r="K626" s="0">
        <v>2020</v>
      </c>
      <c r="L626" s="10">
        <v>3</v>
      </c>
      <c r="M626" s="0">
        <v>48</v>
      </c>
      <c r="N626" s="0">
        <v>6</v>
      </c>
      <c r="O626" s="0" t="s">
        <v>1007</v>
      </c>
      <c r="T626" s="0" t="str">
        <f>_xlfn.TEXTJOIN("_",TRUE,C626,"node_eff",D626,M626,N626)</f>
        <v>s1_node_eff_battle_48_6</v>
      </c>
    </row>
    <row r="627" spans="1:20" x14ac:dyDescent="0.45">
      <c r="A627" s="0" t="str">
        <f>_xlfn.TEXTJOIN("_",TRUE,C627,"node",D627,M627,N627)</f>
        <v>s1_node_battle_49_2</v>
      </c>
      <c r="B627" s="0" t="s">
        <v>0</v>
      </c>
      <c r="C627" s="0" t="s">
        <v>26</v>
      </c>
      <c r="D627" s="0" t="s">
        <v>105</v>
      </c>
      <c r="E627" s="0" t="str">
        <f>"s1_node_"&amp;D627&amp;"_name"</f>
        <v>s1_node_battle_name</v>
      </c>
      <c r="F627" s="10" t="str">
        <f>"s1_node_"&amp;D627&amp;"_desc"</f>
        <v>s1_node_battle_desc</v>
      </c>
      <c r="G627" s="0" t="s">
        <v>147</v>
      </c>
      <c r="H627" s="0">
        <v>3</v>
      </c>
      <c r="I627" s="0" t="s">
        <v>27</v>
      </c>
      <c r="J627" s="0" t="s">
        <v>296</v>
      </c>
      <c r="K627" s="0">
        <v>2060</v>
      </c>
      <c r="L627" s="10">
        <v>3</v>
      </c>
      <c r="M627" s="0">
        <v>49</v>
      </c>
      <c r="N627" s="0">
        <v>2</v>
      </c>
      <c r="O627" s="0" t="s">
        <v>1008</v>
      </c>
      <c r="T627" s="0" t="str">
        <f>_xlfn.TEXTJOIN("_",TRUE,C627,"node_eff",D627,M627,N627)</f>
        <v>s1_node_eff_battle_49_2</v>
      </c>
    </row>
    <row r="628" spans="1:20" x14ac:dyDescent="0.45">
      <c r="A628" s="0" t="str">
        <f>_xlfn.TEXTJOIN("_",TRUE,C628,"node",D628,M628,N628)</f>
        <v>s1_node_battle_49_6</v>
      </c>
      <c r="B628" s="0" t="s">
        <v>0</v>
      </c>
      <c r="C628" s="0" t="s">
        <v>26</v>
      </c>
      <c r="D628" s="0" t="s">
        <v>105</v>
      </c>
      <c r="E628" s="0" t="str">
        <f>"s1_node_"&amp;D628&amp;"_name"</f>
        <v>s1_node_battle_name</v>
      </c>
      <c r="F628" s="10" t="str">
        <f>"s1_node_"&amp;D628&amp;"_desc"</f>
        <v>s1_node_battle_desc</v>
      </c>
      <c r="G628" s="0" t="s">
        <v>417</v>
      </c>
      <c r="H628" s="0">
        <v>3</v>
      </c>
      <c r="I628" s="0" t="s">
        <v>27</v>
      </c>
      <c r="J628" s="0" t="s">
        <v>296</v>
      </c>
      <c r="K628" s="0">
        <v>2060</v>
      </c>
      <c r="L628" s="10">
        <v>3</v>
      </c>
      <c r="M628" s="0">
        <v>49</v>
      </c>
      <c r="N628" s="0">
        <v>6</v>
      </c>
      <c r="O628" s="0" t="s">
        <v>1009</v>
      </c>
      <c r="T628" s="0" t="str">
        <f>_xlfn.TEXTJOIN("_",TRUE,C628,"node_eff",D628,M628,N628)</f>
        <v>s1_node_eff_battle_49_6</v>
      </c>
    </row>
    <row r="629" spans="1:20" x14ac:dyDescent="0.45">
      <c r="A629" s="0" t="str">
        <f>_xlfn.TEXTJOIN("_",TRUE,C629,"node",D629,M629,N629)</f>
        <v>s1_node_battle_50_2</v>
      </c>
      <c r="B629" s="0" t="s">
        <v>0</v>
      </c>
      <c r="C629" s="0" t="s">
        <v>26</v>
      </c>
      <c r="D629" s="0" t="s">
        <v>105</v>
      </c>
      <c r="E629" s="0" t="str">
        <f>"s1_node_"&amp;D629&amp;"_name"</f>
        <v>s1_node_battle_name</v>
      </c>
      <c r="F629" s="10" t="str">
        <f>"s1_node_"&amp;D629&amp;"_desc"</f>
        <v>s1_node_battle_desc</v>
      </c>
      <c r="G629" s="0" t="s">
        <v>691</v>
      </c>
      <c r="H629" s="0">
        <v>3</v>
      </c>
      <c r="I629" s="0" t="s">
        <v>27</v>
      </c>
      <c r="J629" s="0" t="s">
        <v>299</v>
      </c>
      <c r="K629" s="0">
        <v>2100</v>
      </c>
      <c r="L629" s="10">
        <v>3</v>
      </c>
      <c r="M629" s="0">
        <v>50</v>
      </c>
      <c r="N629" s="0">
        <v>2</v>
      </c>
      <c r="O629" s="0" t="s">
        <v>1010</v>
      </c>
      <c r="T629" s="0" t="str">
        <f>_xlfn.TEXTJOIN("_",TRUE,C629,"node_eff",D629,M629,N629)</f>
        <v>s1_node_eff_battle_50_2</v>
      </c>
    </row>
    <row r="630" spans="1:20" x14ac:dyDescent="0.45">
      <c r="A630" s="0" t="str">
        <f>_xlfn.TEXTJOIN("_",TRUE,C630,"node",D630,M630,N630)</f>
        <v>s1_node_battle_50_6</v>
      </c>
      <c r="B630" s="0" t="s">
        <v>0</v>
      </c>
      <c r="C630" s="0" t="s">
        <v>26</v>
      </c>
      <c r="D630" s="0" t="s">
        <v>105</v>
      </c>
      <c r="E630" s="0" t="str">
        <f>"s1_node_"&amp;D630&amp;"_name"</f>
        <v>s1_node_battle_name</v>
      </c>
      <c r="F630" s="10" t="str">
        <f>"s1_node_"&amp;D630&amp;"_desc"</f>
        <v>s1_node_battle_desc</v>
      </c>
      <c r="G630" s="0" t="s">
        <v>691</v>
      </c>
      <c r="H630" s="0">
        <v>3</v>
      </c>
      <c r="I630" s="0" t="s">
        <v>27</v>
      </c>
      <c r="J630" s="0" t="s">
        <v>299</v>
      </c>
      <c r="K630" s="0">
        <v>2100</v>
      </c>
      <c r="L630" s="10">
        <v>3</v>
      </c>
      <c r="M630" s="0">
        <v>50</v>
      </c>
      <c r="N630" s="0">
        <v>6</v>
      </c>
      <c r="O630" s="0" t="s">
        <v>1011</v>
      </c>
      <c r="T630" s="0" t="str">
        <f>_xlfn.TEXTJOIN("_",TRUE,C630,"node_eff",D630,M630,N630)</f>
        <v>s1_node_eff_battle_50_6</v>
      </c>
    </row>
    <row r="631" spans="1:20" x14ac:dyDescent="0.45">
      <c r="A631" s="0" t="str">
        <f>_xlfn.TEXTJOIN("_",TRUE,C631,"node",D631,M631,N631)</f>
        <v>s1_node_battle_51_4</v>
      </c>
      <c r="B631" s="0" t="s">
        <v>0</v>
      </c>
      <c r="C631" s="0" t="s">
        <v>26</v>
      </c>
      <c r="D631" s="0" t="s">
        <v>105</v>
      </c>
      <c r="E631" s="0" t="str">
        <f>"s1_node_"&amp;D631&amp;"_name"</f>
        <v>s1_node_battle_name</v>
      </c>
      <c r="F631" s="10" t="str">
        <f>"s1_node_"&amp;D631&amp;"_desc"</f>
        <v>s1_node_battle_desc</v>
      </c>
      <c r="G631" s="0" t="s">
        <v>691</v>
      </c>
      <c r="H631" s="0">
        <v>3</v>
      </c>
      <c r="I631" s="0" t="s">
        <v>27</v>
      </c>
      <c r="J631" s="0" t="s">
        <v>791</v>
      </c>
      <c r="K631" s="0">
        <v>2140</v>
      </c>
      <c r="L631" s="10">
        <v>3</v>
      </c>
      <c r="M631" s="0">
        <v>51</v>
      </c>
      <c r="N631" s="0">
        <v>4</v>
      </c>
      <c r="O631" s="0" t="s">
        <v>1012</v>
      </c>
      <c r="P631" s="0" t="s">
        <v>1013</v>
      </c>
      <c r="T631" s="0" t="str">
        <f>_xlfn.TEXTJOIN("_",TRUE,C631,"node_eff",D631,M631,N631)</f>
        <v>s1_node_eff_battle_51_4</v>
      </c>
    </row>
    <row r="632" spans="1:20" x14ac:dyDescent="0.45">
      <c r="A632" s="0" t="str">
        <f>_xlfn.TEXTJOIN("_",TRUE,C632,"node",D632,M632,N632)</f>
        <v>s1_node_battle_52_2</v>
      </c>
      <c r="B632" s="0" t="s">
        <v>0</v>
      </c>
      <c r="C632" s="0" t="s">
        <v>26</v>
      </c>
      <c r="D632" s="0" t="s">
        <v>105</v>
      </c>
      <c r="E632" s="0" t="str">
        <f>"s1_node_"&amp;D632&amp;"_name"</f>
        <v>s1_node_battle_name</v>
      </c>
      <c r="F632" s="10" t="str">
        <f>"s1_node_"&amp;D632&amp;"_desc"</f>
        <v>s1_node_battle_desc</v>
      </c>
      <c r="G632" s="0" t="s">
        <v>691</v>
      </c>
      <c r="H632" s="0">
        <v>3</v>
      </c>
      <c r="I632" s="0" t="s">
        <v>27</v>
      </c>
      <c r="J632" s="0" t="s">
        <v>564</v>
      </c>
      <c r="K632" s="0">
        <v>2180</v>
      </c>
      <c r="L632" s="10">
        <v>3</v>
      </c>
      <c r="M632" s="0">
        <v>52</v>
      </c>
      <c r="N632" s="0">
        <v>2</v>
      </c>
      <c r="O632" s="0" t="s">
        <v>1014</v>
      </c>
      <c r="T632" s="0" t="str">
        <f>_xlfn.TEXTJOIN("_",TRUE,C632,"node_eff",D632,M632,N632)</f>
        <v>s1_node_eff_battle_52_2</v>
      </c>
    </row>
    <row r="633" spans="1:20" x14ac:dyDescent="0.45">
      <c r="A633" s="0" t="str">
        <f>_xlfn.TEXTJOIN("_",TRUE,C633,"node",D633,M633,N633)</f>
        <v>s1_node_battle_52_6</v>
      </c>
      <c r="B633" s="0" t="s">
        <v>0</v>
      </c>
      <c r="C633" s="0" t="s">
        <v>26</v>
      </c>
      <c r="D633" s="0" t="s">
        <v>105</v>
      </c>
      <c r="E633" s="0" t="str">
        <f>"s1_node_"&amp;D633&amp;"_name"</f>
        <v>s1_node_battle_name</v>
      </c>
      <c r="F633" s="10" t="str">
        <f>"s1_node_"&amp;D633&amp;"_desc"</f>
        <v>s1_node_battle_desc</v>
      </c>
      <c r="G633" s="0" t="s">
        <v>691</v>
      </c>
      <c r="H633" s="0">
        <v>3</v>
      </c>
      <c r="I633" s="0" t="s">
        <v>27</v>
      </c>
      <c r="J633" s="0" t="s">
        <v>564</v>
      </c>
      <c r="K633" s="0">
        <v>2180</v>
      </c>
      <c r="L633" s="10">
        <v>3</v>
      </c>
      <c r="M633" s="0">
        <v>52</v>
      </c>
      <c r="N633" s="0">
        <v>6</v>
      </c>
      <c r="O633" s="0" t="s">
        <v>1014</v>
      </c>
      <c r="T633" s="0" t="str">
        <f>_xlfn.TEXTJOIN("_",TRUE,C633,"node_eff",D633,M633,N633)</f>
        <v>s1_node_eff_battle_52_6</v>
      </c>
    </row>
    <row r="634" spans="1:20" x14ac:dyDescent="0.45">
      <c r="A634" s="0" t="str">
        <f>_xlfn.TEXTJOIN("_",TRUE,C634,"node",D634,M634,N634)</f>
        <v>s1_node_battle_53_2</v>
      </c>
      <c r="B634" s="0" t="s">
        <v>0</v>
      </c>
      <c r="C634" s="0" t="s">
        <v>26</v>
      </c>
      <c r="D634" s="0" t="s">
        <v>105</v>
      </c>
      <c r="E634" s="0" t="str">
        <f>"s1_node_"&amp;D634&amp;"_name"</f>
        <v>s1_node_battle_name</v>
      </c>
      <c r="F634" s="10" t="str">
        <f>"s1_node_"&amp;D634&amp;"_desc"</f>
        <v>s1_node_battle_desc</v>
      </c>
      <c r="G634" s="0" t="s">
        <v>691</v>
      </c>
      <c r="H634" s="0">
        <v>3</v>
      </c>
      <c r="I634" s="0" t="s">
        <v>27</v>
      </c>
      <c r="J634" s="0" t="s">
        <v>567</v>
      </c>
      <c r="K634" s="0">
        <v>2220</v>
      </c>
      <c r="L634" s="10">
        <v>3</v>
      </c>
      <c r="M634" s="0">
        <v>53</v>
      </c>
      <c r="N634" s="0">
        <v>2</v>
      </c>
      <c r="O634" s="0" t="s">
        <v>1015</v>
      </c>
      <c r="T634" s="0" t="str">
        <f>_xlfn.TEXTJOIN("_",TRUE,C634,"node_eff",D634,M634,N634)</f>
        <v>s1_node_eff_battle_53_2</v>
      </c>
    </row>
    <row r="635" spans="1:20" x14ac:dyDescent="0.45">
      <c r="A635" s="0" t="str">
        <f>_xlfn.TEXTJOIN("_",TRUE,C635,"node",D635,M635,N635)</f>
        <v>s1_node_battle_53_6</v>
      </c>
      <c r="B635" s="0" t="s">
        <v>0</v>
      </c>
      <c r="C635" s="0" t="s">
        <v>26</v>
      </c>
      <c r="D635" s="0" t="s">
        <v>105</v>
      </c>
      <c r="E635" s="0" t="str">
        <f>"s1_node_"&amp;D635&amp;"_name"</f>
        <v>s1_node_battle_name</v>
      </c>
      <c r="F635" s="10" t="str">
        <f>"s1_node_"&amp;D635&amp;"_desc"</f>
        <v>s1_node_battle_desc</v>
      </c>
      <c r="G635" s="0" t="s">
        <v>691</v>
      </c>
      <c r="H635" s="0">
        <v>3</v>
      </c>
      <c r="I635" s="0" t="s">
        <v>27</v>
      </c>
      <c r="J635" s="0" t="s">
        <v>567</v>
      </c>
      <c r="K635" s="0">
        <v>2220</v>
      </c>
      <c r="L635" s="10">
        <v>3</v>
      </c>
      <c r="M635" s="0">
        <v>53</v>
      </c>
      <c r="N635" s="0">
        <v>6</v>
      </c>
      <c r="O635" s="0" t="s">
        <v>1016</v>
      </c>
      <c r="T635" s="0" t="str">
        <f>_xlfn.TEXTJOIN("_",TRUE,C635,"node_eff",D635,M635,N635)</f>
        <v>s1_node_eff_battle_53_6</v>
      </c>
    </row>
    <row r="636" spans="1:20" x14ac:dyDescent="0.45">
      <c r="A636" s="0" t="str">
        <f>_xlfn.TEXTJOIN("_",TRUE,C636,"node",D636,M636,N636)</f>
        <v>s1_node_battle_54_2</v>
      </c>
      <c r="B636" s="0" t="s">
        <v>0</v>
      </c>
      <c r="C636" s="0" t="s">
        <v>26</v>
      </c>
      <c r="D636" s="0" t="s">
        <v>105</v>
      </c>
      <c r="E636" s="0" t="str">
        <f>"s1_node_"&amp;D636&amp;"_name"</f>
        <v>s1_node_battle_name</v>
      </c>
      <c r="F636" s="10" t="str">
        <f>"s1_node_"&amp;D636&amp;"_desc"</f>
        <v>s1_node_battle_desc</v>
      </c>
      <c r="G636" s="0" t="s">
        <v>691</v>
      </c>
      <c r="H636" s="0">
        <v>3</v>
      </c>
      <c r="I636" s="0" t="s">
        <v>27</v>
      </c>
      <c r="J636" s="0" t="s">
        <v>570</v>
      </c>
      <c r="K636" s="0">
        <v>2260</v>
      </c>
      <c r="L636" s="10">
        <v>3</v>
      </c>
      <c r="M636" s="0">
        <v>54</v>
      </c>
      <c r="N636" s="0">
        <v>2</v>
      </c>
      <c r="O636" s="0" t="s">
        <v>1017</v>
      </c>
      <c r="T636" s="0" t="str">
        <f>_xlfn.TEXTJOIN("_",TRUE,C636,"node_eff",D636,M636,N636)</f>
        <v>s1_node_eff_battle_54_2</v>
      </c>
    </row>
    <row r="637" spans="1:20" x14ac:dyDescent="0.45">
      <c r="A637" s="0" t="str">
        <f>_xlfn.TEXTJOIN("_",TRUE,C637,"node",D637,M637,N637)</f>
        <v>s1_node_battle_54_6</v>
      </c>
      <c r="B637" s="0" t="s">
        <v>0</v>
      </c>
      <c r="C637" s="0" t="s">
        <v>26</v>
      </c>
      <c r="D637" s="0" t="s">
        <v>105</v>
      </c>
      <c r="E637" s="0" t="str">
        <f>"s1_node_"&amp;D637&amp;"_name"</f>
        <v>s1_node_battle_name</v>
      </c>
      <c r="F637" s="10" t="str">
        <f>"s1_node_"&amp;D637&amp;"_desc"</f>
        <v>s1_node_battle_desc</v>
      </c>
      <c r="G637" s="0" t="s">
        <v>691</v>
      </c>
      <c r="H637" s="0">
        <v>3</v>
      </c>
      <c r="I637" s="0" t="s">
        <v>27</v>
      </c>
      <c r="J637" s="0" t="s">
        <v>570</v>
      </c>
      <c r="K637" s="0">
        <v>2260</v>
      </c>
      <c r="L637" s="10">
        <v>3</v>
      </c>
      <c r="M637" s="0">
        <v>54</v>
      </c>
      <c r="N637" s="0">
        <v>6</v>
      </c>
      <c r="O637" s="0" t="s">
        <v>1018</v>
      </c>
      <c r="T637" s="0" t="str">
        <f>_xlfn.TEXTJOIN("_",TRUE,C637,"node_eff",D637,M637,N637)</f>
        <v>s1_node_eff_battle_54_6</v>
      </c>
    </row>
    <row r="638" spans="1:20" x14ac:dyDescent="0.45">
      <c r="A638" s="0" t="str">
        <f>_xlfn.TEXTJOIN("_",TRUE,C638,"node",D638,M638,N638)</f>
        <v>s1_node_battle_55_2</v>
      </c>
      <c r="B638" s="0" t="s">
        <v>0</v>
      </c>
      <c r="C638" s="0" t="s">
        <v>26</v>
      </c>
      <c r="D638" s="0" t="s">
        <v>105</v>
      </c>
      <c r="E638" s="0" t="str">
        <f>"s1_node_"&amp;D638&amp;"_name"</f>
        <v>s1_node_battle_name</v>
      </c>
      <c r="F638" s="10" t="str">
        <f>"s1_node_"&amp;D638&amp;"_desc"</f>
        <v>s1_node_battle_desc</v>
      </c>
      <c r="G638" s="0" t="s">
        <v>691</v>
      </c>
      <c r="H638" s="0">
        <v>3</v>
      </c>
      <c r="I638" s="0" t="s">
        <v>27</v>
      </c>
      <c r="J638" s="0" t="s">
        <v>316</v>
      </c>
      <c r="K638" s="0">
        <v>2300</v>
      </c>
      <c r="L638" s="10">
        <v>3</v>
      </c>
      <c r="M638" s="0">
        <v>55</v>
      </c>
      <c r="N638" s="0">
        <v>2</v>
      </c>
      <c r="O638" s="0" t="s">
        <v>1019</v>
      </c>
      <c r="T638" s="0" t="str">
        <f>_xlfn.TEXTJOIN("_",TRUE,C638,"node_eff",D638,M638,N638)</f>
        <v>s1_node_eff_battle_55_2</v>
      </c>
    </row>
    <row r="639" spans="1:20" x14ac:dyDescent="0.45">
      <c r="A639" s="0" t="str">
        <f>_xlfn.TEXTJOIN("_",TRUE,C639,"node",D639,M639,N639)</f>
        <v>s1_node_battle_55_6</v>
      </c>
      <c r="B639" s="0" t="s">
        <v>0</v>
      </c>
      <c r="C639" s="0" t="s">
        <v>26</v>
      </c>
      <c r="D639" s="0" t="s">
        <v>105</v>
      </c>
      <c r="E639" s="0" t="str">
        <f>"s1_node_"&amp;D639&amp;"_name"</f>
        <v>s1_node_battle_name</v>
      </c>
      <c r="F639" s="10" t="str">
        <f>"s1_node_"&amp;D639&amp;"_desc"</f>
        <v>s1_node_battle_desc</v>
      </c>
      <c r="G639" s="0" t="s">
        <v>147</v>
      </c>
      <c r="H639" s="0">
        <v>3</v>
      </c>
      <c r="I639" s="0" t="s">
        <v>27</v>
      </c>
      <c r="J639" s="0" t="s">
        <v>316</v>
      </c>
      <c r="K639" s="0">
        <v>2300</v>
      </c>
      <c r="L639" s="10">
        <v>3</v>
      </c>
      <c r="M639" s="0">
        <v>55</v>
      </c>
      <c r="N639" s="0">
        <v>6</v>
      </c>
      <c r="O639" s="0" t="s">
        <v>1020</v>
      </c>
      <c r="T639" s="0" t="str">
        <f>_xlfn.TEXTJOIN("_",TRUE,C639,"node_eff",D639,M639,N639)</f>
        <v>s1_node_eff_battle_55_6</v>
      </c>
    </row>
    <row r="640" spans="1:20" x14ac:dyDescent="0.45">
      <c r="A640" s="0" t="str">
        <f>_xlfn.TEXTJOIN("_",TRUE,C640,"node",D640,M640,N640)</f>
        <v>s1_node_battle_56_4</v>
      </c>
      <c r="B640" s="0" t="s">
        <v>0</v>
      </c>
      <c r="C640" s="0" t="s">
        <v>26</v>
      </c>
      <c r="D640" s="0" t="s">
        <v>105</v>
      </c>
      <c r="E640" s="0" t="str">
        <f>"s1_node_"&amp;D640&amp;"_name"</f>
        <v>s1_node_battle_name</v>
      </c>
      <c r="F640" s="10" t="str">
        <f>"s1_node_"&amp;D640&amp;"_desc"</f>
        <v>s1_node_battle_desc</v>
      </c>
      <c r="G640" s="0" t="s">
        <v>417</v>
      </c>
      <c r="H640" s="0">
        <v>3</v>
      </c>
      <c r="I640" s="0" t="s">
        <v>27</v>
      </c>
      <c r="J640" s="0" t="s">
        <v>319</v>
      </c>
      <c r="K640" s="0">
        <v>2340</v>
      </c>
      <c r="L640" s="10">
        <v>3</v>
      </c>
      <c r="M640" s="0">
        <v>56</v>
      </c>
      <c r="N640" s="0">
        <v>4</v>
      </c>
      <c r="O640" s="0" t="s">
        <v>1021</v>
      </c>
      <c r="P640" s="0" t="s">
        <v>1022</v>
      </c>
      <c r="T640" s="0" t="str">
        <f>_xlfn.TEXTJOIN("_",TRUE,C640,"node_eff",D640,M640,N640)</f>
        <v>s1_node_eff_battle_56_4</v>
      </c>
    </row>
    <row r="641" spans="1:20" x14ac:dyDescent="0.45">
      <c r="A641" s="0" t="str">
        <f>_xlfn.TEXTJOIN("_",TRUE,C641,"node",D641,M641,N641)</f>
        <v>s1_node_battle_57_2</v>
      </c>
      <c r="B641" s="0" t="s">
        <v>0</v>
      </c>
      <c r="C641" s="0" t="s">
        <v>26</v>
      </c>
      <c r="D641" s="0" t="s">
        <v>105</v>
      </c>
      <c r="E641" s="0" t="str">
        <f>"s1_node_"&amp;D641&amp;"_name"</f>
        <v>s1_node_battle_name</v>
      </c>
      <c r="F641" s="10" t="str">
        <f>"s1_node_"&amp;D641&amp;"_desc"</f>
        <v>s1_node_battle_desc</v>
      </c>
      <c r="G641" s="0" t="s">
        <v>417</v>
      </c>
      <c r="H641" s="0">
        <v>3</v>
      </c>
      <c r="I641" s="0" t="s">
        <v>27</v>
      </c>
      <c r="J641" s="0" t="s">
        <v>1023</v>
      </c>
      <c r="K641" s="0">
        <v>2380</v>
      </c>
      <c r="L641" s="10">
        <v>3</v>
      </c>
      <c r="M641" s="0">
        <v>57</v>
      </c>
      <c r="N641" s="0">
        <v>2</v>
      </c>
      <c r="O641" s="0" t="s">
        <v>1024</v>
      </c>
      <c r="T641" s="0" t="str">
        <f>_xlfn.TEXTJOIN("_",TRUE,C641,"node_eff",D641,M641,N641)</f>
        <v>s1_node_eff_battle_57_2</v>
      </c>
    </row>
    <row r="642" spans="1:20" x14ac:dyDescent="0.45">
      <c r="A642" s="0" t="str">
        <f>_xlfn.TEXTJOIN("_",TRUE,C642,"node",D642,M642,N642)</f>
        <v>s1_node_battle_57_6</v>
      </c>
      <c r="B642" s="0" t="s">
        <v>0</v>
      </c>
      <c r="C642" s="0" t="s">
        <v>26</v>
      </c>
      <c r="D642" s="0" t="s">
        <v>105</v>
      </c>
      <c r="E642" s="0" t="str">
        <f>"s1_node_"&amp;D642&amp;"_name"</f>
        <v>s1_node_battle_name</v>
      </c>
      <c r="F642" s="10" t="str">
        <f>"s1_node_"&amp;D642&amp;"_desc"</f>
        <v>s1_node_battle_desc</v>
      </c>
      <c r="G642" s="0" t="s">
        <v>691</v>
      </c>
      <c r="H642" s="0">
        <v>3</v>
      </c>
      <c r="I642" s="0" t="s">
        <v>27</v>
      </c>
      <c r="J642" s="0" t="s">
        <v>1023</v>
      </c>
      <c r="K642" s="0">
        <v>2380</v>
      </c>
      <c r="L642" s="10">
        <v>3</v>
      </c>
      <c r="M642" s="0">
        <v>57</v>
      </c>
      <c r="N642" s="0">
        <v>6</v>
      </c>
      <c r="O642" s="0" t="s">
        <v>1024</v>
      </c>
      <c r="T642" s="0" t="str">
        <f>_xlfn.TEXTJOIN("_",TRUE,C642,"node_eff",D642,M642,N642)</f>
        <v>s1_node_eff_battle_57_6</v>
      </c>
    </row>
    <row r="643" spans="1:20" x14ac:dyDescent="0.45">
      <c r="A643" s="0" t="str">
        <f>_xlfn.TEXTJOIN("_",TRUE,C643,"node",D643,M643,N643)</f>
        <v>s1_node_battle_58_2</v>
      </c>
      <c r="B643" s="0" t="s">
        <v>0</v>
      </c>
      <c r="C643" s="0" t="s">
        <v>26</v>
      </c>
      <c r="D643" s="0" t="s">
        <v>105</v>
      </c>
      <c r="E643" s="0" t="str">
        <f>"s1_node_"&amp;D643&amp;"_name"</f>
        <v>s1_node_battle_name</v>
      </c>
      <c r="F643" s="10" t="str">
        <f>"s1_node_"&amp;D643&amp;"_desc"</f>
        <v>s1_node_battle_desc</v>
      </c>
      <c r="G643" s="0" t="s">
        <v>691</v>
      </c>
      <c r="H643" s="0">
        <v>3</v>
      </c>
      <c r="I643" s="0" t="s">
        <v>27</v>
      </c>
      <c r="J643" s="0" t="s">
        <v>324</v>
      </c>
      <c r="K643" s="0">
        <v>2410</v>
      </c>
      <c r="L643" s="10">
        <v>3</v>
      </c>
      <c r="M643" s="0">
        <v>58</v>
      </c>
      <c r="N643" s="0">
        <v>2</v>
      </c>
      <c r="O643" s="0" t="s">
        <v>1025</v>
      </c>
      <c r="T643" s="0" t="str">
        <f>_xlfn.TEXTJOIN("_",TRUE,C643,"node_eff",D643,M643,N643)</f>
        <v>s1_node_eff_battle_58_2</v>
      </c>
    </row>
    <row r="644" spans="1:20" x14ac:dyDescent="0.45">
      <c r="A644" s="0" t="str">
        <f>_xlfn.TEXTJOIN("_",TRUE,C644,"node",D644,M644,N644)</f>
        <v>s1_node_battle_58_6</v>
      </c>
      <c r="B644" s="0" t="s">
        <v>0</v>
      </c>
      <c r="C644" s="0" t="s">
        <v>26</v>
      </c>
      <c r="D644" s="0" t="s">
        <v>105</v>
      </c>
      <c r="E644" s="0" t="str">
        <f>"s1_node_"&amp;D644&amp;"_name"</f>
        <v>s1_node_battle_name</v>
      </c>
      <c r="F644" s="10" t="str">
        <f>"s1_node_"&amp;D644&amp;"_desc"</f>
        <v>s1_node_battle_desc</v>
      </c>
      <c r="G644" s="0" t="s">
        <v>691</v>
      </c>
      <c r="H644" s="0">
        <v>3</v>
      </c>
      <c r="I644" s="0" t="s">
        <v>27</v>
      </c>
      <c r="J644" s="0" t="s">
        <v>324</v>
      </c>
      <c r="K644" s="0">
        <v>2410</v>
      </c>
      <c r="L644" s="10">
        <v>3</v>
      </c>
      <c r="M644" s="0">
        <v>58</v>
      </c>
      <c r="N644" s="0">
        <v>6</v>
      </c>
      <c r="O644" s="0" t="s">
        <v>1026</v>
      </c>
      <c r="T644" s="0" t="str">
        <f>_xlfn.TEXTJOIN("_",TRUE,C644,"node_eff",D644,M644,N644)</f>
        <v>s1_node_eff_battle_58_6</v>
      </c>
    </row>
    <row r="645" spans="1:20" x14ac:dyDescent="0.45">
      <c r="A645" s="0" t="str">
        <f>_xlfn.TEXTJOIN("_",TRUE,C645,"node",D645,M645,N645)</f>
        <v>s1_node_battle_59_2</v>
      </c>
      <c r="B645" s="0" t="s">
        <v>0</v>
      </c>
      <c r="C645" s="0" t="s">
        <v>26</v>
      </c>
      <c r="D645" s="0" t="s">
        <v>105</v>
      </c>
      <c r="E645" s="0" t="str">
        <f>"s1_node_"&amp;D645&amp;"_name"</f>
        <v>s1_node_battle_name</v>
      </c>
      <c r="F645" s="10" t="str">
        <f>"s1_node_"&amp;D645&amp;"_desc"</f>
        <v>s1_node_battle_desc</v>
      </c>
      <c r="G645" s="0" t="s">
        <v>691</v>
      </c>
      <c r="H645" s="0">
        <v>3</v>
      </c>
      <c r="I645" s="0" t="s">
        <v>27</v>
      </c>
      <c r="J645" s="0" t="s">
        <v>1027</v>
      </c>
      <c r="K645" s="0">
        <v>2450</v>
      </c>
      <c r="L645" s="10">
        <v>3</v>
      </c>
      <c r="M645" s="0">
        <v>59</v>
      </c>
      <c r="N645" s="0">
        <v>2</v>
      </c>
      <c r="O645" s="0" t="s">
        <v>1028</v>
      </c>
      <c r="T645" s="0" t="str">
        <f>_xlfn.TEXTJOIN("_",TRUE,C645,"node_eff",D645,M645,N645)</f>
        <v>s1_node_eff_battle_59_2</v>
      </c>
    </row>
    <row r="646" spans="1:20" x14ac:dyDescent="0.45">
      <c r="A646" s="0" t="str">
        <f>_xlfn.TEXTJOIN("_",TRUE,C646,"node",D646,M646,N646)</f>
        <v>s1_node_battle_59_6</v>
      </c>
      <c r="B646" s="0" t="s">
        <v>0</v>
      </c>
      <c r="C646" s="0" t="s">
        <v>26</v>
      </c>
      <c r="D646" s="0" t="s">
        <v>105</v>
      </c>
      <c r="E646" s="0" t="str">
        <f>"s1_node_"&amp;D646&amp;"_name"</f>
        <v>s1_node_battle_name</v>
      </c>
      <c r="F646" s="10" t="str">
        <f>"s1_node_"&amp;D646&amp;"_desc"</f>
        <v>s1_node_battle_desc</v>
      </c>
      <c r="G646" s="0" t="s">
        <v>691</v>
      </c>
      <c r="H646" s="0">
        <v>3</v>
      </c>
      <c r="I646" s="0" t="s">
        <v>27</v>
      </c>
      <c r="J646" s="0" t="s">
        <v>1027</v>
      </c>
      <c r="K646" s="0">
        <v>2450</v>
      </c>
      <c r="L646" s="10">
        <v>3</v>
      </c>
      <c r="M646" s="0">
        <v>59</v>
      </c>
      <c r="N646" s="0">
        <v>6</v>
      </c>
      <c r="O646" s="0" t="s">
        <v>1029</v>
      </c>
      <c r="T646" s="0" t="str">
        <f>_xlfn.TEXTJOIN("_",TRUE,C646,"node_eff",D646,M646,N646)</f>
        <v>s1_node_eff_battle_59_6</v>
      </c>
    </row>
    <row r="647" spans="1:20" x14ac:dyDescent="0.45">
      <c r="A647" s="0" t="str">
        <f>_xlfn.TEXTJOIN("_",TRUE,C647,"node",D647,M647,N647)</f>
        <v>s1_node_battle_60_2</v>
      </c>
      <c r="B647" s="0" t="s">
        <v>0</v>
      </c>
      <c r="C647" s="0" t="s">
        <v>26</v>
      </c>
      <c r="D647" s="0" t="s">
        <v>105</v>
      </c>
      <c r="E647" s="0" t="str">
        <f>"s1_node_"&amp;D647&amp;"_name"</f>
        <v>s1_node_battle_name</v>
      </c>
      <c r="F647" s="10" t="str">
        <f>"s1_node_"&amp;D647&amp;"_desc"</f>
        <v>s1_node_battle_desc</v>
      </c>
      <c r="G647" s="0" t="s">
        <v>691</v>
      </c>
      <c r="H647" s="0">
        <v>3</v>
      </c>
      <c r="I647" s="0" t="s">
        <v>27</v>
      </c>
      <c r="J647" s="0" t="s">
        <v>1030</v>
      </c>
      <c r="K647" s="0">
        <v>2490</v>
      </c>
      <c r="L647" s="10">
        <v>3</v>
      </c>
      <c r="M647" s="0">
        <v>60</v>
      </c>
      <c r="N647" s="0">
        <v>2</v>
      </c>
      <c r="O647" s="0" t="s">
        <v>1031</v>
      </c>
      <c r="T647" s="0" t="str">
        <f>_xlfn.TEXTJOIN("_",TRUE,C647,"node_eff",D647,M647,N647)</f>
        <v>s1_node_eff_battle_60_2</v>
      </c>
    </row>
    <row r="648" spans="1:20" x14ac:dyDescent="0.45">
      <c r="A648" s="0" t="str">
        <f>_xlfn.TEXTJOIN("_",TRUE,C648,"node",D648,M648,N648)</f>
        <v>s1_node_battle_60_6</v>
      </c>
      <c r="B648" s="0" t="s">
        <v>0</v>
      </c>
      <c r="C648" s="0" t="s">
        <v>26</v>
      </c>
      <c r="D648" s="0" t="s">
        <v>105</v>
      </c>
      <c r="E648" s="0" t="str">
        <f>"s1_node_"&amp;D648&amp;"_name"</f>
        <v>s1_node_battle_name</v>
      </c>
      <c r="F648" s="10" t="str">
        <f>"s1_node_"&amp;D648&amp;"_desc"</f>
        <v>s1_node_battle_desc</v>
      </c>
      <c r="G648" s="0" t="s">
        <v>691</v>
      </c>
      <c r="H648" s="0">
        <v>3</v>
      </c>
      <c r="I648" s="0" t="s">
        <v>27</v>
      </c>
      <c r="J648" s="0" t="s">
        <v>1030</v>
      </c>
      <c r="K648" s="0">
        <v>2490</v>
      </c>
      <c r="L648" s="10">
        <v>3</v>
      </c>
      <c r="M648" s="0">
        <v>60</v>
      </c>
      <c r="N648" s="0">
        <v>6</v>
      </c>
      <c r="O648" s="0" t="s">
        <v>1032</v>
      </c>
      <c r="T648" s="0" t="str">
        <f>_xlfn.TEXTJOIN("_",TRUE,C648,"node_eff",D648,M648,N648)</f>
        <v>s1_node_eff_battle_60_6</v>
      </c>
    </row>
    <row r="649" spans="1:20" x14ac:dyDescent="0.45">
      <c r="A649" s="0" t="str">
        <f>_xlfn.TEXTJOIN("_",TRUE,C649,"node",D649,M649,N649)</f>
        <v>s1_node_battle_61_4</v>
      </c>
      <c r="B649" s="0" t="s">
        <v>0</v>
      </c>
      <c r="C649" s="0" t="s">
        <v>26</v>
      </c>
      <c r="D649" s="0" t="s">
        <v>105</v>
      </c>
      <c r="E649" s="0" t="str">
        <f>"s1_node_"&amp;D649&amp;"_name"</f>
        <v>s1_node_battle_name</v>
      </c>
      <c r="F649" s="10" t="str">
        <f>"s1_node_"&amp;D649&amp;"_desc"</f>
        <v>s1_node_battle_desc</v>
      </c>
      <c r="G649" s="0" t="s">
        <v>691</v>
      </c>
      <c r="H649" s="0">
        <v>4</v>
      </c>
      <c r="I649" s="0" t="s">
        <v>27</v>
      </c>
      <c r="J649" s="0" t="s">
        <v>1033</v>
      </c>
      <c r="K649" s="0">
        <v>2530</v>
      </c>
      <c r="L649" s="10">
        <v>3</v>
      </c>
      <c r="M649" s="0">
        <v>61</v>
      </c>
      <c r="N649" s="0">
        <v>4</v>
      </c>
      <c r="O649" s="0" t="s">
        <v>1034</v>
      </c>
      <c r="P649" s="0" t="s">
        <v>1035</v>
      </c>
      <c r="T649" s="0" t="str">
        <f>_xlfn.TEXTJOIN("_",TRUE,C649,"node_eff",D649,M649,N649)</f>
        <v>s1_node_eff_battle_61_4</v>
      </c>
    </row>
    <row r="650" spans="1:20" x14ac:dyDescent="0.45">
      <c r="A650" s="0" t="str">
        <f>_xlfn.TEXTJOIN("_",TRUE,C650,"node",D650,M650,N650)</f>
        <v>s1_node_battle_62_2</v>
      </c>
      <c r="B650" s="0" t="s">
        <v>0</v>
      </c>
      <c r="C650" s="0" t="s">
        <v>26</v>
      </c>
      <c r="D650" s="0" t="s">
        <v>105</v>
      </c>
      <c r="E650" s="0" t="str">
        <f>"s1_node_"&amp;D650&amp;"_name"</f>
        <v>s1_node_battle_name</v>
      </c>
      <c r="F650" s="10" t="str">
        <f>"s1_node_"&amp;D650&amp;"_desc"</f>
        <v>s1_node_battle_desc</v>
      </c>
      <c r="G650" s="0" t="s">
        <v>691</v>
      </c>
      <c r="H650" s="0">
        <v>4</v>
      </c>
      <c r="I650" s="0" t="s">
        <v>27</v>
      </c>
      <c r="J650" s="0" t="s">
        <v>1036</v>
      </c>
      <c r="K650" s="0">
        <v>2570</v>
      </c>
      <c r="L650" s="10">
        <v>3</v>
      </c>
      <c r="M650" s="0">
        <v>62</v>
      </c>
      <c r="N650" s="0">
        <v>2</v>
      </c>
      <c r="O650" s="0" t="s">
        <v>1037</v>
      </c>
      <c r="T650" s="0" t="str">
        <f>_xlfn.TEXTJOIN("_",TRUE,C650,"node_eff",D650,M650,N650)</f>
        <v>s1_node_eff_battle_62_2</v>
      </c>
    </row>
    <row r="651" spans="1:20" x14ac:dyDescent="0.45">
      <c r="A651" s="0" t="str">
        <f>_xlfn.TEXTJOIN("_",TRUE,C651,"node",D651,M651,N651)</f>
        <v>s1_node_battle_62_6</v>
      </c>
      <c r="B651" s="0" t="s">
        <v>0</v>
      </c>
      <c r="C651" s="0" t="s">
        <v>26</v>
      </c>
      <c r="D651" s="0" t="s">
        <v>105</v>
      </c>
      <c r="E651" s="0" t="str">
        <f>"s1_node_"&amp;D651&amp;"_name"</f>
        <v>s1_node_battle_name</v>
      </c>
      <c r="F651" s="10" t="str">
        <f>"s1_node_"&amp;D651&amp;"_desc"</f>
        <v>s1_node_battle_desc</v>
      </c>
      <c r="G651" s="0" t="s">
        <v>147</v>
      </c>
      <c r="H651" s="0">
        <v>4</v>
      </c>
      <c r="I651" s="0" t="s">
        <v>27</v>
      </c>
      <c r="J651" s="0" t="s">
        <v>1036</v>
      </c>
      <c r="K651" s="0">
        <v>2570</v>
      </c>
      <c r="L651" s="10">
        <v>3</v>
      </c>
      <c r="M651" s="0">
        <v>62</v>
      </c>
      <c r="N651" s="0">
        <v>6</v>
      </c>
      <c r="O651" s="0" t="s">
        <v>1037</v>
      </c>
      <c r="T651" s="0" t="str">
        <f>_xlfn.TEXTJOIN("_",TRUE,C651,"node_eff",D651,M651,N651)</f>
        <v>s1_node_eff_battle_62_6</v>
      </c>
    </row>
    <row r="652" spans="1:20" x14ac:dyDescent="0.45">
      <c r="A652" s="0" t="str">
        <f>_xlfn.TEXTJOIN("_",TRUE,C652,"node",D652,M652,N652)</f>
        <v>s1_node_battle_63_2</v>
      </c>
      <c r="B652" s="0" t="s">
        <v>0</v>
      </c>
      <c r="C652" s="0" t="s">
        <v>26</v>
      </c>
      <c r="D652" s="0" t="s">
        <v>105</v>
      </c>
      <c r="E652" s="0" t="str">
        <f>"s1_node_"&amp;D652&amp;"_name"</f>
        <v>s1_node_battle_name</v>
      </c>
      <c r="F652" s="10" t="str">
        <f>"s1_node_"&amp;D652&amp;"_desc"</f>
        <v>s1_node_battle_desc</v>
      </c>
      <c r="G652" s="0" t="s">
        <v>417</v>
      </c>
      <c r="H652" s="0">
        <v>4</v>
      </c>
      <c r="I652" s="0" t="s">
        <v>27</v>
      </c>
      <c r="J652" s="0" t="s">
        <v>596</v>
      </c>
      <c r="K652" s="0">
        <v>2610</v>
      </c>
      <c r="L652" s="10">
        <v>3</v>
      </c>
      <c r="M652" s="0">
        <v>63</v>
      </c>
      <c r="N652" s="0">
        <v>2</v>
      </c>
      <c r="O652" s="0" t="s">
        <v>1038</v>
      </c>
      <c r="T652" s="0" t="str">
        <f>_xlfn.TEXTJOIN("_",TRUE,C652,"node_eff",D652,M652,N652)</f>
        <v>s1_node_eff_battle_63_2</v>
      </c>
    </row>
    <row r="653" spans="1:20" x14ac:dyDescent="0.45">
      <c r="A653" s="0" t="str">
        <f>_xlfn.TEXTJOIN("_",TRUE,C653,"node",D653,M653,N653)</f>
        <v>s1_node_battle_63_6</v>
      </c>
      <c r="B653" s="0" t="s">
        <v>0</v>
      </c>
      <c r="C653" s="0" t="s">
        <v>26</v>
      </c>
      <c r="D653" s="0" t="s">
        <v>105</v>
      </c>
      <c r="E653" s="0" t="str">
        <f>"s1_node_"&amp;D653&amp;"_name"</f>
        <v>s1_node_battle_name</v>
      </c>
      <c r="F653" s="10" t="str">
        <f>"s1_node_"&amp;D653&amp;"_desc"</f>
        <v>s1_node_battle_desc</v>
      </c>
      <c r="G653" s="0" t="s">
        <v>417</v>
      </c>
      <c r="H653" s="0">
        <v>4</v>
      </c>
      <c r="I653" s="0" t="s">
        <v>27</v>
      </c>
      <c r="J653" s="0" t="s">
        <v>596</v>
      </c>
      <c r="K653" s="0">
        <v>2610</v>
      </c>
      <c r="L653" s="10">
        <v>3</v>
      </c>
      <c r="M653" s="0">
        <v>63</v>
      </c>
      <c r="N653" s="0">
        <v>6</v>
      </c>
      <c r="O653" s="0" t="s">
        <v>1039</v>
      </c>
      <c r="T653" s="0" t="str">
        <f>_xlfn.TEXTJOIN("_",TRUE,C653,"node_eff",D653,M653,N653)</f>
        <v>s1_node_eff_battle_63_6</v>
      </c>
    </row>
    <row r="654" spans="1:20" x14ac:dyDescent="0.45">
      <c r="A654" s="0" t="str">
        <f>_xlfn.TEXTJOIN("_",TRUE,C654,"node",D654,M654,N654)</f>
        <v>s1_node_battle_64_2</v>
      </c>
      <c r="B654" s="0" t="s">
        <v>0</v>
      </c>
      <c r="C654" s="0" t="s">
        <v>26</v>
      </c>
      <c r="D654" s="0" t="s">
        <v>105</v>
      </c>
      <c r="E654" s="0" t="str">
        <f>"s1_node_"&amp;D654&amp;"_name"</f>
        <v>s1_node_battle_name</v>
      </c>
      <c r="F654" s="10" t="str">
        <f>"s1_node_"&amp;D654&amp;"_desc"</f>
        <v>s1_node_battle_desc</v>
      </c>
      <c r="G654" s="0" t="s">
        <v>691</v>
      </c>
      <c r="H654" s="0">
        <v>4</v>
      </c>
      <c r="I654" s="0" t="s">
        <v>27</v>
      </c>
      <c r="J654" s="0" t="s">
        <v>344</v>
      </c>
      <c r="K654" s="0">
        <v>2650</v>
      </c>
      <c r="L654" s="10">
        <v>3</v>
      </c>
      <c r="M654" s="0">
        <v>64</v>
      </c>
      <c r="N654" s="0">
        <v>2</v>
      </c>
      <c r="O654" s="0" t="s">
        <v>1040</v>
      </c>
      <c r="T654" s="0" t="str">
        <f>_xlfn.TEXTJOIN("_",TRUE,C654,"node_eff",D654,M654,N654)</f>
        <v>s1_node_eff_battle_64_2</v>
      </c>
    </row>
    <row r="655" spans="1:20" x14ac:dyDescent="0.45">
      <c r="A655" s="0" t="str">
        <f>_xlfn.TEXTJOIN("_",TRUE,C655,"node",D655,M655,N655)</f>
        <v>s1_node_battle_64_6</v>
      </c>
      <c r="B655" s="0" t="s">
        <v>0</v>
      </c>
      <c r="C655" s="0" t="s">
        <v>26</v>
      </c>
      <c r="D655" s="0" t="s">
        <v>105</v>
      </c>
      <c r="E655" s="0" t="str">
        <f>"s1_node_"&amp;D655&amp;"_name"</f>
        <v>s1_node_battle_name</v>
      </c>
      <c r="F655" s="10" t="str">
        <f>"s1_node_"&amp;D655&amp;"_desc"</f>
        <v>s1_node_battle_desc</v>
      </c>
      <c r="G655" s="0" t="s">
        <v>691</v>
      </c>
      <c r="H655" s="0">
        <v>4</v>
      </c>
      <c r="I655" s="0" t="s">
        <v>27</v>
      </c>
      <c r="J655" s="0" t="s">
        <v>344</v>
      </c>
      <c r="K655" s="0">
        <v>2650</v>
      </c>
      <c r="L655" s="10">
        <v>3</v>
      </c>
      <c r="M655" s="0">
        <v>64</v>
      </c>
      <c r="N655" s="0">
        <v>6</v>
      </c>
      <c r="O655" s="0" t="s">
        <v>1041</v>
      </c>
      <c r="T655" s="0" t="str">
        <f>_xlfn.TEXTJOIN("_",TRUE,C655,"node_eff",D655,M655,N655)</f>
        <v>s1_node_eff_battle_64_6</v>
      </c>
    </row>
    <row r="656" spans="1:20" x14ac:dyDescent="0.45">
      <c r="A656" s="0" t="str">
        <f>_xlfn.TEXTJOIN("_",TRUE,C656,"node",D656,M656,N656)</f>
        <v>s1_node_battle_65_2</v>
      </c>
      <c r="B656" s="0" t="s">
        <v>0</v>
      </c>
      <c r="C656" s="0" t="s">
        <v>26</v>
      </c>
      <c r="D656" s="0" t="s">
        <v>105</v>
      </c>
      <c r="E656" s="0" t="str">
        <f>"s1_node_"&amp;D656&amp;"_name"</f>
        <v>s1_node_battle_name</v>
      </c>
      <c r="F656" s="10" t="str">
        <f>"s1_node_"&amp;D656&amp;"_desc"</f>
        <v>s1_node_battle_desc</v>
      </c>
      <c r="G656" s="0" t="s">
        <v>691</v>
      </c>
      <c r="H656" s="0">
        <v>4</v>
      </c>
      <c r="I656" s="0" t="s">
        <v>27</v>
      </c>
      <c r="J656" s="0" t="s">
        <v>347</v>
      </c>
      <c r="K656" s="0">
        <v>2690</v>
      </c>
      <c r="L656" s="10">
        <v>3</v>
      </c>
      <c r="M656" s="0">
        <v>65</v>
      </c>
      <c r="N656" s="0">
        <v>2</v>
      </c>
      <c r="O656" s="0" t="s">
        <v>1042</v>
      </c>
      <c r="T656" s="0" t="str">
        <f>_xlfn.TEXTJOIN("_",TRUE,C656,"node_eff",D656,M656,N656)</f>
        <v>s1_node_eff_battle_65_2</v>
      </c>
    </row>
    <row r="657" spans="1:20" x14ac:dyDescent="0.45">
      <c r="A657" s="0" t="str">
        <f>_xlfn.TEXTJOIN("_",TRUE,C657,"node",D657,M657,N657)</f>
        <v>s1_node_battle_65_6</v>
      </c>
      <c r="B657" s="0" t="s">
        <v>0</v>
      </c>
      <c r="C657" s="0" t="s">
        <v>26</v>
      </c>
      <c r="D657" s="0" t="s">
        <v>105</v>
      </c>
      <c r="E657" s="0" t="str">
        <f>"s1_node_"&amp;D657&amp;"_name"</f>
        <v>s1_node_battle_name</v>
      </c>
      <c r="F657" s="10" t="str">
        <f>"s1_node_"&amp;D657&amp;"_desc"</f>
        <v>s1_node_battle_desc</v>
      </c>
      <c r="G657" s="0" t="s">
        <v>691</v>
      </c>
      <c r="H657" s="0">
        <v>4</v>
      </c>
      <c r="I657" s="0" t="s">
        <v>27</v>
      </c>
      <c r="J657" s="0" t="s">
        <v>347</v>
      </c>
      <c r="K657" s="0">
        <v>2690</v>
      </c>
      <c r="L657" s="10">
        <v>3</v>
      </c>
      <c r="M657" s="0">
        <v>65</v>
      </c>
      <c r="N657" s="0">
        <v>6</v>
      </c>
      <c r="O657" s="0" t="s">
        <v>1043</v>
      </c>
      <c r="T657" s="0" t="str">
        <f>_xlfn.TEXTJOIN("_",TRUE,C657,"node_eff",D657,M657,N657)</f>
        <v>s1_node_eff_battle_65_6</v>
      </c>
    </row>
    <row r="658" spans="1:20" x14ac:dyDescent="0.45">
      <c r="A658" s="0" t="str">
        <f>_xlfn.TEXTJOIN("_",TRUE,C658,"node",D658,M658,N658)</f>
        <v>s1_node_battle_66_4</v>
      </c>
      <c r="B658" s="0" t="s">
        <v>0</v>
      </c>
      <c r="C658" s="0" t="s">
        <v>26</v>
      </c>
      <c r="D658" s="0" t="s">
        <v>105</v>
      </c>
      <c r="E658" s="0" t="str">
        <f>"s1_node_"&amp;D658&amp;"_name"</f>
        <v>s1_node_battle_name</v>
      </c>
      <c r="F658" s="10" t="str">
        <f>"s1_node_"&amp;D658&amp;"_desc"</f>
        <v>s1_node_battle_desc</v>
      </c>
      <c r="G658" s="0" t="s">
        <v>691</v>
      </c>
      <c r="H658" s="0">
        <v>4</v>
      </c>
      <c r="I658" s="0" t="s">
        <v>27</v>
      </c>
      <c r="J658" s="0" t="s">
        <v>1044</v>
      </c>
      <c r="K658" s="0">
        <v>2730</v>
      </c>
      <c r="L658" s="10">
        <v>3</v>
      </c>
      <c r="M658" s="0">
        <v>66</v>
      </c>
      <c r="N658" s="0">
        <v>4</v>
      </c>
      <c r="O658" s="0" t="s">
        <v>1045</v>
      </c>
      <c r="P658" s="0" t="s">
        <v>1046</v>
      </c>
      <c r="T658" s="0" t="str">
        <f>_xlfn.TEXTJOIN("_",TRUE,C658,"node_eff",D658,M658,N658)</f>
        <v>s1_node_eff_battle_66_4</v>
      </c>
    </row>
    <row r="659" spans="1:20" x14ac:dyDescent="0.45">
      <c r="A659" s="0" t="str">
        <f>_xlfn.TEXTJOIN("_",TRUE,C659,"node",D659,M659,N659)</f>
        <v>s1_node_battle_67_2</v>
      </c>
      <c r="B659" s="0" t="s">
        <v>0</v>
      </c>
      <c r="C659" s="0" t="s">
        <v>26</v>
      </c>
      <c r="D659" s="0" t="s">
        <v>105</v>
      </c>
      <c r="E659" s="0" t="str">
        <f>"s1_node_"&amp;D659&amp;"_name"</f>
        <v>s1_node_battle_name</v>
      </c>
      <c r="F659" s="10" t="str">
        <f>"s1_node_"&amp;D659&amp;"_desc"</f>
        <v>s1_node_battle_desc</v>
      </c>
      <c r="G659" s="0" t="s">
        <v>691</v>
      </c>
      <c r="H659" s="0">
        <v>4</v>
      </c>
      <c r="I659" s="0" t="s">
        <v>27</v>
      </c>
      <c r="J659" s="0" t="s">
        <v>1047</v>
      </c>
      <c r="K659" s="0">
        <v>2770</v>
      </c>
      <c r="L659" s="10">
        <v>3</v>
      </c>
      <c r="M659" s="0">
        <v>67</v>
      </c>
      <c r="N659" s="0">
        <v>2</v>
      </c>
      <c r="O659" s="0" t="s">
        <v>1048</v>
      </c>
      <c r="T659" s="0" t="str">
        <f>_xlfn.TEXTJOIN("_",TRUE,C659,"node_eff",D659,M659,N659)</f>
        <v>s1_node_eff_battle_67_2</v>
      </c>
    </row>
    <row r="660" spans="1:20" x14ac:dyDescent="0.45">
      <c r="A660" s="0" t="str">
        <f>_xlfn.TEXTJOIN("_",TRUE,C660,"node",D660,M660,N660)</f>
        <v>s1_node_battle_67_6</v>
      </c>
      <c r="B660" s="0" t="s">
        <v>0</v>
      </c>
      <c r="C660" s="0" t="s">
        <v>26</v>
      </c>
      <c r="D660" s="0" t="s">
        <v>105</v>
      </c>
      <c r="E660" s="0" t="str">
        <f>"s1_node_"&amp;D660&amp;"_name"</f>
        <v>s1_node_battle_name</v>
      </c>
      <c r="F660" s="10" t="str">
        <f>"s1_node_"&amp;D660&amp;"_desc"</f>
        <v>s1_node_battle_desc</v>
      </c>
      <c r="G660" s="0" t="s">
        <v>691</v>
      </c>
      <c r="H660" s="0">
        <v>4</v>
      </c>
      <c r="I660" s="0" t="s">
        <v>27</v>
      </c>
      <c r="J660" s="0" t="s">
        <v>1047</v>
      </c>
      <c r="K660" s="0">
        <v>2770</v>
      </c>
      <c r="L660" s="10">
        <v>3</v>
      </c>
      <c r="M660" s="0">
        <v>67</v>
      </c>
      <c r="N660" s="0">
        <v>6</v>
      </c>
      <c r="O660" s="0" t="s">
        <v>1048</v>
      </c>
      <c r="T660" s="0" t="str">
        <f>_xlfn.TEXTJOIN("_",TRUE,C660,"node_eff",D660,M660,N660)</f>
        <v>s1_node_eff_battle_67_6</v>
      </c>
    </row>
    <row r="661" spans="1:20" x14ac:dyDescent="0.45">
      <c r="A661" s="0" t="str">
        <f>_xlfn.TEXTJOIN("_",TRUE,C661,"node",D661,M661,N661)</f>
        <v>s1_node_battle_68_2</v>
      </c>
      <c r="B661" s="0" t="s">
        <v>0</v>
      </c>
      <c r="C661" s="0" t="s">
        <v>26</v>
      </c>
      <c r="D661" s="0" t="s">
        <v>105</v>
      </c>
      <c r="E661" s="0" t="str">
        <f>"s1_node_"&amp;D661&amp;"_name"</f>
        <v>s1_node_battle_name</v>
      </c>
      <c r="F661" s="10" t="str">
        <f>"s1_node_"&amp;D661&amp;"_desc"</f>
        <v>s1_node_battle_desc</v>
      </c>
      <c r="G661" s="0" t="s">
        <v>691</v>
      </c>
      <c r="H661" s="0">
        <v>4</v>
      </c>
      <c r="I661" s="0" t="s">
        <v>27</v>
      </c>
      <c r="J661" s="0" t="s">
        <v>1049</v>
      </c>
      <c r="K661" s="0">
        <v>2810</v>
      </c>
      <c r="L661" s="10">
        <v>3</v>
      </c>
      <c r="M661" s="0">
        <v>68</v>
      </c>
      <c r="N661" s="0">
        <v>2</v>
      </c>
      <c r="O661" s="0" t="s">
        <v>1050</v>
      </c>
      <c r="T661" s="0" t="str">
        <f>_xlfn.TEXTJOIN("_",TRUE,C661,"node_eff",D661,M661,N661)</f>
        <v>s1_node_eff_battle_68_2</v>
      </c>
    </row>
    <row r="662" spans="1:20" x14ac:dyDescent="0.45">
      <c r="A662" s="0" t="str">
        <f>_xlfn.TEXTJOIN("_",TRUE,C662,"node",D662,M662,N662)</f>
        <v>s1_node_battle_68_6</v>
      </c>
      <c r="B662" s="0" t="s">
        <v>0</v>
      </c>
      <c r="C662" s="0" t="s">
        <v>26</v>
      </c>
      <c r="D662" s="0" t="s">
        <v>105</v>
      </c>
      <c r="E662" s="0" t="str">
        <f>"s1_node_"&amp;D662&amp;"_name"</f>
        <v>s1_node_battle_name</v>
      </c>
      <c r="F662" s="10" t="str">
        <f>"s1_node_"&amp;D662&amp;"_desc"</f>
        <v>s1_node_battle_desc</v>
      </c>
      <c r="G662" s="0" t="s">
        <v>691</v>
      </c>
      <c r="H662" s="0">
        <v>4</v>
      </c>
      <c r="I662" s="0" t="s">
        <v>27</v>
      </c>
      <c r="J662" s="0" t="s">
        <v>1049</v>
      </c>
      <c r="K662" s="0">
        <v>2810</v>
      </c>
      <c r="L662" s="10">
        <v>3</v>
      </c>
      <c r="M662" s="0">
        <v>68</v>
      </c>
      <c r="N662" s="0">
        <v>6</v>
      </c>
      <c r="O662" s="0" t="s">
        <v>1051</v>
      </c>
      <c r="T662" s="0" t="str">
        <f>_xlfn.TEXTJOIN("_",TRUE,C662,"node_eff",D662,M662,N662)</f>
        <v>s1_node_eff_battle_68_6</v>
      </c>
    </row>
    <row r="663" spans="1:20" x14ac:dyDescent="0.45">
      <c r="A663" s="0" t="str">
        <f>_xlfn.TEXTJOIN("_",TRUE,C663,"node",D663,M663,N663)</f>
        <v>s1_node_battle_69_2</v>
      </c>
      <c r="B663" s="0" t="s">
        <v>0</v>
      </c>
      <c r="C663" s="0" t="s">
        <v>26</v>
      </c>
      <c r="D663" s="0" t="s">
        <v>105</v>
      </c>
      <c r="E663" s="0" t="str">
        <f>"s1_node_"&amp;D663&amp;"_name"</f>
        <v>s1_node_battle_name</v>
      </c>
      <c r="F663" s="10" t="str">
        <f>"s1_node_"&amp;D663&amp;"_desc"</f>
        <v>s1_node_battle_desc</v>
      </c>
      <c r="G663" s="0" t="s">
        <v>691</v>
      </c>
      <c r="H663" s="0">
        <v>4</v>
      </c>
      <c r="I663" s="0" t="s">
        <v>27</v>
      </c>
      <c r="J663" s="0" t="s">
        <v>1052</v>
      </c>
      <c r="K663" s="0">
        <v>2850</v>
      </c>
      <c r="L663" s="10">
        <v>3</v>
      </c>
      <c r="M663" s="0">
        <v>69</v>
      </c>
      <c r="N663" s="0">
        <v>2</v>
      </c>
      <c r="O663" s="0" t="s">
        <v>1053</v>
      </c>
      <c r="T663" s="0" t="str">
        <f>_xlfn.TEXTJOIN("_",TRUE,C663,"node_eff",D663,M663,N663)</f>
        <v>s1_node_eff_battle_69_2</v>
      </c>
    </row>
    <row r="664" spans="1:20" x14ac:dyDescent="0.45">
      <c r="A664" s="0" t="str">
        <f>_xlfn.TEXTJOIN("_",TRUE,C664,"node",D664,M664,N664)</f>
        <v>s1_node_battle_69_6</v>
      </c>
      <c r="B664" s="0" t="s">
        <v>0</v>
      </c>
      <c r="C664" s="0" t="s">
        <v>26</v>
      </c>
      <c r="D664" s="0" t="s">
        <v>105</v>
      </c>
      <c r="E664" s="0" t="str">
        <f>"s1_node_"&amp;D664&amp;"_name"</f>
        <v>s1_node_battle_name</v>
      </c>
      <c r="F664" s="10" t="str">
        <f>"s1_node_"&amp;D664&amp;"_desc"</f>
        <v>s1_node_battle_desc</v>
      </c>
      <c r="G664" s="0" t="s">
        <v>417</v>
      </c>
      <c r="H664" s="0">
        <v>4</v>
      </c>
      <c r="I664" s="0" t="s">
        <v>27</v>
      </c>
      <c r="J664" s="0" t="s">
        <v>1052</v>
      </c>
      <c r="K664" s="0">
        <v>2850</v>
      </c>
      <c r="L664" s="10">
        <v>3</v>
      </c>
      <c r="M664" s="0">
        <v>69</v>
      </c>
      <c r="N664" s="0">
        <v>6</v>
      </c>
      <c r="O664" s="0" t="s">
        <v>1054</v>
      </c>
      <c r="T664" s="0" t="str">
        <f>_xlfn.TEXTJOIN("_",TRUE,C664,"node_eff",D664,M664,N664)</f>
        <v>s1_node_eff_battle_69_6</v>
      </c>
    </row>
    <row r="665" spans="1:20" x14ac:dyDescent="0.45">
      <c r="A665" s="0" t="str">
        <f>_xlfn.TEXTJOIN("_",TRUE,C665,"node",D665,M665,N665)</f>
        <v>s1_node_battle_70_2</v>
      </c>
      <c r="B665" s="0" t="s">
        <v>0</v>
      </c>
      <c r="C665" s="0" t="s">
        <v>26</v>
      </c>
      <c r="D665" s="0" t="s">
        <v>105</v>
      </c>
      <c r="E665" s="0" t="str">
        <f>"s1_node_"&amp;D665&amp;"_name"</f>
        <v>s1_node_battle_name</v>
      </c>
      <c r="F665" s="10" t="str">
        <f>"s1_node_"&amp;D665&amp;"_desc"</f>
        <v>s1_node_battle_desc</v>
      </c>
      <c r="G665" s="0" t="s">
        <v>417</v>
      </c>
      <c r="H665" s="0">
        <v>4</v>
      </c>
      <c r="I665" s="0" t="s">
        <v>27</v>
      </c>
      <c r="J665" s="0" t="s">
        <v>1055</v>
      </c>
      <c r="K665" s="0">
        <v>2880</v>
      </c>
      <c r="L665" s="10">
        <v>3</v>
      </c>
      <c r="M665" s="0">
        <v>70</v>
      </c>
      <c r="N665" s="0">
        <v>2</v>
      </c>
      <c r="O665" s="0" t="s">
        <v>1056</v>
      </c>
      <c r="T665" s="0" t="str">
        <f>_xlfn.TEXTJOIN("_",TRUE,C665,"node_eff",D665,M665,N665)</f>
        <v>s1_node_eff_battle_70_2</v>
      </c>
    </row>
    <row r="666" spans="1:20" x14ac:dyDescent="0.45">
      <c r="A666" s="0" t="str">
        <f>_xlfn.TEXTJOIN("_",TRUE,C666,"node",D666,M666,N666)</f>
        <v>s1_node_battle_70_6</v>
      </c>
      <c r="B666" s="0" t="s">
        <v>0</v>
      </c>
      <c r="C666" s="0" t="s">
        <v>26</v>
      </c>
      <c r="D666" s="0" t="s">
        <v>105</v>
      </c>
      <c r="E666" s="0" t="str">
        <f>"s1_node_"&amp;D666&amp;"_name"</f>
        <v>s1_node_battle_name</v>
      </c>
      <c r="F666" s="10" t="str">
        <f>"s1_node_"&amp;D666&amp;"_desc"</f>
        <v>s1_node_battle_desc</v>
      </c>
      <c r="G666" s="0" t="s">
        <v>691</v>
      </c>
      <c r="H666" s="0">
        <v>4</v>
      </c>
      <c r="I666" s="0" t="s">
        <v>27</v>
      </c>
      <c r="J666" s="0" t="s">
        <v>1055</v>
      </c>
      <c r="K666" s="0">
        <v>2880</v>
      </c>
      <c r="L666" s="10">
        <v>3</v>
      </c>
      <c r="M666" s="0">
        <v>70</v>
      </c>
      <c r="N666" s="0">
        <v>6</v>
      </c>
      <c r="O666" s="0" t="s">
        <v>1057</v>
      </c>
      <c r="T666" s="0" t="str">
        <f>_xlfn.TEXTJOIN("_",TRUE,C666,"node_eff",D666,M666,N666)</f>
        <v>s1_node_eff_battle_70_6</v>
      </c>
    </row>
    <row r="667" spans="1:20" x14ac:dyDescent="0.45">
      <c r="A667" s="0" t="str">
        <f>_xlfn.TEXTJOIN("_",TRUE,C667,"node",D667,M667,N667)</f>
        <v>s1_node_battle_71_4</v>
      </c>
      <c r="B667" s="0" t="s">
        <v>0</v>
      </c>
      <c r="C667" s="0" t="s">
        <v>26</v>
      </c>
      <c r="D667" s="0" t="s">
        <v>105</v>
      </c>
      <c r="E667" s="0" t="str">
        <f>"s1_node_"&amp;D667&amp;"_name"</f>
        <v>s1_node_battle_name</v>
      </c>
      <c r="F667" s="10" t="str">
        <f>"s1_node_"&amp;D667&amp;"_desc"</f>
        <v>s1_node_battle_desc</v>
      </c>
      <c r="G667" s="0" t="s">
        <v>691</v>
      </c>
      <c r="H667" s="0">
        <v>4</v>
      </c>
      <c r="I667" s="0" t="s">
        <v>27</v>
      </c>
      <c r="J667" s="0" t="s">
        <v>1058</v>
      </c>
      <c r="K667" s="0">
        <v>2920</v>
      </c>
      <c r="L667" s="10">
        <v>3</v>
      </c>
      <c r="M667" s="0">
        <v>71</v>
      </c>
      <c r="N667" s="0">
        <v>4</v>
      </c>
      <c r="O667" s="0" t="s">
        <v>1059</v>
      </c>
      <c r="P667" s="0" t="s">
        <v>1060</v>
      </c>
      <c r="T667" s="0" t="str">
        <f>_xlfn.TEXTJOIN("_",TRUE,C667,"node_eff",D667,M667,N667)</f>
        <v>s1_node_eff_battle_71_4</v>
      </c>
    </row>
    <row r="668" spans="1:20" x14ac:dyDescent="0.45">
      <c r="A668" s="0" t="str">
        <f>_xlfn.TEXTJOIN("_",TRUE,C668,"node",D668,M668,N668)</f>
        <v>s1_node_battle_72_2</v>
      </c>
      <c r="B668" s="0" t="s">
        <v>0</v>
      </c>
      <c r="C668" s="0" t="s">
        <v>26</v>
      </c>
      <c r="D668" s="0" t="s">
        <v>105</v>
      </c>
      <c r="E668" s="0" t="str">
        <f>"s1_node_"&amp;D668&amp;"_name"</f>
        <v>s1_node_battle_name</v>
      </c>
      <c r="F668" s="10" t="str">
        <f>"s1_node_"&amp;D668&amp;"_desc"</f>
        <v>s1_node_battle_desc</v>
      </c>
      <c r="G668" s="0" t="s">
        <v>691</v>
      </c>
      <c r="H668" s="0">
        <v>4</v>
      </c>
      <c r="I668" s="0" t="s">
        <v>27</v>
      </c>
      <c r="J668" s="0" t="s">
        <v>369</v>
      </c>
      <c r="K668" s="0">
        <v>2960</v>
      </c>
      <c r="L668" s="10">
        <v>3</v>
      </c>
      <c r="M668" s="0">
        <v>72</v>
      </c>
      <c r="N668" s="0">
        <v>2</v>
      </c>
      <c r="O668" s="0" t="s">
        <v>1061</v>
      </c>
      <c r="T668" s="0" t="str">
        <f>_xlfn.TEXTJOIN("_",TRUE,C668,"node_eff",D668,M668,N668)</f>
        <v>s1_node_eff_battle_72_2</v>
      </c>
    </row>
    <row r="669" spans="1:20" x14ac:dyDescent="0.45">
      <c r="A669" s="0" t="str">
        <f>_xlfn.TEXTJOIN("_",TRUE,C669,"node",D669,M669,N669)</f>
        <v>s1_node_battle_72_6</v>
      </c>
      <c r="B669" s="0" t="s">
        <v>0</v>
      </c>
      <c r="C669" s="0" t="s">
        <v>26</v>
      </c>
      <c r="D669" s="0" t="s">
        <v>105</v>
      </c>
      <c r="E669" s="0" t="str">
        <f>"s1_node_"&amp;D669&amp;"_name"</f>
        <v>s1_node_battle_name</v>
      </c>
      <c r="F669" s="10" t="str">
        <f>"s1_node_"&amp;D669&amp;"_desc"</f>
        <v>s1_node_battle_desc</v>
      </c>
      <c r="G669" s="0" t="s">
        <v>691</v>
      </c>
      <c r="H669" s="0">
        <v>4</v>
      </c>
      <c r="I669" s="0" t="s">
        <v>27</v>
      </c>
      <c r="J669" s="0" t="s">
        <v>369</v>
      </c>
      <c r="K669" s="0">
        <v>2960</v>
      </c>
      <c r="L669" s="10">
        <v>3</v>
      </c>
      <c r="M669" s="0">
        <v>72</v>
      </c>
      <c r="N669" s="0">
        <v>6</v>
      </c>
      <c r="O669" s="0" t="s">
        <v>1061</v>
      </c>
      <c r="T669" s="0" t="str">
        <f>_xlfn.TEXTJOIN("_",TRUE,C669,"node_eff",D669,M669,N669)</f>
        <v>s1_node_eff_battle_72_6</v>
      </c>
    </row>
    <row r="670" spans="1:20" x14ac:dyDescent="0.45">
      <c r="A670" s="0" t="str">
        <f>_xlfn.TEXTJOIN("_",TRUE,C670,"node",D670,M670,N670)</f>
        <v>s1_node_battle_73_2</v>
      </c>
      <c r="B670" s="0" t="s">
        <v>0</v>
      </c>
      <c r="C670" s="0" t="s">
        <v>26</v>
      </c>
      <c r="D670" s="0" t="s">
        <v>105</v>
      </c>
      <c r="E670" s="0" t="str">
        <f>"s1_node_"&amp;D670&amp;"_name"</f>
        <v>s1_node_battle_name</v>
      </c>
      <c r="F670" s="10" t="str">
        <f>"s1_node_"&amp;D670&amp;"_desc"</f>
        <v>s1_node_battle_desc</v>
      </c>
      <c r="G670" s="0" t="s">
        <v>691</v>
      </c>
      <c r="H670" s="0">
        <v>4</v>
      </c>
      <c r="I670" s="0" t="s">
        <v>27</v>
      </c>
      <c r="J670" s="0" t="s">
        <v>372</v>
      </c>
      <c r="K670" s="0">
        <v>3000</v>
      </c>
      <c r="L670" s="10">
        <v>3</v>
      </c>
      <c r="M670" s="0">
        <v>73</v>
      </c>
      <c r="N670" s="0">
        <v>2</v>
      </c>
      <c r="O670" s="0" t="s">
        <v>1062</v>
      </c>
      <c r="T670" s="0" t="str">
        <f>_xlfn.TEXTJOIN("_",TRUE,C670,"node_eff",D670,M670,N670)</f>
        <v>s1_node_eff_battle_73_2</v>
      </c>
    </row>
    <row r="671" spans="1:20" x14ac:dyDescent="0.45">
      <c r="A671" s="0" t="str">
        <f>_xlfn.TEXTJOIN("_",TRUE,C671,"node",D671,M671,N671)</f>
        <v>s1_node_battle_73_6</v>
      </c>
      <c r="B671" s="0" t="s">
        <v>0</v>
      </c>
      <c r="C671" s="0" t="s">
        <v>26</v>
      </c>
      <c r="D671" s="0" t="s">
        <v>105</v>
      </c>
      <c r="E671" s="0" t="str">
        <f>"s1_node_"&amp;D671&amp;"_name"</f>
        <v>s1_node_battle_name</v>
      </c>
      <c r="F671" s="10" t="str">
        <f>"s1_node_"&amp;D671&amp;"_desc"</f>
        <v>s1_node_battle_desc</v>
      </c>
      <c r="G671" s="0" t="s">
        <v>691</v>
      </c>
      <c r="H671" s="0">
        <v>4</v>
      </c>
      <c r="I671" s="0" t="s">
        <v>27</v>
      </c>
      <c r="J671" s="0" t="s">
        <v>372</v>
      </c>
      <c r="K671" s="0">
        <v>3000</v>
      </c>
      <c r="L671" s="10">
        <v>3</v>
      </c>
      <c r="M671" s="0">
        <v>73</v>
      </c>
      <c r="N671" s="0">
        <v>6</v>
      </c>
      <c r="O671" s="0" t="s">
        <v>1063</v>
      </c>
      <c r="T671" s="0" t="str">
        <f>_xlfn.TEXTJOIN("_",TRUE,C671,"node_eff",D671,M671,N671)</f>
        <v>s1_node_eff_battle_73_6</v>
      </c>
    </row>
    <row r="672" spans="1:20" x14ac:dyDescent="0.45">
      <c r="A672" s="0" t="str">
        <f>_xlfn.TEXTJOIN("_",TRUE,C672,"node",D672,M672,N672)</f>
        <v>s1_node_battle_74_2</v>
      </c>
      <c r="B672" s="0" t="s">
        <v>0</v>
      </c>
      <c r="C672" s="0" t="s">
        <v>26</v>
      </c>
      <c r="D672" s="0" t="s">
        <v>105</v>
      </c>
      <c r="E672" s="0" t="str">
        <f>"s1_node_"&amp;D672&amp;"_name"</f>
        <v>s1_node_battle_name</v>
      </c>
      <c r="F672" s="10" t="str">
        <f>"s1_node_"&amp;D672&amp;"_desc"</f>
        <v>s1_node_battle_desc</v>
      </c>
      <c r="G672" s="0" t="s">
        <v>691</v>
      </c>
      <c r="H672" s="0">
        <v>4</v>
      </c>
      <c r="I672" s="0" t="s">
        <v>27</v>
      </c>
      <c r="J672" s="0" t="s">
        <v>621</v>
      </c>
      <c r="K672" s="0">
        <v>3040</v>
      </c>
      <c r="L672" s="10">
        <v>3</v>
      </c>
      <c r="M672" s="0">
        <v>74</v>
      </c>
      <c r="N672" s="0">
        <v>2</v>
      </c>
      <c r="O672" s="0" t="s">
        <v>1064</v>
      </c>
      <c r="T672" s="0" t="str">
        <f>_xlfn.TEXTJOIN("_",TRUE,C672,"node_eff",D672,M672,N672)</f>
        <v>s1_node_eff_battle_74_2</v>
      </c>
    </row>
    <row r="673" spans="1:20" x14ac:dyDescent="0.45">
      <c r="A673" s="0" t="str">
        <f>_xlfn.TEXTJOIN("_",TRUE,C673,"node",D673,M673,N673)</f>
        <v>s1_node_battle_74_6</v>
      </c>
      <c r="B673" s="0" t="s">
        <v>0</v>
      </c>
      <c r="C673" s="0" t="s">
        <v>26</v>
      </c>
      <c r="D673" s="0" t="s">
        <v>105</v>
      </c>
      <c r="E673" s="0" t="str">
        <f>"s1_node_"&amp;D673&amp;"_name"</f>
        <v>s1_node_battle_name</v>
      </c>
      <c r="F673" s="10" t="str">
        <f>"s1_node_"&amp;D673&amp;"_desc"</f>
        <v>s1_node_battle_desc</v>
      </c>
      <c r="G673" s="0" t="s">
        <v>691</v>
      </c>
      <c r="H673" s="0">
        <v>4</v>
      </c>
      <c r="I673" s="0" t="s">
        <v>27</v>
      </c>
      <c r="J673" s="0" t="s">
        <v>621</v>
      </c>
      <c r="K673" s="0">
        <v>3040</v>
      </c>
      <c r="L673" s="10">
        <v>3</v>
      </c>
      <c r="M673" s="0">
        <v>74</v>
      </c>
      <c r="N673" s="0">
        <v>6</v>
      </c>
      <c r="O673" s="0" t="s">
        <v>1065</v>
      </c>
      <c r="T673" s="0" t="str">
        <f>_xlfn.TEXTJOIN("_",TRUE,C673,"node_eff",D673,M673,N673)</f>
        <v>s1_node_eff_battle_74_6</v>
      </c>
    </row>
    <row r="674" spans="1:20" x14ac:dyDescent="0.45">
      <c r="A674" s="0" t="str">
        <f>_xlfn.TEXTJOIN("_",TRUE,C674,"node",D674,M674,N674)</f>
        <v>s1_node_battle_75_2</v>
      </c>
      <c r="B674" s="0" t="s">
        <v>0</v>
      </c>
      <c r="C674" s="0" t="s">
        <v>26</v>
      </c>
      <c r="D674" s="0" t="s">
        <v>105</v>
      </c>
      <c r="E674" s="0" t="str">
        <f>"s1_node_"&amp;D674&amp;"_name"</f>
        <v>s1_node_battle_name</v>
      </c>
      <c r="F674" s="10" t="str">
        <f>"s1_node_"&amp;D674&amp;"_desc"</f>
        <v>s1_node_battle_desc</v>
      </c>
      <c r="G674" s="0" t="s">
        <v>691</v>
      </c>
      <c r="H674" s="0">
        <v>4</v>
      </c>
      <c r="I674" s="0" t="s">
        <v>27</v>
      </c>
      <c r="J674" s="0" t="s">
        <v>624</v>
      </c>
      <c r="K674" s="0">
        <v>3080</v>
      </c>
      <c r="L674" s="10">
        <v>3</v>
      </c>
      <c r="M674" s="0">
        <v>75</v>
      </c>
      <c r="N674" s="0">
        <v>2</v>
      </c>
      <c r="O674" s="0" t="s">
        <v>1066</v>
      </c>
      <c r="T674" s="0" t="str">
        <f>_xlfn.TEXTJOIN("_",TRUE,C674,"node_eff",D674,M674,N674)</f>
        <v>s1_node_eff_battle_75_2</v>
      </c>
    </row>
    <row r="675" spans="1:20" x14ac:dyDescent="0.45">
      <c r="A675" s="0" t="str">
        <f>_xlfn.TEXTJOIN("_",TRUE,C675,"node",D675,M675,N675)</f>
        <v>s1_node_battle_75_6</v>
      </c>
      <c r="B675" s="0" t="s">
        <v>0</v>
      </c>
      <c r="C675" s="0" t="s">
        <v>26</v>
      </c>
      <c r="D675" s="0" t="s">
        <v>105</v>
      </c>
      <c r="E675" s="0" t="str">
        <f>"s1_node_"&amp;D675&amp;"_name"</f>
        <v>s1_node_battle_name</v>
      </c>
      <c r="F675" s="10" t="str">
        <f>"s1_node_"&amp;D675&amp;"_desc"</f>
        <v>s1_node_battle_desc</v>
      </c>
      <c r="G675" s="0" t="s">
        <v>691</v>
      </c>
      <c r="H675" s="0">
        <v>4</v>
      </c>
      <c r="I675" s="0" t="s">
        <v>27</v>
      </c>
      <c r="J675" s="0" t="s">
        <v>624</v>
      </c>
      <c r="K675" s="0">
        <v>3080</v>
      </c>
      <c r="L675" s="10">
        <v>3</v>
      </c>
      <c r="M675" s="0">
        <v>75</v>
      </c>
      <c r="N675" s="0">
        <v>6</v>
      </c>
      <c r="O675" s="0" t="s">
        <v>1067</v>
      </c>
      <c r="T675" s="0" t="str">
        <f>_xlfn.TEXTJOIN("_",TRUE,C675,"node_eff",D675,M675,N675)</f>
        <v>s1_node_eff_battle_75_6</v>
      </c>
    </row>
    <row r="676" spans="1:20" x14ac:dyDescent="0.45">
      <c r="A676" s="0" t="str">
        <f>_xlfn.TEXTJOIN("_",TRUE,C676,"node",D676,M676,N676)</f>
        <v>s1_node_battle_76_4</v>
      </c>
      <c r="B676" s="0" t="s">
        <v>0</v>
      </c>
      <c r="C676" s="0" t="s">
        <v>26</v>
      </c>
      <c r="D676" s="0" t="s">
        <v>105</v>
      </c>
      <c r="E676" s="0" t="str">
        <f>"s1_node_"&amp;D676&amp;"_name"</f>
        <v>s1_node_battle_name</v>
      </c>
      <c r="F676" s="10" t="str">
        <f>"s1_node_"&amp;D676&amp;"_desc"</f>
        <v>s1_node_battle_desc</v>
      </c>
      <c r="G676" s="0" t="s">
        <v>147</v>
      </c>
      <c r="H676" s="0">
        <v>4</v>
      </c>
      <c r="I676" s="0" t="s">
        <v>27</v>
      </c>
      <c r="J676" s="0" t="s">
        <v>850</v>
      </c>
      <c r="K676" s="0">
        <v>3120</v>
      </c>
      <c r="L676" s="10">
        <v>3</v>
      </c>
      <c r="M676" s="0">
        <v>76</v>
      </c>
      <c r="N676" s="0">
        <v>4</v>
      </c>
      <c r="O676" s="0" t="s">
        <v>1068</v>
      </c>
      <c r="P676" s="0" t="s">
        <v>1069</v>
      </c>
      <c r="T676" s="0" t="str">
        <f>_xlfn.TEXTJOIN("_",TRUE,C676,"node_eff",D676,M676,N676)</f>
        <v>s1_node_eff_battle_76_4</v>
      </c>
    </row>
    <row r="677" spans="1:20" x14ac:dyDescent="0.45">
      <c r="A677" s="0" t="str">
        <f>_xlfn.TEXTJOIN("_",TRUE,C677,"node",D677,M677,N677)</f>
        <v>s1_node_battle_77_2</v>
      </c>
      <c r="B677" s="0" t="s">
        <v>0</v>
      </c>
      <c r="C677" s="0" t="s">
        <v>26</v>
      </c>
      <c r="D677" s="0" t="s">
        <v>105</v>
      </c>
      <c r="E677" s="0" t="str">
        <f>"s1_node_"&amp;D677&amp;"_name"</f>
        <v>s1_node_battle_name</v>
      </c>
      <c r="F677" s="10" t="str">
        <f>"s1_node_"&amp;D677&amp;"_desc"</f>
        <v>s1_node_battle_desc</v>
      </c>
      <c r="G677" s="0" t="s">
        <v>417</v>
      </c>
      <c r="H677" s="0">
        <v>4</v>
      </c>
      <c r="I677" s="0" t="s">
        <v>27</v>
      </c>
      <c r="J677" s="0" t="s">
        <v>853</v>
      </c>
      <c r="K677" s="0">
        <v>3160</v>
      </c>
      <c r="L677" s="10">
        <v>3</v>
      </c>
      <c r="M677" s="0">
        <v>77</v>
      </c>
      <c r="N677" s="0">
        <v>2</v>
      </c>
      <c r="O677" s="0" t="s">
        <v>1070</v>
      </c>
      <c r="T677" s="0" t="str">
        <f>_xlfn.TEXTJOIN("_",TRUE,C677,"node_eff",D677,M677,N677)</f>
        <v>s1_node_eff_battle_77_2</v>
      </c>
    </row>
    <row r="678" spans="1:20" x14ac:dyDescent="0.45">
      <c r="A678" s="0" t="str">
        <f>_xlfn.TEXTJOIN("_",TRUE,C678,"node",D678,M678,N678)</f>
        <v>s1_node_battle_77_6</v>
      </c>
      <c r="B678" s="0" t="s">
        <v>0</v>
      </c>
      <c r="C678" s="0" t="s">
        <v>26</v>
      </c>
      <c r="D678" s="0" t="s">
        <v>105</v>
      </c>
      <c r="E678" s="0" t="str">
        <f>"s1_node_"&amp;D678&amp;"_name"</f>
        <v>s1_node_battle_name</v>
      </c>
      <c r="F678" s="10" t="str">
        <f>"s1_node_"&amp;D678&amp;"_desc"</f>
        <v>s1_node_battle_desc</v>
      </c>
      <c r="G678" s="0" t="s">
        <v>691</v>
      </c>
      <c r="H678" s="0">
        <v>4</v>
      </c>
      <c r="I678" s="0" t="s">
        <v>27</v>
      </c>
      <c r="J678" s="0" t="s">
        <v>853</v>
      </c>
      <c r="K678" s="0">
        <v>3160</v>
      </c>
      <c r="L678" s="10">
        <v>3</v>
      </c>
      <c r="M678" s="0">
        <v>77</v>
      </c>
      <c r="N678" s="0">
        <v>6</v>
      </c>
      <c r="O678" s="0" t="s">
        <v>1070</v>
      </c>
      <c r="T678" s="0" t="str">
        <f>_xlfn.TEXTJOIN("_",TRUE,C678,"node_eff",D678,M678,N678)</f>
        <v>s1_node_eff_battle_77_6</v>
      </c>
    </row>
    <row r="679" spans="1:20" x14ac:dyDescent="0.45">
      <c r="A679" s="0" t="str">
        <f>_xlfn.TEXTJOIN("_",TRUE,C679,"node",D679,M679,N679)</f>
        <v>s1_node_battle_78_2</v>
      </c>
      <c r="B679" s="0" t="s">
        <v>0</v>
      </c>
      <c r="C679" s="0" t="s">
        <v>26</v>
      </c>
      <c r="D679" s="0" t="s">
        <v>105</v>
      </c>
      <c r="E679" s="0" t="str">
        <f>"s1_node_"&amp;D679&amp;"_name"</f>
        <v>s1_node_battle_name</v>
      </c>
      <c r="F679" s="10" t="str">
        <f>"s1_node_"&amp;D679&amp;"_desc"</f>
        <v>s1_node_battle_desc</v>
      </c>
      <c r="G679" s="0" t="s">
        <v>691</v>
      </c>
      <c r="H679" s="0">
        <v>4</v>
      </c>
      <c r="I679" s="0" t="s">
        <v>27</v>
      </c>
      <c r="J679" s="0" t="s">
        <v>856</v>
      </c>
      <c r="K679" s="0">
        <v>3200</v>
      </c>
      <c r="L679" s="10">
        <v>3</v>
      </c>
      <c r="M679" s="0">
        <v>78</v>
      </c>
      <c r="N679" s="0">
        <v>2</v>
      </c>
      <c r="O679" s="0" t="s">
        <v>1071</v>
      </c>
      <c r="T679" s="0" t="str">
        <f>_xlfn.TEXTJOIN("_",TRUE,C679,"node_eff",D679,M679,N679)</f>
        <v>s1_node_eff_battle_78_2</v>
      </c>
    </row>
    <row r="680" spans="1:20" x14ac:dyDescent="0.45">
      <c r="A680" s="0" t="str">
        <f>_xlfn.TEXTJOIN("_",TRUE,C680,"node",D680,M680,N680)</f>
        <v>s1_node_battle_78_6</v>
      </c>
      <c r="B680" s="0" t="s">
        <v>0</v>
      </c>
      <c r="C680" s="0" t="s">
        <v>26</v>
      </c>
      <c r="D680" s="0" t="s">
        <v>105</v>
      </c>
      <c r="E680" s="0" t="str">
        <f>"s1_node_"&amp;D680&amp;"_name"</f>
        <v>s1_node_battle_name</v>
      </c>
      <c r="F680" s="10" t="str">
        <f>"s1_node_"&amp;D680&amp;"_desc"</f>
        <v>s1_node_battle_desc</v>
      </c>
      <c r="G680" s="0" t="s">
        <v>691</v>
      </c>
      <c r="H680" s="0">
        <v>4</v>
      </c>
      <c r="I680" s="0" t="s">
        <v>27</v>
      </c>
      <c r="J680" s="0" t="s">
        <v>856</v>
      </c>
      <c r="K680" s="0">
        <v>3200</v>
      </c>
      <c r="L680" s="10">
        <v>3</v>
      </c>
      <c r="M680" s="0">
        <v>78</v>
      </c>
      <c r="N680" s="0">
        <v>6</v>
      </c>
      <c r="O680" s="0" t="s">
        <v>1072</v>
      </c>
      <c r="T680" s="0" t="str">
        <f>_xlfn.TEXTJOIN("_",TRUE,C680,"node_eff",D680,M680,N680)</f>
        <v>s1_node_eff_battle_78_6</v>
      </c>
    </row>
    <row r="681" spans="1:20" x14ac:dyDescent="0.45">
      <c r="A681" s="0" t="str">
        <f>_xlfn.TEXTJOIN("_",TRUE,C681,"node",D681,M681,N681)</f>
        <v>s1_node_battle_79_2</v>
      </c>
      <c r="B681" s="0" t="s">
        <v>0</v>
      </c>
      <c r="C681" s="0" t="s">
        <v>26</v>
      </c>
      <c r="D681" s="0" t="s">
        <v>105</v>
      </c>
      <c r="E681" s="0" t="str">
        <f>"s1_node_"&amp;D681&amp;"_name"</f>
        <v>s1_node_battle_name</v>
      </c>
      <c r="F681" s="10" t="str">
        <f>"s1_node_"&amp;D681&amp;"_desc"</f>
        <v>s1_node_battle_desc</v>
      </c>
      <c r="G681" s="0" t="s">
        <v>691</v>
      </c>
      <c r="H681" s="0">
        <v>4</v>
      </c>
      <c r="I681" s="0" t="s">
        <v>27</v>
      </c>
      <c r="J681" s="0" t="s">
        <v>392</v>
      </c>
      <c r="K681" s="0">
        <v>3240</v>
      </c>
      <c r="L681" s="10">
        <v>3</v>
      </c>
      <c r="M681" s="0">
        <v>79</v>
      </c>
      <c r="N681" s="0">
        <v>2</v>
      </c>
      <c r="O681" s="0" t="s">
        <v>1073</v>
      </c>
      <c r="T681" s="0" t="str">
        <f>_xlfn.TEXTJOIN("_",TRUE,C681,"node_eff",D681,M681,N681)</f>
        <v>s1_node_eff_battle_79_2</v>
      </c>
    </row>
    <row r="682" spans="1:20" x14ac:dyDescent="0.45">
      <c r="A682" s="0" t="str">
        <f>_xlfn.TEXTJOIN("_",TRUE,C682,"node",D682,M682,N682)</f>
        <v>s1_node_battle_79_6</v>
      </c>
      <c r="B682" s="0" t="s">
        <v>0</v>
      </c>
      <c r="C682" s="0" t="s">
        <v>26</v>
      </c>
      <c r="D682" s="0" t="s">
        <v>105</v>
      </c>
      <c r="E682" s="0" t="str">
        <f>"s1_node_"&amp;D682&amp;"_name"</f>
        <v>s1_node_battle_name</v>
      </c>
      <c r="F682" s="10" t="str">
        <f>"s1_node_"&amp;D682&amp;"_desc"</f>
        <v>s1_node_battle_desc</v>
      </c>
      <c r="G682" s="0" t="s">
        <v>691</v>
      </c>
      <c r="H682" s="0">
        <v>4</v>
      </c>
      <c r="I682" s="0" t="s">
        <v>27</v>
      </c>
      <c r="J682" s="0" t="s">
        <v>392</v>
      </c>
      <c r="K682" s="0">
        <v>3240</v>
      </c>
      <c r="L682" s="10">
        <v>3</v>
      </c>
      <c r="M682" s="0">
        <v>79</v>
      </c>
      <c r="N682" s="0">
        <v>6</v>
      </c>
      <c r="O682" s="0" t="s">
        <v>1074</v>
      </c>
      <c r="T682" s="0" t="str">
        <f>_xlfn.TEXTJOIN("_",TRUE,C682,"node_eff",D682,M682,N682)</f>
        <v>s1_node_eff_battle_79_6</v>
      </c>
    </row>
    <row r="683" spans="1:20" x14ac:dyDescent="0.45">
      <c r="A683" s="0" t="str">
        <f>_xlfn.TEXTJOIN("_",TRUE,C683,"node",D683,M683,N683)</f>
        <v>s1_node_battle_80_2</v>
      </c>
      <c r="B683" s="0" t="s">
        <v>0</v>
      </c>
      <c r="C683" s="0" t="s">
        <v>26</v>
      </c>
      <c r="D683" s="0" t="s">
        <v>105</v>
      </c>
      <c r="E683" s="0" t="str">
        <f>"s1_node_"&amp;D683&amp;"_name"</f>
        <v>s1_node_battle_name</v>
      </c>
      <c r="F683" s="10" t="str">
        <f>"s1_node_"&amp;D683&amp;"_desc"</f>
        <v>s1_node_battle_desc</v>
      </c>
      <c r="G683" s="0" t="s">
        <v>691</v>
      </c>
      <c r="H683" s="0">
        <v>4</v>
      </c>
      <c r="I683" s="0" t="s">
        <v>27</v>
      </c>
      <c r="J683" s="0" t="s">
        <v>394</v>
      </c>
      <c r="K683" s="0">
        <v>3280</v>
      </c>
      <c r="L683" s="10">
        <v>3</v>
      </c>
      <c r="M683" s="0">
        <v>80</v>
      </c>
      <c r="N683" s="0">
        <v>2</v>
      </c>
      <c r="O683" s="0" t="s">
        <v>1075</v>
      </c>
      <c r="T683" s="0" t="str">
        <f>_xlfn.TEXTJOIN("_",TRUE,C683,"node_eff",D683,M683,N683)</f>
        <v>s1_node_eff_battle_80_2</v>
      </c>
    </row>
    <row r="684" spans="1:20" x14ac:dyDescent="0.45">
      <c r="A684" s="0" t="str">
        <f>_xlfn.TEXTJOIN("_",TRUE,C684,"node",D684,M684,N684)</f>
        <v>s1_node_battle_80_6</v>
      </c>
      <c r="B684" s="0" t="s">
        <v>0</v>
      </c>
      <c r="C684" s="0" t="s">
        <v>26</v>
      </c>
      <c r="D684" s="0" t="s">
        <v>105</v>
      </c>
      <c r="E684" s="0" t="str">
        <f>"s1_node_"&amp;D684&amp;"_name"</f>
        <v>s1_node_battle_name</v>
      </c>
      <c r="F684" s="10" t="str">
        <f>"s1_node_"&amp;D684&amp;"_desc"</f>
        <v>s1_node_battle_desc</v>
      </c>
      <c r="G684" s="0" t="s">
        <v>691</v>
      </c>
      <c r="H684" s="0">
        <v>4</v>
      </c>
      <c r="I684" s="0" t="s">
        <v>27</v>
      </c>
      <c r="J684" s="0" t="s">
        <v>394</v>
      </c>
      <c r="K684" s="0">
        <v>3280</v>
      </c>
      <c r="L684" s="10">
        <v>3</v>
      </c>
      <c r="M684" s="0">
        <v>80</v>
      </c>
      <c r="N684" s="0">
        <v>6</v>
      </c>
      <c r="O684" s="0" t="s">
        <v>1076</v>
      </c>
      <c r="T684" s="0" t="str">
        <f>_xlfn.TEXTJOIN("_",TRUE,C684,"node_eff",D684,M684,N684)</f>
        <v>s1_node_eff_battle_80_6</v>
      </c>
    </row>
    <row r="685" spans="1:20" x14ac:dyDescent="0.45">
      <c r="A685" s="0" t="str">
        <f>_xlfn.TEXTJOIN("_",TRUE,C685,"node",D685,M685,N685)</f>
        <v>s1_node_battle_81_4</v>
      </c>
      <c r="B685" s="0" t="s">
        <v>0</v>
      </c>
      <c r="C685" s="0" t="s">
        <v>26</v>
      </c>
      <c r="D685" s="0" t="s">
        <v>105</v>
      </c>
      <c r="E685" s="0" t="str">
        <f>"s1_node_"&amp;D685&amp;"_name"</f>
        <v>s1_node_battle_name</v>
      </c>
      <c r="F685" s="10" t="str">
        <f>"s1_node_"&amp;D685&amp;"_desc"</f>
        <v>s1_node_battle_desc</v>
      </c>
      <c r="G685" s="0" t="s">
        <v>691</v>
      </c>
      <c r="H685" s="0">
        <v>5</v>
      </c>
      <c r="I685" s="0" t="s">
        <v>27</v>
      </c>
      <c r="J685" s="0" t="s">
        <v>1077</v>
      </c>
      <c r="K685" s="0">
        <v>3320</v>
      </c>
      <c r="L685" s="10">
        <v>3</v>
      </c>
      <c r="M685" s="0">
        <v>81</v>
      </c>
      <c r="N685" s="0">
        <v>4</v>
      </c>
      <c r="O685" s="0" t="s">
        <v>1078</v>
      </c>
      <c r="P685" s="0" t="s">
        <v>1079</v>
      </c>
      <c r="T685" s="0" t="str">
        <f>_xlfn.TEXTJOIN("_",TRUE,C685,"node_eff",D685,M685,N685)</f>
        <v>s1_node_eff_battle_81_4</v>
      </c>
    </row>
    <row r="686" spans="1:20" x14ac:dyDescent="0.45">
      <c r="A686" s="0" t="str">
        <f>_xlfn.TEXTJOIN("_",TRUE,C686,"node",D686,M686,N686)</f>
        <v>s1_node_battle_82_2</v>
      </c>
      <c r="B686" s="0" t="s">
        <v>0</v>
      </c>
      <c r="C686" s="0" t="s">
        <v>26</v>
      </c>
      <c r="D686" s="0" t="s">
        <v>105</v>
      </c>
      <c r="E686" s="0" t="str">
        <f>"s1_node_"&amp;D686&amp;"_name"</f>
        <v>s1_node_battle_name</v>
      </c>
      <c r="F686" s="10" t="str">
        <f>"s1_node_"&amp;D686&amp;"_desc"</f>
        <v>s1_node_battle_desc</v>
      </c>
      <c r="G686" s="0" t="s">
        <v>691</v>
      </c>
      <c r="H686" s="0">
        <v>5</v>
      </c>
      <c r="I686" s="0" t="s">
        <v>27</v>
      </c>
      <c r="J686" s="0" t="s">
        <v>647</v>
      </c>
      <c r="K686" s="0">
        <v>3360</v>
      </c>
      <c r="L686" s="10">
        <v>3</v>
      </c>
      <c r="M686" s="0">
        <v>82</v>
      </c>
      <c r="N686" s="0">
        <v>2</v>
      </c>
      <c r="O686" s="0" t="s">
        <v>1080</v>
      </c>
      <c r="T686" s="0" t="str">
        <f>_xlfn.TEXTJOIN("_",TRUE,C686,"node_eff",D686,M686,N686)</f>
        <v>s1_node_eff_battle_82_2</v>
      </c>
    </row>
    <row r="687" spans="1:20" x14ac:dyDescent="0.45">
      <c r="A687" s="0" t="str">
        <f>_xlfn.TEXTJOIN("_",TRUE,C687,"node",D687,M687,N687)</f>
        <v>s1_node_battle_82_6</v>
      </c>
      <c r="B687" s="0" t="s">
        <v>0</v>
      </c>
      <c r="C687" s="0" t="s">
        <v>26</v>
      </c>
      <c r="D687" s="0" t="s">
        <v>105</v>
      </c>
      <c r="E687" s="0" t="str">
        <f>"s1_node_"&amp;D687&amp;"_name"</f>
        <v>s1_node_battle_name</v>
      </c>
      <c r="F687" s="10" t="str">
        <f>"s1_node_"&amp;D687&amp;"_desc"</f>
        <v>s1_node_battle_desc</v>
      </c>
      <c r="G687" s="0" t="s">
        <v>691</v>
      </c>
      <c r="H687" s="0">
        <v>5</v>
      </c>
      <c r="I687" s="0" t="s">
        <v>27</v>
      </c>
      <c r="J687" s="0" t="s">
        <v>647</v>
      </c>
      <c r="K687" s="0">
        <v>3360</v>
      </c>
      <c r="L687" s="10">
        <v>3</v>
      </c>
      <c r="M687" s="0">
        <v>82</v>
      </c>
      <c r="N687" s="0">
        <v>6</v>
      </c>
      <c r="O687" s="0" t="s">
        <v>1080</v>
      </c>
      <c r="T687" s="0" t="str">
        <f>_xlfn.TEXTJOIN("_",TRUE,C687,"node_eff",D687,M687,N687)</f>
        <v>s1_node_eff_battle_82_6</v>
      </c>
    </row>
    <row r="688" spans="1:20" x14ac:dyDescent="0.45">
      <c r="A688" s="0" t="str">
        <f>_xlfn.TEXTJOIN("_",TRUE,C688,"node",D688,M688,N688)</f>
        <v>s1_node_battle_83_2</v>
      </c>
      <c r="B688" s="0" t="s">
        <v>0</v>
      </c>
      <c r="C688" s="0" t="s">
        <v>26</v>
      </c>
      <c r="D688" s="0" t="s">
        <v>105</v>
      </c>
      <c r="E688" s="0" t="str">
        <f>"s1_node_"&amp;D688&amp;"_name"</f>
        <v>s1_node_battle_name</v>
      </c>
      <c r="F688" s="10" t="str">
        <f>"s1_node_"&amp;D688&amp;"_desc"</f>
        <v>s1_node_battle_desc</v>
      </c>
      <c r="G688" s="0" t="s">
        <v>147</v>
      </c>
      <c r="H688" s="0">
        <v>5</v>
      </c>
      <c r="I688" s="0" t="s">
        <v>27</v>
      </c>
      <c r="J688" s="0" t="s">
        <v>867</v>
      </c>
      <c r="K688" s="0">
        <v>3390</v>
      </c>
      <c r="L688" s="10">
        <v>3</v>
      </c>
      <c r="M688" s="0">
        <v>83</v>
      </c>
      <c r="N688" s="0">
        <v>2</v>
      </c>
      <c r="O688" s="0" t="s">
        <v>1081</v>
      </c>
      <c r="T688" s="0" t="str">
        <f>_xlfn.TEXTJOIN("_",TRUE,C688,"node_eff",D688,M688,N688)</f>
        <v>s1_node_eff_battle_83_2</v>
      </c>
    </row>
    <row r="689" spans="1:20" x14ac:dyDescent="0.45">
      <c r="A689" s="0" t="str">
        <f>_xlfn.TEXTJOIN("_",TRUE,C689,"node",D689,M689,N689)</f>
        <v>s1_node_battle_83_6</v>
      </c>
      <c r="B689" s="0" t="s">
        <v>0</v>
      </c>
      <c r="C689" s="0" t="s">
        <v>26</v>
      </c>
      <c r="D689" s="0" t="s">
        <v>105</v>
      </c>
      <c r="E689" s="0" t="str">
        <f>"s1_node_"&amp;D689&amp;"_name"</f>
        <v>s1_node_battle_name</v>
      </c>
      <c r="F689" s="10" t="str">
        <f>"s1_node_"&amp;D689&amp;"_desc"</f>
        <v>s1_node_battle_desc</v>
      </c>
      <c r="G689" s="0" t="s">
        <v>417</v>
      </c>
      <c r="H689" s="0">
        <v>5</v>
      </c>
      <c r="I689" s="0" t="s">
        <v>27</v>
      </c>
      <c r="J689" s="0" t="s">
        <v>867</v>
      </c>
      <c r="K689" s="0">
        <v>3390</v>
      </c>
      <c r="L689" s="10">
        <v>3</v>
      </c>
      <c r="M689" s="0">
        <v>83</v>
      </c>
      <c r="N689" s="0">
        <v>6</v>
      </c>
      <c r="O689" s="0" t="s">
        <v>1082</v>
      </c>
      <c r="T689" s="0" t="str">
        <f>_xlfn.TEXTJOIN("_",TRUE,C689,"node_eff",D689,M689,N689)</f>
        <v>s1_node_eff_battle_83_6</v>
      </c>
    </row>
    <row r="690" spans="1:20" x14ac:dyDescent="0.45">
      <c r="A690" s="0" t="str">
        <f>_xlfn.TEXTJOIN("_",TRUE,C690,"node",D690,M690,N690)</f>
        <v>s1_node_battle_84_2</v>
      </c>
      <c r="B690" s="0" t="s">
        <v>0</v>
      </c>
      <c r="C690" s="0" t="s">
        <v>26</v>
      </c>
      <c r="D690" s="0" t="s">
        <v>105</v>
      </c>
      <c r="E690" s="0" t="str">
        <f>"s1_node_"&amp;D690&amp;"_name"</f>
        <v>s1_node_battle_name</v>
      </c>
      <c r="F690" s="10" t="str">
        <f>"s1_node_"&amp;D690&amp;"_desc"</f>
        <v>s1_node_battle_desc</v>
      </c>
      <c r="G690" s="0" t="s">
        <v>417</v>
      </c>
      <c r="H690" s="0">
        <v>5</v>
      </c>
      <c r="I690" s="0" t="s">
        <v>27</v>
      </c>
      <c r="J690" s="0" t="s">
        <v>870</v>
      </c>
      <c r="K690" s="0">
        <v>3430</v>
      </c>
      <c r="L690" s="10">
        <v>3</v>
      </c>
      <c r="M690" s="0">
        <v>84</v>
      </c>
      <c r="N690" s="0">
        <v>2</v>
      </c>
      <c r="O690" s="0" t="s">
        <v>1083</v>
      </c>
      <c r="T690" s="0" t="str">
        <f>_xlfn.TEXTJOIN("_",TRUE,C690,"node_eff",D690,M690,N690)</f>
        <v>s1_node_eff_battle_84_2</v>
      </c>
    </row>
    <row r="691" spans="1:20" x14ac:dyDescent="0.45">
      <c r="A691" s="0" t="str">
        <f>_xlfn.TEXTJOIN("_",TRUE,C691,"node",D691,M691,N691)</f>
        <v>s1_node_battle_84_6</v>
      </c>
      <c r="B691" s="0" t="s">
        <v>0</v>
      </c>
      <c r="C691" s="0" t="s">
        <v>26</v>
      </c>
      <c r="D691" s="0" t="s">
        <v>105</v>
      </c>
      <c r="E691" s="0" t="str">
        <f>"s1_node_"&amp;D691&amp;"_name"</f>
        <v>s1_node_battle_name</v>
      </c>
      <c r="F691" s="10" t="str">
        <f>"s1_node_"&amp;D691&amp;"_desc"</f>
        <v>s1_node_battle_desc</v>
      </c>
      <c r="G691" s="0" t="s">
        <v>691</v>
      </c>
      <c r="H691" s="0">
        <v>5</v>
      </c>
      <c r="I691" s="0" t="s">
        <v>27</v>
      </c>
      <c r="J691" s="0" t="s">
        <v>870</v>
      </c>
      <c r="K691" s="0">
        <v>3430</v>
      </c>
      <c r="L691" s="10">
        <v>3</v>
      </c>
      <c r="M691" s="0">
        <v>84</v>
      </c>
      <c r="N691" s="0">
        <v>6</v>
      </c>
      <c r="O691" s="0" t="s">
        <v>1084</v>
      </c>
      <c r="T691" s="0" t="str">
        <f>_xlfn.TEXTJOIN("_",TRUE,C691,"node_eff",D691,M691,N691)</f>
        <v>s1_node_eff_battle_84_6</v>
      </c>
    </row>
    <row r="692" spans="1:20" x14ac:dyDescent="0.45">
      <c r="A692" s="0" t="str">
        <f>_xlfn.TEXTJOIN("_",TRUE,C692,"node",D692,M692,N692)</f>
        <v>s1_node_battle_85_2</v>
      </c>
      <c r="B692" s="0" t="s">
        <v>0</v>
      </c>
      <c r="C692" s="0" t="s">
        <v>26</v>
      </c>
      <c r="D692" s="0" t="s">
        <v>105</v>
      </c>
      <c r="E692" s="0" t="str">
        <f>"s1_node_"&amp;D692&amp;"_name"</f>
        <v>s1_node_battle_name</v>
      </c>
      <c r="F692" s="10" t="str">
        <f>"s1_node_"&amp;D692&amp;"_desc"</f>
        <v>s1_node_battle_desc</v>
      </c>
      <c r="G692" s="0" t="s">
        <v>691</v>
      </c>
      <c r="H692" s="0">
        <v>5</v>
      </c>
      <c r="I692" s="0" t="s">
        <v>27</v>
      </c>
      <c r="J692" s="0" t="s">
        <v>655</v>
      </c>
      <c r="K692" s="0">
        <v>3470</v>
      </c>
      <c r="L692" s="10">
        <v>3</v>
      </c>
      <c r="M692" s="0">
        <v>85</v>
      </c>
      <c r="N692" s="0">
        <v>2</v>
      </c>
      <c r="O692" s="0" t="s">
        <v>1085</v>
      </c>
      <c r="T692" s="0" t="str">
        <f>_xlfn.TEXTJOIN("_",TRUE,C692,"node_eff",D692,M692,N692)</f>
        <v>s1_node_eff_battle_85_2</v>
      </c>
    </row>
    <row r="693" spans="1:20" x14ac:dyDescent="0.45">
      <c r="A693" s="0" t="str">
        <f>_xlfn.TEXTJOIN("_",TRUE,C693,"node",D693,M693,N693)</f>
        <v>s1_node_battle_85_6</v>
      </c>
      <c r="B693" s="0" t="s">
        <v>0</v>
      </c>
      <c r="C693" s="0" t="s">
        <v>26</v>
      </c>
      <c r="D693" s="0" t="s">
        <v>105</v>
      </c>
      <c r="E693" s="0" t="str">
        <f>"s1_node_"&amp;D693&amp;"_name"</f>
        <v>s1_node_battle_name</v>
      </c>
      <c r="F693" s="10" t="str">
        <f>"s1_node_"&amp;D693&amp;"_desc"</f>
        <v>s1_node_battle_desc</v>
      </c>
      <c r="G693" s="0" t="s">
        <v>691</v>
      </c>
      <c r="H693" s="0">
        <v>5</v>
      </c>
      <c r="I693" s="0" t="s">
        <v>27</v>
      </c>
      <c r="J693" s="0" t="s">
        <v>655</v>
      </c>
      <c r="K693" s="0">
        <v>3470</v>
      </c>
      <c r="L693" s="10">
        <v>3</v>
      </c>
      <c r="M693" s="0">
        <v>85</v>
      </c>
      <c r="N693" s="0">
        <v>6</v>
      </c>
      <c r="O693" s="0" t="s">
        <v>1086</v>
      </c>
      <c r="T693" s="0" t="str">
        <f>_xlfn.TEXTJOIN("_",TRUE,C693,"node_eff",D693,M693,N693)</f>
        <v>s1_node_eff_battle_85_6</v>
      </c>
    </row>
    <row r="694" spans="1:20" x14ac:dyDescent="0.45">
      <c r="A694" s="0" t="str">
        <f>_xlfn.TEXTJOIN("_",TRUE,C694,"node",D694,M694,N694)</f>
        <v>s1_node_battle_86_4</v>
      </c>
      <c r="B694" s="0" t="s">
        <v>0</v>
      </c>
      <c r="C694" s="0" t="s">
        <v>26</v>
      </c>
      <c r="D694" s="0" t="s">
        <v>105</v>
      </c>
      <c r="E694" s="0" t="str">
        <f>"s1_node_"&amp;D694&amp;"_name"</f>
        <v>s1_node_battle_name</v>
      </c>
      <c r="F694" s="10" t="str">
        <f>"s1_node_"&amp;D694&amp;"_desc"</f>
        <v>s1_node_battle_desc</v>
      </c>
      <c r="G694" s="0" t="s">
        <v>691</v>
      </c>
      <c r="H694" s="0">
        <v>5</v>
      </c>
      <c r="I694" s="0" t="s">
        <v>27</v>
      </c>
      <c r="J694" s="0" t="s">
        <v>658</v>
      </c>
      <c r="K694" s="0">
        <v>3510</v>
      </c>
      <c r="L694" s="10">
        <v>3</v>
      </c>
      <c r="M694" s="0">
        <v>86</v>
      </c>
      <c r="N694" s="0">
        <v>4</v>
      </c>
      <c r="O694" s="0" t="s">
        <v>1087</v>
      </c>
      <c r="P694" s="0" t="s">
        <v>1088</v>
      </c>
      <c r="T694" s="0" t="str">
        <f>_xlfn.TEXTJOIN("_",TRUE,C694,"node_eff",D694,M694,N694)</f>
        <v>s1_node_eff_battle_86_4</v>
      </c>
    </row>
    <row r="695" spans="1:20" x14ac:dyDescent="0.45">
      <c r="A695" s="0" t="str">
        <f>_xlfn.TEXTJOIN("_",TRUE,C695,"node",D695,M695,N695)</f>
        <v>s1_node_battle_87_2</v>
      </c>
      <c r="B695" s="0" t="s">
        <v>0</v>
      </c>
      <c r="C695" s="0" t="s">
        <v>26</v>
      </c>
      <c r="D695" s="0" t="s">
        <v>105</v>
      </c>
      <c r="E695" s="0" t="str">
        <f>"s1_node_"&amp;D695&amp;"_name"</f>
        <v>s1_node_battle_name</v>
      </c>
      <c r="F695" s="10" t="str">
        <f>"s1_node_"&amp;D695&amp;"_desc"</f>
        <v>s1_node_battle_desc</v>
      </c>
      <c r="G695" s="0" t="s">
        <v>691</v>
      </c>
      <c r="H695" s="0">
        <v>5</v>
      </c>
      <c r="I695" s="0" t="s">
        <v>27</v>
      </c>
      <c r="J695" s="0" t="s">
        <v>1089</v>
      </c>
      <c r="K695" s="0">
        <v>3550</v>
      </c>
      <c r="L695" s="10">
        <v>3</v>
      </c>
      <c r="M695" s="0">
        <v>87</v>
      </c>
      <c r="N695" s="0">
        <v>2</v>
      </c>
      <c r="O695" s="0" t="s">
        <v>1090</v>
      </c>
      <c r="T695" s="0" t="str">
        <f>_xlfn.TEXTJOIN("_",TRUE,C695,"node_eff",D695,M695,N695)</f>
        <v>s1_node_eff_battle_87_2</v>
      </c>
    </row>
    <row r="696" spans="1:20" x14ac:dyDescent="0.45">
      <c r="A696" s="0" t="str">
        <f>_xlfn.TEXTJOIN("_",TRUE,C696,"node",D696,M696,N696)</f>
        <v>s1_node_battle_87_6</v>
      </c>
      <c r="B696" s="0" t="s">
        <v>0</v>
      </c>
      <c r="C696" s="0" t="s">
        <v>26</v>
      </c>
      <c r="D696" s="0" t="s">
        <v>105</v>
      </c>
      <c r="E696" s="0" t="str">
        <f>"s1_node_"&amp;D696&amp;"_name"</f>
        <v>s1_node_battle_name</v>
      </c>
      <c r="F696" s="10" t="str">
        <f>"s1_node_"&amp;D696&amp;"_desc"</f>
        <v>s1_node_battle_desc</v>
      </c>
      <c r="G696" s="0" t="s">
        <v>691</v>
      </c>
      <c r="H696" s="0">
        <v>5</v>
      </c>
      <c r="I696" s="0" t="s">
        <v>27</v>
      </c>
      <c r="J696" s="0" t="s">
        <v>1089</v>
      </c>
      <c r="K696" s="0">
        <v>3550</v>
      </c>
      <c r="L696" s="10">
        <v>3</v>
      </c>
      <c r="M696" s="0">
        <v>87</v>
      </c>
      <c r="N696" s="0">
        <v>6</v>
      </c>
      <c r="O696" s="0" t="s">
        <v>1090</v>
      </c>
      <c r="T696" s="0" t="str">
        <f>_xlfn.TEXTJOIN("_",TRUE,C696,"node_eff",D696,M696,N696)</f>
        <v>s1_node_eff_battle_87_6</v>
      </c>
    </row>
    <row r="697" spans="1:20" x14ac:dyDescent="0.45">
      <c r="A697" s="0" t="str">
        <f>_xlfn.TEXTJOIN("_",TRUE,C697,"node",D697,M697,N697)</f>
        <v>s1_node_battle_88_2</v>
      </c>
      <c r="B697" s="0" t="s">
        <v>0</v>
      </c>
      <c r="C697" s="0" t="s">
        <v>26</v>
      </c>
      <c r="D697" s="0" t="s">
        <v>105</v>
      </c>
      <c r="E697" s="0" t="str">
        <f>"s1_node_"&amp;D697&amp;"_name"</f>
        <v>s1_node_battle_name</v>
      </c>
      <c r="F697" s="10" t="str">
        <f>"s1_node_"&amp;D697&amp;"_desc"</f>
        <v>s1_node_battle_desc</v>
      </c>
      <c r="G697" s="0" t="s">
        <v>691</v>
      </c>
      <c r="H697" s="0">
        <v>5</v>
      </c>
      <c r="I697" s="0" t="s">
        <v>27</v>
      </c>
      <c r="J697" s="0" t="s">
        <v>1091</v>
      </c>
      <c r="K697" s="0">
        <v>3590</v>
      </c>
      <c r="L697" s="10">
        <v>3</v>
      </c>
      <c r="M697" s="0">
        <v>88</v>
      </c>
      <c r="N697" s="0">
        <v>2</v>
      </c>
      <c r="O697" s="0" t="s">
        <v>1092</v>
      </c>
      <c r="T697" s="0" t="str">
        <f>_xlfn.TEXTJOIN("_",TRUE,C697,"node_eff",D697,M697,N697)</f>
        <v>s1_node_eff_battle_88_2</v>
      </c>
    </row>
    <row r="698" spans="1:20" x14ac:dyDescent="0.45">
      <c r="A698" s="0" t="str">
        <f>_xlfn.TEXTJOIN("_",TRUE,C698,"node",D698,M698,N698)</f>
        <v>s1_node_battle_88_6</v>
      </c>
      <c r="B698" s="0" t="s">
        <v>0</v>
      </c>
      <c r="C698" s="0" t="s">
        <v>26</v>
      </c>
      <c r="D698" s="0" t="s">
        <v>105</v>
      </c>
      <c r="E698" s="0" t="str">
        <f>"s1_node_"&amp;D698&amp;"_name"</f>
        <v>s1_node_battle_name</v>
      </c>
      <c r="F698" s="10" t="str">
        <f>"s1_node_"&amp;D698&amp;"_desc"</f>
        <v>s1_node_battle_desc</v>
      </c>
      <c r="G698" s="0" t="s">
        <v>691</v>
      </c>
      <c r="H698" s="0">
        <v>5</v>
      </c>
      <c r="I698" s="0" t="s">
        <v>27</v>
      </c>
      <c r="J698" s="0" t="s">
        <v>1091</v>
      </c>
      <c r="K698" s="0">
        <v>3590</v>
      </c>
      <c r="L698" s="10">
        <v>3</v>
      </c>
      <c r="M698" s="0">
        <v>88</v>
      </c>
      <c r="N698" s="0">
        <v>6</v>
      </c>
      <c r="O698" s="0" t="s">
        <v>1093</v>
      </c>
      <c r="T698" s="0" t="str">
        <f>_xlfn.TEXTJOIN("_",TRUE,C698,"node_eff",D698,M698,N698)</f>
        <v>s1_node_eff_battle_88_6</v>
      </c>
    </row>
    <row r="699" spans="1:20" x14ac:dyDescent="0.45">
      <c r="A699" s="0" t="str">
        <f>_xlfn.TEXTJOIN("_",TRUE,C699,"node",D699,M699,N699)</f>
        <v>s1_node_battle_89_2</v>
      </c>
      <c r="B699" s="0" t="s">
        <v>0</v>
      </c>
      <c r="C699" s="0" t="s">
        <v>26</v>
      </c>
      <c r="D699" s="0" t="s">
        <v>105</v>
      </c>
      <c r="E699" s="0" t="str">
        <f>"s1_node_"&amp;D699&amp;"_name"</f>
        <v>s1_node_battle_name</v>
      </c>
      <c r="F699" s="10" t="str">
        <f>"s1_node_"&amp;D699&amp;"_desc"</f>
        <v>s1_node_battle_desc</v>
      </c>
      <c r="G699" s="0" t="s">
        <v>691</v>
      </c>
      <c r="H699" s="0">
        <v>5</v>
      </c>
      <c r="I699" s="0" t="s">
        <v>27</v>
      </c>
      <c r="J699" s="0" t="s">
        <v>1094</v>
      </c>
      <c r="K699" s="0">
        <v>3630</v>
      </c>
      <c r="L699" s="10">
        <v>3</v>
      </c>
      <c r="M699" s="0">
        <v>89</v>
      </c>
      <c r="N699" s="0">
        <v>2</v>
      </c>
      <c r="O699" s="0" t="s">
        <v>1095</v>
      </c>
      <c r="T699" s="0" t="str">
        <f>_xlfn.TEXTJOIN("_",TRUE,C699,"node_eff",D699,M699,N699)</f>
        <v>s1_node_eff_battle_89_2</v>
      </c>
    </row>
    <row r="700" spans="1:20" x14ac:dyDescent="0.45">
      <c r="A700" s="0" t="str">
        <f>_xlfn.TEXTJOIN("_",TRUE,C700,"node",D700,M700,N700)</f>
        <v>s1_node_battle_89_6</v>
      </c>
      <c r="B700" s="0" t="s">
        <v>0</v>
      </c>
      <c r="C700" s="0" t="s">
        <v>26</v>
      </c>
      <c r="D700" s="0" t="s">
        <v>105</v>
      </c>
      <c r="E700" s="0" t="str">
        <f>"s1_node_"&amp;D700&amp;"_name"</f>
        <v>s1_node_battle_name</v>
      </c>
      <c r="F700" s="10" t="str">
        <f>"s1_node_"&amp;D700&amp;"_desc"</f>
        <v>s1_node_battle_desc</v>
      </c>
      <c r="G700" s="0" t="s">
        <v>147</v>
      </c>
      <c r="H700" s="0">
        <v>5</v>
      </c>
      <c r="I700" s="0" t="s">
        <v>27</v>
      </c>
      <c r="J700" s="0" t="s">
        <v>1094</v>
      </c>
      <c r="K700" s="0">
        <v>3630</v>
      </c>
      <c r="L700" s="10">
        <v>3</v>
      </c>
      <c r="M700" s="0">
        <v>89</v>
      </c>
      <c r="N700" s="0">
        <v>6</v>
      </c>
      <c r="O700" s="0" t="s">
        <v>1096</v>
      </c>
      <c r="T700" s="0" t="str">
        <f>_xlfn.TEXTJOIN("_",TRUE,C700,"node_eff",D700,M700,N700)</f>
        <v>s1_node_eff_battle_89_6</v>
      </c>
    </row>
    <row r="701" spans="1:20" x14ac:dyDescent="0.45">
      <c r="A701" s="0" t="str">
        <f>_xlfn.TEXTJOIN("_",TRUE,C701,"node",D701,M701,N701)</f>
        <v>s1_node_battle_90_2</v>
      </c>
      <c r="B701" s="0" t="s">
        <v>0</v>
      </c>
      <c r="C701" s="0" t="s">
        <v>26</v>
      </c>
      <c r="D701" s="0" t="s">
        <v>105</v>
      </c>
      <c r="E701" s="0" t="str">
        <f>"s1_node_"&amp;D701&amp;"_name"</f>
        <v>s1_node_battle_name</v>
      </c>
      <c r="F701" s="10" t="str">
        <f>"s1_node_"&amp;D701&amp;"_desc"</f>
        <v>s1_node_battle_desc</v>
      </c>
      <c r="G701" s="0" t="s">
        <v>417</v>
      </c>
      <c r="H701" s="0">
        <v>5</v>
      </c>
      <c r="I701" s="0" t="s">
        <v>27</v>
      </c>
      <c r="J701" s="0" t="s">
        <v>1097</v>
      </c>
      <c r="K701" s="0">
        <v>3670</v>
      </c>
      <c r="L701" s="10">
        <v>3</v>
      </c>
      <c r="M701" s="0">
        <v>90</v>
      </c>
      <c r="N701" s="0">
        <v>2</v>
      </c>
      <c r="O701" s="0" t="s">
        <v>1098</v>
      </c>
      <c r="T701" s="0" t="str">
        <f>_xlfn.TEXTJOIN("_",TRUE,C701,"node_eff",D701,M701,N701)</f>
        <v>s1_node_eff_battle_90_2</v>
      </c>
    </row>
    <row r="702" spans="1:20" x14ac:dyDescent="0.45">
      <c r="A702" s="0" t="str">
        <f>_xlfn.TEXTJOIN("_",TRUE,C702,"node",D702,M702,N702)</f>
        <v>s1_node_battle_90_6</v>
      </c>
      <c r="B702" s="0" t="s">
        <v>0</v>
      </c>
      <c r="C702" s="0" t="s">
        <v>26</v>
      </c>
      <c r="D702" s="0" t="s">
        <v>105</v>
      </c>
      <c r="E702" s="0" t="str">
        <f>"s1_node_"&amp;D702&amp;"_name"</f>
        <v>s1_node_battle_name</v>
      </c>
      <c r="F702" s="10" t="str">
        <f>"s1_node_"&amp;D702&amp;"_desc"</f>
        <v>s1_node_battle_desc</v>
      </c>
      <c r="G702" s="0" t="s">
        <v>417</v>
      </c>
      <c r="H702" s="0">
        <v>5</v>
      </c>
      <c r="I702" s="0" t="s">
        <v>27</v>
      </c>
      <c r="J702" s="0" t="s">
        <v>1097</v>
      </c>
      <c r="K702" s="0">
        <v>3670</v>
      </c>
      <c r="L702" s="10">
        <v>3</v>
      </c>
      <c r="M702" s="0">
        <v>90</v>
      </c>
      <c r="N702" s="0">
        <v>6</v>
      </c>
      <c r="O702" s="0" t="s">
        <v>1099</v>
      </c>
      <c r="T702" s="0" t="str">
        <f>_xlfn.TEXTJOIN("_",TRUE,C702,"node_eff",D702,M702,N702)</f>
        <v>s1_node_eff_battle_90_6</v>
      </c>
    </row>
    <row r="703" spans="1:20" x14ac:dyDescent="0.45">
      <c r="A703" s="0" t="str">
        <f>_xlfn.TEXTJOIN("_",TRUE,C703,"node",D703,M703,N703)</f>
        <v>s1_node_battle_91_4</v>
      </c>
      <c r="B703" s="0" t="s">
        <v>0</v>
      </c>
      <c r="C703" s="0" t="s">
        <v>26</v>
      </c>
      <c r="D703" s="0" t="s">
        <v>105</v>
      </c>
      <c r="E703" s="0" t="str">
        <f>"s1_node_"&amp;D703&amp;"_name"</f>
        <v>s1_node_battle_name</v>
      </c>
      <c r="F703" s="10" t="str">
        <f>"s1_node_"&amp;D703&amp;"_desc"</f>
        <v>s1_node_battle_desc</v>
      </c>
      <c r="G703" s="0" t="s">
        <v>691</v>
      </c>
      <c r="H703" s="0">
        <v>5</v>
      </c>
      <c r="I703" s="0" t="s">
        <v>27</v>
      </c>
      <c r="J703" s="0" t="s">
        <v>1100</v>
      </c>
      <c r="K703" s="0">
        <v>3710</v>
      </c>
      <c r="L703" s="10">
        <v>3</v>
      </c>
      <c r="M703" s="0">
        <v>91</v>
      </c>
      <c r="N703" s="0">
        <v>4</v>
      </c>
      <c r="O703" s="0" t="s">
        <v>1101</v>
      </c>
      <c r="P703" s="0" t="s">
        <v>1102</v>
      </c>
      <c r="T703" s="0" t="str">
        <f>_xlfn.TEXTJOIN("_",TRUE,C703,"node_eff",D703,M703,N703)</f>
        <v>s1_node_eff_battle_91_4</v>
      </c>
    </row>
    <row r="704" spans="1:20" x14ac:dyDescent="0.45">
      <c r="A704" s="0" t="str">
        <f>_xlfn.TEXTJOIN("_",TRUE,C704,"node",D704,M704,N704)</f>
        <v>s1_node_battle_92_2</v>
      </c>
      <c r="B704" s="0" t="s">
        <v>0</v>
      </c>
      <c r="C704" s="0" t="s">
        <v>26</v>
      </c>
      <c r="D704" s="0" t="s">
        <v>105</v>
      </c>
      <c r="E704" s="0" t="str">
        <f>"s1_node_"&amp;D704&amp;"_name"</f>
        <v>s1_node_battle_name</v>
      </c>
      <c r="F704" s="10" t="str">
        <f>"s1_node_"&amp;D704&amp;"_desc"</f>
        <v>s1_node_battle_desc</v>
      </c>
      <c r="G704" s="0" t="s">
        <v>691</v>
      </c>
      <c r="H704" s="0">
        <v>5</v>
      </c>
      <c r="I704" s="0" t="s">
        <v>27</v>
      </c>
      <c r="J704" s="0" t="s">
        <v>1103</v>
      </c>
      <c r="K704" s="0">
        <v>3750</v>
      </c>
      <c r="L704" s="10">
        <v>3</v>
      </c>
      <c r="M704" s="0">
        <v>92</v>
      </c>
      <c r="N704" s="0">
        <v>2</v>
      </c>
      <c r="O704" s="0" t="s">
        <v>1104</v>
      </c>
      <c r="T704" s="0" t="str">
        <f>_xlfn.TEXTJOIN("_",TRUE,C704,"node_eff",D704,M704,N704)</f>
        <v>s1_node_eff_battle_92_2</v>
      </c>
    </row>
    <row r="705" spans="1:20" x14ac:dyDescent="0.45">
      <c r="A705" s="0" t="str">
        <f>_xlfn.TEXTJOIN("_",TRUE,C705,"node",D705,M705,N705)</f>
        <v>s1_node_battle_92_6</v>
      </c>
      <c r="B705" s="0" t="s">
        <v>0</v>
      </c>
      <c r="C705" s="0" t="s">
        <v>26</v>
      </c>
      <c r="D705" s="0" t="s">
        <v>105</v>
      </c>
      <c r="E705" s="0" t="str">
        <f>"s1_node_"&amp;D705&amp;"_name"</f>
        <v>s1_node_battle_name</v>
      </c>
      <c r="F705" s="10" t="str">
        <f>"s1_node_"&amp;D705&amp;"_desc"</f>
        <v>s1_node_battle_desc</v>
      </c>
      <c r="G705" s="0" t="s">
        <v>691</v>
      </c>
      <c r="H705" s="0">
        <v>5</v>
      </c>
      <c r="I705" s="0" t="s">
        <v>27</v>
      </c>
      <c r="J705" s="0" t="s">
        <v>1103</v>
      </c>
      <c r="K705" s="0">
        <v>3750</v>
      </c>
      <c r="L705" s="10">
        <v>3</v>
      </c>
      <c r="M705" s="0">
        <v>92</v>
      </c>
      <c r="N705" s="0">
        <v>6</v>
      </c>
      <c r="O705" s="0" t="s">
        <v>1104</v>
      </c>
      <c r="T705" s="0" t="str">
        <f>_xlfn.TEXTJOIN("_",TRUE,C705,"node_eff",D705,M705,N705)</f>
        <v>s1_node_eff_battle_92_6</v>
      </c>
    </row>
    <row r="706" spans="1:20" x14ac:dyDescent="0.45">
      <c r="A706" s="0" t="str">
        <f>_xlfn.TEXTJOIN("_",TRUE,C706,"node",D706,M706,N706)</f>
        <v>s1_node_battle_93_2</v>
      </c>
      <c r="B706" s="0" t="s">
        <v>0</v>
      </c>
      <c r="C706" s="0" t="s">
        <v>26</v>
      </c>
      <c r="D706" s="0" t="s">
        <v>105</v>
      </c>
      <c r="E706" s="0" t="str">
        <f>"s1_node_"&amp;D706&amp;"_name"</f>
        <v>s1_node_battle_name</v>
      </c>
      <c r="F706" s="10" t="str">
        <f>"s1_node_"&amp;D706&amp;"_desc"</f>
        <v>s1_node_battle_desc</v>
      </c>
      <c r="G706" s="0" t="s">
        <v>691</v>
      </c>
      <c r="H706" s="0">
        <v>5</v>
      </c>
      <c r="I706" s="0" t="s">
        <v>27</v>
      </c>
      <c r="J706" s="0" t="s">
        <v>1105</v>
      </c>
      <c r="K706" s="0">
        <v>3790</v>
      </c>
      <c r="L706" s="10">
        <v>3</v>
      </c>
      <c r="M706" s="0">
        <v>93</v>
      </c>
      <c r="N706" s="0">
        <v>2</v>
      </c>
      <c r="O706" s="0" t="s">
        <v>1106</v>
      </c>
      <c r="T706" s="0" t="str">
        <f>_xlfn.TEXTJOIN("_",TRUE,C706,"node_eff",D706,M706,N706)</f>
        <v>s1_node_eff_battle_93_2</v>
      </c>
    </row>
    <row r="707" spans="1:20" x14ac:dyDescent="0.45">
      <c r="A707" s="0" t="str">
        <f>_xlfn.TEXTJOIN("_",TRUE,C707,"node",D707,M707,N707)</f>
        <v>s1_node_battle_93_6</v>
      </c>
      <c r="B707" s="0" t="s">
        <v>0</v>
      </c>
      <c r="C707" s="0" t="s">
        <v>26</v>
      </c>
      <c r="D707" s="0" t="s">
        <v>105</v>
      </c>
      <c r="E707" s="0" t="str">
        <f>"s1_node_"&amp;D707&amp;"_name"</f>
        <v>s1_node_battle_name</v>
      </c>
      <c r="F707" s="10" t="str">
        <f>"s1_node_"&amp;D707&amp;"_desc"</f>
        <v>s1_node_battle_desc</v>
      </c>
      <c r="G707" s="0" t="s">
        <v>691</v>
      </c>
      <c r="H707" s="0">
        <v>5</v>
      </c>
      <c r="I707" s="0" t="s">
        <v>27</v>
      </c>
      <c r="J707" s="0" t="s">
        <v>1105</v>
      </c>
      <c r="K707" s="0">
        <v>3790</v>
      </c>
      <c r="L707" s="10">
        <v>3</v>
      </c>
      <c r="M707" s="0">
        <v>93</v>
      </c>
      <c r="N707" s="0">
        <v>6</v>
      </c>
      <c r="O707" s="0" t="s">
        <v>1107</v>
      </c>
      <c r="T707" s="0" t="str">
        <f>_xlfn.TEXTJOIN("_",TRUE,C707,"node_eff",D707,M707,N707)</f>
        <v>s1_node_eff_battle_93_6</v>
      </c>
    </row>
    <row r="708" spans="1:20" x14ac:dyDescent="0.45">
      <c r="A708" s="0" t="str">
        <f>_xlfn.TEXTJOIN("_",TRUE,C708,"node",D708,M708,N708)</f>
        <v>s1_node_battle_94_2</v>
      </c>
      <c r="B708" s="0" t="s">
        <v>0</v>
      </c>
      <c r="C708" s="0" t="s">
        <v>26</v>
      </c>
      <c r="D708" s="0" t="s">
        <v>105</v>
      </c>
      <c r="E708" s="0" t="str">
        <f>"s1_node_"&amp;D708&amp;"_name"</f>
        <v>s1_node_battle_name</v>
      </c>
      <c r="F708" s="10" t="str">
        <f>"s1_node_"&amp;D708&amp;"_desc"</f>
        <v>s1_node_battle_desc</v>
      </c>
      <c r="G708" s="0" t="s">
        <v>691</v>
      </c>
      <c r="H708" s="0">
        <v>5</v>
      </c>
      <c r="I708" s="0" t="s">
        <v>27</v>
      </c>
      <c r="J708" s="0" t="s">
        <v>1108</v>
      </c>
      <c r="K708" s="0">
        <v>3830</v>
      </c>
      <c r="L708" s="10">
        <v>3</v>
      </c>
      <c r="M708" s="0">
        <v>94</v>
      </c>
      <c r="N708" s="0">
        <v>2</v>
      </c>
      <c r="O708" s="0" t="s">
        <v>1109</v>
      </c>
      <c r="T708" s="0" t="str">
        <f>_xlfn.TEXTJOIN("_",TRUE,C708,"node_eff",D708,M708,N708)</f>
        <v>s1_node_eff_battle_94_2</v>
      </c>
    </row>
    <row r="709" spans="1:20" x14ac:dyDescent="0.45">
      <c r="A709" s="0" t="str">
        <f>_xlfn.TEXTJOIN("_",TRUE,C709,"node",D709,M709,N709)</f>
        <v>s1_node_battle_94_6</v>
      </c>
      <c r="B709" s="0" t="s">
        <v>0</v>
      </c>
      <c r="C709" s="0" t="s">
        <v>26</v>
      </c>
      <c r="D709" s="0" t="s">
        <v>105</v>
      </c>
      <c r="E709" s="0" t="str">
        <f>"s1_node_"&amp;D709&amp;"_name"</f>
        <v>s1_node_battle_name</v>
      </c>
      <c r="F709" s="10" t="str">
        <f>"s1_node_"&amp;D709&amp;"_desc"</f>
        <v>s1_node_battle_desc</v>
      </c>
      <c r="G709" s="0" t="s">
        <v>691</v>
      </c>
      <c r="H709" s="0">
        <v>5</v>
      </c>
      <c r="I709" s="0" t="s">
        <v>27</v>
      </c>
      <c r="J709" s="0" t="s">
        <v>1108</v>
      </c>
      <c r="K709" s="0">
        <v>3830</v>
      </c>
      <c r="L709" s="10">
        <v>3</v>
      </c>
      <c r="M709" s="0">
        <v>94</v>
      </c>
      <c r="N709" s="0">
        <v>6</v>
      </c>
      <c r="O709" s="0" t="s">
        <v>1110</v>
      </c>
      <c r="T709" s="0" t="str">
        <f>_xlfn.TEXTJOIN("_",TRUE,C709,"node_eff",D709,M709,N709)</f>
        <v>s1_node_eff_battle_94_6</v>
      </c>
    </row>
    <row r="710" spans="1:20" x14ac:dyDescent="0.45">
      <c r="A710" s="0" t="str">
        <f>_xlfn.TEXTJOIN("_",TRUE,C710,"node",D710,M710,N710)</f>
        <v>s1_node_battle_95_2</v>
      </c>
      <c r="B710" s="0" t="s">
        <v>0</v>
      </c>
      <c r="C710" s="0" t="s">
        <v>26</v>
      </c>
      <c r="D710" s="0" t="s">
        <v>105</v>
      </c>
      <c r="E710" s="0" t="str">
        <f>"s1_node_"&amp;D710&amp;"_name"</f>
        <v>s1_node_battle_name</v>
      </c>
      <c r="F710" s="10" t="str">
        <f>"s1_node_"&amp;D710&amp;"_desc"</f>
        <v>s1_node_battle_desc</v>
      </c>
      <c r="G710" s="0" t="s">
        <v>691</v>
      </c>
      <c r="H710" s="0">
        <v>5</v>
      </c>
      <c r="I710" s="0" t="s">
        <v>27</v>
      </c>
      <c r="J710" s="0" t="s">
        <v>1111</v>
      </c>
      <c r="K710" s="0">
        <v>3860</v>
      </c>
      <c r="L710" s="10">
        <v>3</v>
      </c>
      <c r="M710" s="0">
        <v>95</v>
      </c>
      <c r="N710" s="0">
        <v>2</v>
      </c>
      <c r="O710" s="0" t="s">
        <v>1112</v>
      </c>
      <c r="T710" s="0" t="str">
        <f>_xlfn.TEXTJOIN("_",TRUE,C710,"node_eff",D710,M710,N710)</f>
        <v>s1_node_eff_battle_95_2</v>
      </c>
    </row>
    <row r="711" spans="1:20" x14ac:dyDescent="0.45">
      <c r="A711" s="0" t="str">
        <f>_xlfn.TEXTJOIN("_",TRUE,C711,"node",D711,M711,N711)</f>
        <v>s1_node_battle_95_6</v>
      </c>
      <c r="B711" s="0" t="s">
        <v>0</v>
      </c>
      <c r="C711" s="0" t="s">
        <v>26</v>
      </c>
      <c r="D711" s="0" t="s">
        <v>105</v>
      </c>
      <c r="E711" s="0" t="str">
        <f>"s1_node_"&amp;D711&amp;"_name"</f>
        <v>s1_node_battle_name</v>
      </c>
      <c r="F711" s="10" t="str">
        <f>"s1_node_"&amp;D711&amp;"_desc"</f>
        <v>s1_node_battle_desc</v>
      </c>
      <c r="G711" s="0" t="s">
        <v>691</v>
      </c>
      <c r="H711" s="0">
        <v>5</v>
      </c>
      <c r="I711" s="0" t="s">
        <v>27</v>
      </c>
      <c r="J711" s="0" t="s">
        <v>1111</v>
      </c>
      <c r="K711" s="0">
        <v>3860</v>
      </c>
      <c r="L711" s="10">
        <v>3</v>
      </c>
      <c r="M711" s="0">
        <v>95</v>
      </c>
      <c r="N711" s="0">
        <v>6</v>
      </c>
      <c r="O711" s="0" t="s">
        <v>1113</v>
      </c>
      <c r="T711" s="0" t="str">
        <f>_xlfn.TEXTJOIN("_",TRUE,C711,"node_eff",D711,M711,N711)</f>
        <v>s1_node_eff_battle_95_6</v>
      </c>
    </row>
    <row r="712" spans="1:20" x14ac:dyDescent="0.45">
      <c r="A712" s="0" t="str">
        <f>_xlfn.TEXTJOIN("_",TRUE,C712,"node",D712,M712,N712)</f>
        <v>s1_node_battle_96_4</v>
      </c>
      <c r="B712" s="0" t="s">
        <v>0</v>
      </c>
      <c r="C712" s="0" t="s">
        <v>26</v>
      </c>
      <c r="D712" s="0" t="s">
        <v>105</v>
      </c>
      <c r="E712" s="0" t="str">
        <f>"s1_node_"&amp;D712&amp;"_name"</f>
        <v>s1_node_battle_name</v>
      </c>
      <c r="F712" s="10" t="str">
        <f>"s1_node_"&amp;D712&amp;"_desc"</f>
        <v>s1_node_battle_desc</v>
      </c>
      <c r="G712" s="0" t="s">
        <v>691</v>
      </c>
      <c r="H712" s="0">
        <v>5</v>
      </c>
      <c r="I712" s="0" t="s">
        <v>27</v>
      </c>
      <c r="J712" s="0" t="s">
        <v>1114</v>
      </c>
      <c r="K712" s="0">
        <v>3900</v>
      </c>
      <c r="L712" s="10">
        <v>3</v>
      </c>
      <c r="M712" s="0">
        <v>96</v>
      </c>
      <c r="N712" s="0">
        <v>4</v>
      </c>
      <c r="O712" s="0" t="s">
        <v>1115</v>
      </c>
      <c r="P712" s="0" t="s">
        <v>1116</v>
      </c>
      <c r="T712" s="0" t="str">
        <f>_xlfn.TEXTJOIN("_",TRUE,C712,"node_eff",D712,M712,N712)</f>
        <v>s1_node_eff_battle_96_4</v>
      </c>
    </row>
    <row r="713" spans="1:20" x14ac:dyDescent="0.45">
      <c r="A713" s="0" t="str">
        <f>_xlfn.TEXTJOIN("_",TRUE,C713,"node",D713,M713,N713)</f>
        <v>s1_node_battle_97_2</v>
      </c>
      <c r="B713" s="0" t="s">
        <v>0</v>
      </c>
      <c r="C713" s="0" t="s">
        <v>26</v>
      </c>
      <c r="D713" s="0" t="s">
        <v>105</v>
      </c>
      <c r="E713" s="0" t="str">
        <f>"s1_node_"&amp;D713&amp;"_name"</f>
        <v>s1_node_battle_name</v>
      </c>
      <c r="F713" s="10" t="str">
        <f>"s1_node_"&amp;D713&amp;"_desc"</f>
        <v>s1_node_battle_desc</v>
      </c>
      <c r="G713" s="0" t="s">
        <v>147</v>
      </c>
      <c r="H713" s="0">
        <v>5</v>
      </c>
      <c r="I713" s="0" t="s">
        <v>27</v>
      </c>
      <c r="J713" s="0" t="s">
        <v>1117</v>
      </c>
      <c r="K713" s="0">
        <v>3940</v>
      </c>
      <c r="L713" s="10">
        <v>3</v>
      </c>
      <c r="M713" s="0">
        <v>97</v>
      </c>
      <c r="N713" s="0">
        <v>2</v>
      </c>
      <c r="O713" s="0" t="s">
        <v>1118</v>
      </c>
      <c r="T713" s="0" t="str">
        <f>_xlfn.TEXTJOIN("_",TRUE,C713,"node_eff",D713,M713,N713)</f>
        <v>s1_node_eff_battle_97_2</v>
      </c>
    </row>
    <row r="714" spans="1:20" x14ac:dyDescent="0.45">
      <c r="A714" s="0" t="str">
        <f>_xlfn.TEXTJOIN("_",TRUE,C714,"node",D714,M714,N714)</f>
        <v>s1_node_battle_97_6</v>
      </c>
      <c r="B714" s="0" t="s">
        <v>0</v>
      </c>
      <c r="C714" s="0" t="s">
        <v>26</v>
      </c>
      <c r="D714" s="0" t="s">
        <v>105</v>
      </c>
      <c r="E714" s="0" t="str">
        <f>"s1_node_"&amp;D714&amp;"_name"</f>
        <v>s1_node_battle_name</v>
      </c>
      <c r="F714" s="10" t="str">
        <f>"s1_node_"&amp;D714&amp;"_desc"</f>
        <v>s1_node_battle_desc</v>
      </c>
      <c r="G714" s="0" t="s">
        <v>417</v>
      </c>
      <c r="H714" s="0">
        <v>5</v>
      </c>
      <c r="I714" s="0" t="s">
        <v>27</v>
      </c>
      <c r="J714" s="0" t="s">
        <v>1117</v>
      </c>
      <c r="K714" s="0">
        <v>3940</v>
      </c>
      <c r="L714" s="10">
        <v>3</v>
      </c>
      <c r="M714" s="0">
        <v>97</v>
      </c>
      <c r="N714" s="0">
        <v>6</v>
      </c>
      <c r="O714" s="0" t="s">
        <v>1118</v>
      </c>
      <c r="T714" s="0" t="str">
        <f>_xlfn.TEXTJOIN("_",TRUE,C714,"node_eff",D714,M714,N714)</f>
        <v>s1_node_eff_battle_97_6</v>
      </c>
    </row>
    <row r="715" spans="1:20" x14ac:dyDescent="0.45">
      <c r="A715" s="0" t="str">
        <f>_xlfn.TEXTJOIN("_",TRUE,C715,"node",D715,M715,N715)</f>
        <v>s1_node_battle_98_2</v>
      </c>
      <c r="B715" s="0" t="s">
        <v>0</v>
      </c>
      <c r="C715" s="0" t="s">
        <v>26</v>
      </c>
      <c r="D715" s="0" t="s">
        <v>105</v>
      </c>
      <c r="E715" s="0" t="str">
        <f>"s1_node_"&amp;D715&amp;"_name"</f>
        <v>s1_node_battle_name</v>
      </c>
      <c r="F715" s="10" t="str">
        <f>"s1_node_"&amp;D715&amp;"_desc"</f>
        <v>s1_node_battle_desc</v>
      </c>
      <c r="G715" s="0" t="s">
        <v>691</v>
      </c>
      <c r="H715" s="0">
        <v>5</v>
      </c>
      <c r="I715" s="0" t="s">
        <v>27</v>
      </c>
      <c r="J715" s="0" t="s">
        <v>1119</v>
      </c>
      <c r="K715" s="0">
        <v>3980</v>
      </c>
      <c r="L715" s="10">
        <v>3</v>
      </c>
      <c r="M715" s="0">
        <v>98</v>
      </c>
      <c r="N715" s="0">
        <v>2</v>
      </c>
      <c r="O715" s="0" t="s">
        <v>1120</v>
      </c>
      <c r="T715" s="0" t="str">
        <f>_xlfn.TEXTJOIN("_",TRUE,C715,"node_eff",D715,M715,N715)</f>
        <v>s1_node_eff_battle_98_2</v>
      </c>
    </row>
    <row r="716" spans="1:20" x14ac:dyDescent="0.45">
      <c r="A716" s="0" t="str">
        <f>_xlfn.TEXTJOIN("_",TRUE,C716,"node",D716,M716,N716)</f>
        <v>s1_node_battle_98_6</v>
      </c>
      <c r="B716" s="0" t="s">
        <v>0</v>
      </c>
      <c r="C716" s="0" t="s">
        <v>26</v>
      </c>
      <c r="D716" s="0" t="s">
        <v>105</v>
      </c>
      <c r="E716" s="0" t="str">
        <f>"s1_node_"&amp;D716&amp;"_name"</f>
        <v>s1_node_battle_name</v>
      </c>
      <c r="F716" s="10" t="str">
        <f>"s1_node_"&amp;D716&amp;"_desc"</f>
        <v>s1_node_battle_desc</v>
      </c>
      <c r="G716" s="0" t="s">
        <v>691</v>
      </c>
      <c r="H716" s="0">
        <v>5</v>
      </c>
      <c r="I716" s="0" t="s">
        <v>27</v>
      </c>
      <c r="J716" s="0" t="s">
        <v>1119</v>
      </c>
      <c r="K716" s="0">
        <v>3980</v>
      </c>
      <c r="L716" s="10">
        <v>3</v>
      </c>
      <c r="M716" s="0">
        <v>98</v>
      </c>
      <c r="N716" s="0">
        <v>6</v>
      </c>
      <c r="O716" s="0" t="s">
        <v>1121</v>
      </c>
      <c r="T716" s="0" t="str">
        <f>_xlfn.TEXTJOIN("_",TRUE,C716,"node_eff",D716,M716,N716)</f>
        <v>s1_node_eff_battle_98_6</v>
      </c>
    </row>
    <row r="717" spans="1:20" x14ac:dyDescent="0.45">
      <c r="A717" s="0" t="str">
        <f>_xlfn.TEXTJOIN("_",TRUE,C717,"node",D717,M717,N717)</f>
        <v>s1_node_battle_99_2</v>
      </c>
      <c r="B717" s="0" t="s">
        <v>0</v>
      </c>
      <c r="C717" s="0" t="s">
        <v>26</v>
      </c>
      <c r="D717" s="0" t="s">
        <v>105</v>
      </c>
      <c r="E717" s="0" t="str">
        <f>"s1_node_"&amp;D717&amp;"_name"</f>
        <v>s1_node_battle_name</v>
      </c>
      <c r="F717" s="10" t="str">
        <f>"s1_node_"&amp;D717&amp;"_desc"</f>
        <v>s1_node_battle_desc</v>
      </c>
      <c r="G717" s="0" t="s">
        <v>691</v>
      </c>
      <c r="H717" s="0">
        <v>5</v>
      </c>
      <c r="I717" s="0" t="s">
        <v>27</v>
      </c>
      <c r="J717" s="0" t="s">
        <v>1122</v>
      </c>
      <c r="K717" s="0">
        <v>4020</v>
      </c>
      <c r="L717" s="10">
        <v>3</v>
      </c>
      <c r="M717" s="0">
        <v>99</v>
      </c>
      <c r="N717" s="0">
        <v>2</v>
      </c>
      <c r="O717" s="0" t="s">
        <v>1123</v>
      </c>
      <c r="T717" s="0" t="str">
        <f>_xlfn.TEXTJOIN("_",TRUE,C717,"node_eff",D717,M717,N717)</f>
        <v>s1_node_eff_battle_99_2</v>
      </c>
    </row>
    <row r="718" spans="1:20" x14ac:dyDescent="0.45">
      <c r="A718" s="0" t="str">
        <f>_xlfn.TEXTJOIN("_",TRUE,C718,"node",D718,M718,N718)</f>
        <v>s1_node_battle_99_6</v>
      </c>
      <c r="B718" s="0" t="s">
        <v>0</v>
      </c>
      <c r="C718" s="0" t="s">
        <v>26</v>
      </c>
      <c r="D718" s="0" t="s">
        <v>105</v>
      </c>
      <c r="E718" s="0" t="str">
        <f>"s1_node_"&amp;D718&amp;"_name"</f>
        <v>s1_node_battle_name</v>
      </c>
      <c r="F718" s="10" t="str">
        <f>"s1_node_"&amp;D718&amp;"_desc"</f>
        <v>s1_node_battle_desc</v>
      </c>
      <c r="G718" s="0" t="s">
        <v>691</v>
      </c>
      <c r="H718" s="0">
        <v>5</v>
      </c>
      <c r="I718" s="0" t="s">
        <v>27</v>
      </c>
      <c r="J718" s="0" t="s">
        <v>1122</v>
      </c>
      <c r="K718" s="0">
        <v>4020</v>
      </c>
      <c r="L718" s="10">
        <v>3</v>
      </c>
      <c r="M718" s="0">
        <v>99</v>
      </c>
      <c r="N718" s="0">
        <v>6</v>
      </c>
      <c r="O718" s="0" t="s">
        <v>1124</v>
      </c>
      <c r="T718" s="0" t="str">
        <f>_xlfn.TEXTJOIN("_",TRUE,C718,"node_eff",D718,M718,N718)</f>
        <v>s1_node_eff_battle_99_6</v>
      </c>
    </row>
    <row r="719" spans="1:20" x14ac:dyDescent="0.45">
      <c r="A719" s="0" t="str">
        <f>_xlfn.TEXTJOIN("_",TRUE,C719,"node",D719,M719,N719)</f>
        <v>s1_node_battle_100_4</v>
      </c>
      <c r="B719" s="0" t="s">
        <v>0</v>
      </c>
      <c r="C719" s="0" t="s">
        <v>26</v>
      </c>
      <c r="D719" s="0" t="s">
        <v>105</v>
      </c>
      <c r="E719" s="0" t="str">
        <f>"s1_node_"&amp;D719&amp;"_name"</f>
        <v>s1_node_battle_name</v>
      </c>
      <c r="F719" s="10" t="str">
        <f>"s1_node_"&amp;D719&amp;"_desc"</f>
        <v>s1_node_battle_desc</v>
      </c>
      <c r="G719" s="0" t="s">
        <v>691</v>
      </c>
      <c r="H719" s="0">
        <v>5</v>
      </c>
      <c r="I719" s="0" t="s">
        <v>27</v>
      </c>
      <c r="J719" s="0" t="s">
        <v>1125</v>
      </c>
      <c r="K719" s="0">
        <v>4060</v>
      </c>
      <c r="L719" s="10">
        <v>3</v>
      </c>
      <c r="M719" s="0">
        <v>100</v>
      </c>
      <c r="N719" s="0">
        <v>4</v>
      </c>
      <c r="O719" s="0" t="s">
        <v>1126</v>
      </c>
      <c r="P719" s="0" t="s">
        <v>1127</v>
      </c>
      <c r="T719" s="0" t="str">
        <f>_xlfn.TEXTJOIN("_",TRUE,C719,"node_eff",D719,M719,N719)</f>
        <v>s1_node_eff_battle_100_4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5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400-000000000000}" mc:Ignorable="x14ac xr xr2 xr3">
  <sheetPr>
    <outlinePr summaryBelow="1" summaryRight="1"/>
  </sheetPr>
  <dimension ref="A1:E18"/>
  <sheetViews>
    <sheetView workbookViewId="0"/>
    <sheetView workbookViewId="1"/>
  </sheetViews>
  <sheetFormatPr defaultRowHeight="17" x14ac:dyDescent="0.45"/>
  <cols>
    <col min="1" max="1" width="17.082031" style="0" customWidth="1"/>
    <col min="2" max="2" width="10.332031" style="0" customWidth="1"/>
    <col min="3" max="3" width="14.582031" style="0" customWidth="1"/>
    <col min="4" max="4" width="11.082031" style="0" customWidth="1"/>
    <col min="5" max="5" width="16" style="0" customWidth="1"/>
    <col min="6" max="6" width="13.332031" style="0" customWidth="1"/>
  </cols>
  <sheetData>
    <row r="1" spans="1:6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</row>
    <row r="2" spans="1:6" x14ac:dyDescent="0.45">
      <c r="A2" s="0" t="s">
        <v>1</v>
      </c>
      <c r="C2" s="0" t="s">
        <v>2</v>
      </c>
      <c r="D2" s="0" t="s">
        <v>1128</v>
      </c>
      <c r="E2" s="0" t="s">
        <v>1129</v>
      </c>
    </row>
    <row r="3" spans="1:6" s="1" customFormat="1" x14ac:dyDescent="0.45">
      <c r="A3" s="1" t="s">
        <v>13</v>
      </c>
      <c r="B3" s="1" t="s">
        <v>14</v>
      </c>
      <c r="C3" s="1" t="s">
        <v>15</v>
      </c>
      <c r="D3" s="1" t="s">
        <v>100</v>
      </c>
      <c r="E3" s="1" t="s">
        <v>1130</v>
      </c>
    </row>
    <row r="4" spans="1:6" x14ac:dyDescent="0.45">
      <c r="A4" s="0" t="str">
        <f t="shared" ref="A4:A18" si="0">_xlfn.TEXTJOIN("_",TRUE,C4,"dic_story",D4)</f>
        <v>s1_dic_story_1</v>
      </c>
      <c r="B4" s="0" t="s">
        <v>0</v>
      </c>
      <c r="C4" s="0" t="s">
        <v>26</v>
      </c>
      <c r="D4" s="0">
        <v>1</v>
      </c>
      <c r="E4" s="0" t="s">
        <v>1131</v>
      </c>
    </row>
    <row r="5" spans="1:6" x14ac:dyDescent="0.45">
      <c r="A5" s="0" t="str">
        <f t="shared" si="0"/>
        <v>s1_dic_story_2</v>
      </c>
      <c r="B5" s="0" t="s">
        <v>0</v>
      </c>
      <c r="C5" s="0" t="s">
        <v>26</v>
      </c>
      <c r="D5" s="0">
        <v>2</v>
      </c>
      <c r="E5" s="0" t="s">
        <v>1132</v>
      </c>
    </row>
    <row r="6" spans="1:6" x14ac:dyDescent="0.45">
      <c r="A6" s="0" t="str">
        <f t="shared" si="0"/>
        <v>s1_dic_story_3</v>
      </c>
      <c r="B6" s="0" t="s">
        <v>0</v>
      </c>
      <c r="C6" s="0" t="s">
        <v>26</v>
      </c>
      <c r="D6" s="0">
        <v>3</v>
      </c>
      <c r="E6" s="0" t="s">
        <v>1133</v>
      </c>
    </row>
    <row r="7" spans="1:6" x14ac:dyDescent="0.45">
      <c r="A7" s="0" t="str">
        <f t="shared" si="0"/>
        <v>s1_dic_story_4</v>
      </c>
      <c r="B7" s="0" t="s">
        <v>0</v>
      </c>
      <c r="C7" s="0" t="s">
        <v>26</v>
      </c>
      <c r="D7" s="0">
        <v>4</v>
      </c>
      <c r="E7" s="0" t="s">
        <v>1134</v>
      </c>
    </row>
    <row r="8" spans="1:6" x14ac:dyDescent="0.45">
      <c r="A8" s="0" t="str">
        <f t="shared" si="0"/>
        <v>s1_dic_story_5</v>
      </c>
      <c r="B8" s="0" t="s">
        <v>0</v>
      </c>
      <c r="C8" s="0" t="s">
        <v>26</v>
      </c>
      <c r="D8" s="0">
        <v>5</v>
      </c>
      <c r="E8" s="0" t="s">
        <v>1135</v>
      </c>
    </row>
    <row r="9" spans="1:6" x14ac:dyDescent="0.45">
      <c r="A9" s="0" t="str">
        <f t="shared" si="0"/>
        <v>s1_dic_story_6</v>
      </c>
      <c r="B9" s="0" t="s">
        <v>0</v>
      </c>
      <c r="C9" s="0" t="s">
        <v>26</v>
      </c>
      <c r="D9" s="0">
        <v>6</v>
      </c>
      <c r="E9" s="0" t="s">
        <v>1136</v>
      </c>
    </row>
    <row r="10" spans="1:6" x14ac:dyDescent="0.45">
      <c r="A10" s="0" t="str">
        <f t="shared" si="0"/>
        <v>s1_dic_story_7</v>
      </c>
      <c r="B10" s="0" t="s">
        <v>0</v>
      </c>
      <c r="C10" s="0" t="s">
        <v>26</v>
      </c>
      <c r="D10" s="0">
        <v>7</v>
      </c>
      <c r="E10" s="0" t="s">
        <v>1137</v>
      </c>
    </row>
    <row r="11" spans="1:6" x14ac:dyDescent="0.45">
      <c r="A11" s="0" t="str">
        <f t="shared" si="0"/>
        <v>s1_dic_story_8</v>
      </c>
      <c r="B11" s="0" t="s">
        <v>0</v>
      </c>
      <c r="C11" s="0" t="s">
        <v>26</v>
      </c>
      <c r="D11" s="0">
        <v>8</v>
      </c>
      <c r="E11" s="0" t="s">
        <v>1138</v>
      </c>
    </row>
    <row r="12" spans="1:6" x14ac:dyDescent="0.45">
      <c r="A12" s="0" t="str">
        <f t="shared" si="0"/>
        <v>s1_dic_story_9</v>
      </c>
      <c r="B12" s="0" t="s">
        <v>0</v>
      </c>
      <c r="C12" s="0" t="s">
        <v>26</v>
      </c>
      <c r="D12" s="0">
        <v>9</v>
      </c>
      <c r="E12" s="0" t="s">
        <v>1139</v>
      </c>
    </row>
    <row r="13" spans="1:6" x14ac:dyDescent="0.45">
      <c r="A13" s="0" t="str">
        <f t="shared" si="0"/>
        <v>s1_dic_story_10</v>
      </c>
      <c r="B13" s="0" t="s">
        <v>0</v>
      </c>
      <c r="C13" s="0" t="s">
        <v>26</v>
      </c>
      <c r="D13" s="0">
        <v>10</v>
      </c>
      <c r="E13" s="0" t="s">
        <v>1140</v>
      </c>
    </row>
    <row r="14" spans="1:6" x14ac:dyDescent="0.45">
      <c r="A14" s="0" t="str">
        <f t="shared" si="0"/>
        <v>s1_dic_story_11</v>
      </c>
      <c r="B14" s="0" t="s">
        <v>0</v>
      </c>
      <c r="C14" s="0" t="s">
        <v>26</v>
      </c>
      <c r="D14" s="0">
        <v>11</v>
      </c>
      <c r="E14" s="0" t="s">
        <v>1141</v>
      </c>
    </row>
    <row r="15" spans="1:6" x14ac:dyDescent="0.45">
      <c r="A15" s="0" t="str">
        <f t="shared" si="0"/>
        <v>s1_dic_story_12</v>
      </c>
      <c r="B15" s="0" t="s">
        <v>0</v>
      </c>
      <c r="C15" s="0" t="s">
        <v>26</v>
      </c>
      <c r="D15" s="0">
        <v>12</v>
      </c>
      <c r="E15" s="0" t="s">
        <v>1142</v>
      </c>
    </row>
    <row r="16" spans="1:6" x14ac:dyDescent="0.45">
      <c r="A16" s="0" t="str">
        <f t="shared" si="0"/>
        <v>s1_dic_story_13</v>
      </c>
      <c r="B16" s="0" t="s">
        <v>0</v>
      </c>
      <c r="C16" s="0" t="s">
        <v>26</v>
      </c>
      <c r="D16" s="0">
        <v>13</v>
      </c>
      <c r="E16" s="0" t="s">
        <v>1143</v>
      </c>
    </row>
    <row r="17" spans="1:6" x14ac:dyDescent="0.45">
      <c r="A17" s="0" t="str">
        <f t="shared" si="0"/>
        <v>s1_dic_story_14</v>
      </c>
      <c r="B17" s="0" t="s">
        <v>0</v>
      </c>
      <c r="C17" s="0" t="s">
        <v>26</v>
      </c>
      <c r="D17" s="0">
        <v>14</v>
      </c>
      <c r="E17" s="0" t="s">
        <v>1144</v>
      </c>
    </row>
    <row r="18" spans="1:6" x14ac:dyDescent="0.45">
      <c r="A18" s="0" t="str">
        <f t="shared" si="0"/>
        <v>s1_dic_story_15</v>
      </c>
      <c r="B18" s="0" t="s">
        <v>0</v>
      </c>
      <c r="C18" s="0" t="s">
        <v>26</v>
      </c>
      <c r="D18" s="0">
        <v>15</v>
      </c>
      <c r="E18" s="0" t="s">
        <v>1145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6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500-000000000000}" mc:Ignorable="x14ac xr xr2 xr3">
  <sheetPr>
    <outlinePr summaryBelow="1" summaryRight="1"/>
  </sheetPr>
  <dimension ref="A1:G17"/>
  <sheetViews>
    <sheetView workbookViewId="0"/>
    <sheetView workbookViewId="1"/>
  </sheetViews>
  <sheetFormatPr defaultRowHeight="17" x14ac:dyDescent="0.45"/>
  <cols>
    <col min="1" max="1" width="18.5" style="0" customWidth="1"/>
    <col min="2" max="2" width="10.332031" style="0" customWidth="1"/>
    <col min="3" max="3" width="12.582031" style="0" customWidth="1"/>
    <col min="4" max="5" width="9.082031" style="0" customWidth="1"/>
    <col min="6" max="6" width="10.082031" style="0" customWidth="1"/>
    <col min="7" max="7" width="10.832031" style="0" customWidth="1"/>
  </cols>
  <sheetData>
    <row r="1" spans="1:7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</row>
    <row r="2" spans="1:7" x14ac:dyDescent="0.45">
      <c r="A2" s="0" t="s">
        <v>1</v>
      </c>
      <c r="C2" s="0" t="s">
        <v>2</v>
      </c>
      <c r="D2" s="0" t="s">
        <v>1146</v>
      </c>
      <c r="E2" s="0" t="s">
        <v>1128</v>
      </c>
      <c r="F2" s="0" t="s">
        <v>1147</v>
      </c>
      <c r="G2" s="0" t="s">
        <v>1148</v>
      </c>
    </row>
    <row r="3" spans="1:7" x14ac:dyDescent="0.45">
      <c r="A3" s="1" t="s">
        <v>13</v>
      </c>
      <c r="B3" s="1" t="s">
        <v>14</v>
      </c>
      <c r="C3" s="1" t="s">
        <v>15</v>
      </c>
      <c r="D3" s="1" t="s">
        <v>99</v>
      </c>
      <c r="E3" s="1" t="s">
        <v>100</v>
      </c>
      <c r="F3" s="1" t="s">
        <v>1149</v>
      </c>
      <c r="G3" s="1" t="s">
        <v>1150</v>
      </c>
    </row>
    <row r="4" spans="1:7" x14ac:dyDescent="0.45">
      <c r="A4" s="0" t="str">
        <f t="shared" ref="A4:A17" si="0">_xlfn.TEXTJOIN("_",TRUE,C4,"dic",D4,E4)</f>
        <v>s1_dic_event_1_1</v>
      </c>
      <c r="B4" s="0" t="s">
        <v>0</v>
      </c>
      <c r="C4" s="0" t="s">
        <v>26</v>
      </c>
      <c r="D4" s="0" t="s">
        <v>1151</v>
      </c>
      <c r="E4" s="0">
        <v>1</v>
      </c>
      <c r="F4" s="0" t="s">
        <v>1152</v>
      </c>
      <c r="G4" s="0" t="s">
        <v>1153</v>
      </c>
    </row>
    <row r="5" spans="1:7" x14ac:dyDescent="0.45">
      <c r="A5" s="0" t="str">
        <f t="shared" si="0"/>
        <v>s1_dic_event_1_2</v>
      </c>
      <c r="B5" s="0" t="s">
        <v>0</v>
      </c>
      <c r="C5" s="0" t="s">
        <v>26</v>
      </c>
      <c r="D5" s="0" t="s">
        <v>1151</v>
      </c>
      <c r="E5" s="0">
        <v>2</v>
      </c>
      <c r="F5" s="0" t="s">
        <v>1154</v>
      </c>
      <c r="G5" s="0" t="s">
        <v>1155</v>
      </c>
    </row>
    <row r="6" spans="1:7" x14ac:dyDescent="0.45">
      <c r="A6" s="0" t="str">
        <f t="shared" si="0"/>
        <v>s1_dic_event_1_3</v>
      </c>
      <c r="B6" s="0" t="s">
        <v>0</v>
      </c>
      <c r="C6" s="0" t="s">
        <v>26</v>
      </c>
      <c r="D6" s="0" t="s">
        <v>1151</v>
      </c>
      <c r="E6" s="0">
        <v>3</v>
      </c>
      <c r="F6" s="0" t="s">
        <v>1156</v>
      </c>
      <c r="G6" s="0" t="s">
        <v>1157</v>
      </c>
    </row>
    <row r="7" spans="1:7" x14ac:dyDescent="0.45">
      <c r="A7" s="0" t="str">
        <f t="shared" si="0"/>
        <v>s1_dic_event_1_4</v>
      </c>
      <c r="B7" s="0" t="s">
        <v>0</v>
      </c>
      <c r="C7" s="0" t="s">
        <v>26</v>
      </c>
      <c r="D7" s="0" t="s">
        <v>1151</v>
      </c>
      <c r="E7" s="0">
        <v>4</v>
      </c>
      <c r="F7" s="0" t="s">
        <v>1158</v>
      </c>
      <c r="G7" s="0" t="s">
        <v>1159</v>
      </c>
    </row>
    <row r="8" spans="1:7" x14ac:dyDescent="0.45">
      <c r="A8" s="0" t="str">
        <f t="shared" si="0"/>
        <v>s1_dic_event_1_5</v>
      </c>
      <c r="B8" s="0" t="s">
        <v>0</v>
      </c>
      <c r="C8" s="0" t="s">
        <v>26</v>
      </c>
      <c r="D8" s="0" t="s">
        <v>1151</v>
      </c>
      <c r="E8" s="0">
        <v>5</v>
      </c>
      <c r="F8" s="0" t="s">
        <v>1160</v>
      </c>
      <c r="G8" s="0" t="s">
        <v>1161</v>
      </c>
    </row>
    <row r="9" spans="1:7" x14ac:dyDescent="0.45">
      <c r="A9" s="0" t="str">
        <f t="shared" si="0"/>
        <v>s1_dic_event_1_6</v>
      </c>
      <c r="B9" s="0" t="s">
        <v>0</v>
      </c>
      <c r="C9" s="0" t="s">
        <v>26</v>
      </c>
      <c r="D9" s="0" t="s">
        <v>1151</v>
      </c>
      <c r="E9" s="0">
        <v>6</v>
      </c>
      <c r="F9" s="0" t="s">
        <v>1162</v>
      </c>
      <c r="G9" s="0" t="s">
        <v>1163</v>
      </c>
    </row>
    <row r="10" spans="1:7" x14ac:dyDescent="0.45">
      <c r="A10" s="0" t="str">
        <f t="shared" si="0"/>
        <v>s1_dic_event_1_7</v>
      </c>
      <c r="B10" s="0" t="s">
        <v>0</v>
      </c>
      <c r="C10" s="0" t="s">
        <v>26</v>
      </c>
      <c r="D10" s="0" t="s">
        <v>1151</v>
      </c>
      <c r="E10" s="0">
        <v>7</v>
      </c>
      <c r="F10" s="0" t="s">
        <v>1164</v>
      </c>
      <c r="G10" s="0" t="s">
        <v>1165</v>
      </c>
    </row>
    <row r="11" spans="1:7" x14ac:dyDescent="0.45">
      <c r="A11" s="0" t="str">
        <f t="shared" si="0"/>
        <v>s1_dic_event_2_1</v>
      </c>
      <c r="B11" s="0" t="s">
        <v>0</v>
      </c>
      <c r="C11" s="0" t="s">
        <v>26</v>
      </c>
      <c r="D11" s="0" t="s">
        <v>1166</v>
      </c>
      <c r="E11" s="0">
        <v>1</v>
      </c>
      <c r="F11" s="0" t="s">
        <v>1167</v>
      </c>
      <c r="G11" s="0" t="s">
        <v>1168</v>
      </c>
    </row>
    <row r="12" spans="1:7" x14ac:dyDescent="0.45">
      <c r="A12" s="0" t="str">
        <f t="shared" si="0"/>
        <v>s1_dic_event_2_2</v>
      </c>
      <c r="B12" s="0" t="s">
        <v>0</v>
      </c>
      <c r="C12" s="0" t="s">
        <v>26</v>
      </c>
      <c r="D12" s="0" t="s">
        <v>1166</v>
      </c>
      <c r="E12" s="0">
        <v>2</v>
      </c>
      <c r="F12" s="0" t="s">
        <v>1169</v>
      </c>
      <c r="G12" s="0" t="s">
        <v>1170</v>
      </c>
    </row>
    <row r="13" spans="1:7" x14ac:dyDescent="0.45">
      <c r="A13" s="0" t="str">
        <f t="shared" si="0"/>
        <v>s1_dic_event_2_3</v>
      </c>
      <c r="B13" s="0" t="s">
        <v>0</v>
      </c>
      <c r="C13" s="0" t="s">
        <v>26</v>
      </c>
      <c r="D13" s="0" t="s">
        <v>1166</v>
      </c>
      <c r="E13" s="0">
        <v>3</v>
      </c>
      <c r="F13" s="0" t="s">
        <v>1171</v>
      </c>
      <c r="G13" s="0" t="s">
        <v>1172</v>
      </c>
    </row>
    <row r="14" spans="1:7" x14ac:dyDescent="0.45">
      <c r="A14" s="0" t="str">
        <f t="shared" si="0"/>
        <v>s1_dic_event_2_4</v>
      </c>
      <c r="B14" s="0" t="s">
        <v>0</v>
      </c>
      <c r="C14" s="0" t="s">
        <v>26</v>
      </c>
      <c r="D14" s="0" t="s">
        <v>1166</v>
      </c>
      <c r="E14" s="0">
        <v>4</v>
      </c>
      <c r="F14" s="0" t="s">
        <v>1173</v>
      </c>
      <c r="G14" s="0" t="s">
        <v>1174</v>
      </c>
    </row>
    <row r="15" spans="1:7" x14ac:dyDescent="0.45">
      <c r="A15" s="0" t="str">
        <f t="shared" si="0"/>
        <v>s1_dic_event_2_5</v>
      </c>
      <c r="B15" s="0" t="s">
        <v>0</v>
      </c>
      <c r="C15" s="0" t="s">
        <v>26</v>
      </c>
      <c r="D15" s="0" t="s">
        <v>1166</v>
      </c>
      <c r="E15" s="0">
        <v>5</v>
      </c>
      <c r="F15" s="0" t="s">
        <v>1175</v>
      </c>
      <c r="G15" s="0" t="s">
        <v>1176</v>
      </c>
    </row>
    <row r="16" spans="1:7" x14ac:dyDescent="0.45">
      <c r="A16" s="0" t="str">
        <f t="shared" si="0"/>
        <v>s1_dic_event_2_6</v>
      </c>
      <c r="B16" s="0" t="s">
        <v>0</v>
      </c>
      <c r="C16" s="0" t="s">
        <v>26</v>
      </c>
      <c r="D16" s="0" t="s">
        <v>1166</v>
      </c>
      <c r="E16" s="0">
        <v>6</v>
      </c>
      <c r="F16" s="0" t="s">
        <v>1177</v>
      </c>
      <c r="G16" s="0" t="s">
        <v>1178</v>
      </c>
    </row>
    <row r="17" spans="1:7" x14ac:dyDescent="0.45">
      <c r="A17" s="0" t="str">
        <f t="shared" si="0"/>
        <v>s1_dic_event_2_7</v>
      </c>
      <c r="B17" s="0" t="s">
        <v>0</v>
      </c>
      <c r="C17" s="0" t="s">
        <v>26</v>
      </c>
      <c r="D17" s="0" t="s">
        <v>1166</v>
      </c>
      <c r="E17" s="0">
        <v>7</v>
      </c>
      <c r="F17" s="0" t="s">
        <v>1179</v>
      </c>
      <c r="G17" s="0" t="s">
        <v>1180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7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600-000000000000}" mc:Ignorable="x14ac xr xr2 xr3">
  <sheetPr>
    <outlinePr summaryBelow="1" summaryRight="1"/>
  </sheetPr>
  <dimension ref="A1:H103"/>
  <sheetViews>
    <sheetView workbookViewId="0"/>
    <sheetView workbookViewId="1"/>
  </sheetViews>
  <sheetFormatPr defaultRowHeight="17" x14ac:dyDescent="0.45"/>
  <cols>
    <col min="1" max="1" width="17.5" style="0" customWidth="1"/>
    <col min="2" max="2" width="10.332031" style="0" customWidth="1"/>
    <col min="3" max="3" width="12.582031" style="0" customWidth="1"/>
    <col min="4" max="4" width="25" style="0" customWidth="1"/>
    <col min="5" max="5" width="9.082031" style="0" customWidth="1"/>
    <col min="6" max="6" width="15.75" style="0" customWidth="1"/>
  </cols>
  <sheetData>
    <row r="1" spans="1:8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</row>
    <row r="2" spans="1:8" x14ac:dyDescent="0.45">
      <c r="A2" s="0" t="s">
        <v>1</v>
      </c>
      <c r="C2" s="0" t="s">
        <v>2</v>
      </c>
      <c r="D2" s="0" t="s">
        <v>1181</v>
      </c>
      <c r="E2" s="0" t="s">
        <v>1128</v>
      </c>
      <c r="F2" s="0" t="s">
        <v>1182</v>
      </c>
      <c r="G2" s="0" t="s">
        <v>1183</v>
      </c>
      <c r="H2" s="0" t="s">
        <v>1148</v>
      </c>
    </row>
    <row r="3" spans="1:8" x14ac:dyDescent="0.45">
      <c r="A3" s="1" t="s">
        <v>13</v>
      </c>
      <c r="B3" s="1" t="s">
        <v>14</v>
      </c>
      <c r="C3" s="1" t="s">
        <v>15</v>
      </c>
      <c r="D3" s="1" t="s">
        <v>99</v>
      </c>
      <c r="E3" s="1" t="s">
        <v>100</v>
      </c>
      <c r="F3" s="1" t="s">
        <v>1184</v>
      </c>
      <c r="G3" s="1" t="s">
        <v>1185</v>
      </c>
      <c r="H3" s="1" t="s">
        <v>1186</v>
      </c>
    </row>
    <row r="4" spans="1:8" x14ac:dyDescent="0.45">
      <c r="A4" s="0" t="s">
        <v>1187</v>
      </c>
      <c r="B4" s="0" t="s">
        <v>0</v>
      </c>
      <c r="C4" s="0" t="s">
        <v>26</v>
      </c>
      <c r="D4" s="0" t="s">
        <v>104</v>
      </c>
      <c r="E4" s="0">
        <v>1</v>
      </c>
      <c r="G4" s="0" t="s">
        <v>1188</v>
      </c>
      <c r="H4" s="0" t="s">
        <v>1189</v>
      </c>
    </row>
    <row r="5" spans="1:8" x14ac:dyDescent="0.45">
      <c r="A5" s="0" t="s">
        <v>1190</v>
      </c>
      <c r="B5" s="0" t="s">
        <v>0</v>
      </c>
      <c r="C5" s="0" t="s">
        <v>26</v>
      </c>
      <c r="D5" s="0" t="s">
        <v>104</v>
      </c>
      <c r="E5" s="0">
        <v>2</v>
      </c>
      <c r="G5" s="0" t="s">
        <v>1191</v>
      </c>
      <c r="H5" s="0" t="s">
        <v>1192</v>
      </c>
    </row>
    <row r="6" spans="1:8" x14ac:dyDescent="0.45">
      <c r="A6" s="0" t="s">
        <v>1193</v>
      </c>
      <c r="B6" s="0" t="s">
        <v>0</v>
      </c>
      <c r="C6" s="0" t="s">
        <v>26</v>
      </c>
      <c r="D6" s="0" t="s">
        <v>104</v>
      </c>
      <c r="E6" s="0">
        <v>3</v>
      </c>
      <c r="G6" s="0" t="s">
        <v>1194</v>
      </c>
      <c r="H6" s="0" t="s">
        <v>1195</v>
      </c>
    </row>
    <row r="7" spans="1:8" x14ac:dyDescent="0.45">
      <c r="A7" s="0" t="s">
        <v>1196</v>
      </c>
      <c r="B7" s="0" t="s">
        <v>0</v>
      </c>
      <c r="C7" s="0" t="s">
        <v>26</v>
      </c>
      <c r="D7" s="0" t="s">
        <v>104</v>
      </c>
      <c r="E7" s="0">
        <v>4</v>
      </c>
      <c r="G7" s="0" t="s">
        <v>1197</v>
      </c>
      <c r="H7" s="0" t="s">
        <v>1198</v>
      </c>
    </row>
    <row r="8" spans="1:8" x14ac:dyDescent="0.45">
      <c r="A8" s="0" t="s">
        <v>1199</v>
      </c>
      <c r="B8" s="0" t="s">
        <v>0</v>
      </c>
      <c r="C8" s="0" t="s">
        <v>26</v>
      </c>
      <c r="D8" s="0" t="s">
        <v>104</v>
      </c>
      <c r="E8" s="0">
        <v>5</v>
      </c>
      <c r="G8" s="0" t="s">
        <v>1200</v>
      </c>
      <c r="H8" s="0" t="s">
        <v>1201</v>
      </c>
    </row>
    <row r="9" spans="1:8" x14ac:dyDescent="0.45">
      <c r="A9" s="0" t="s">
        <v>1202</v>
      </c>
      <c r="B9" s="0" t="s">
        <v>0</v>
      </c>
      <c r="C9" s="0" t="s">
        <v>26</v>
      </c>
      <c r="D9" s="0" t="s">
        <v>104</v>
      </c>
      <c r="E9" s="0">
        <v>6</v>
      </c>
      <c r="G9" s="0" t="s">
        <v>1203</v>
      </c>
      <c r="H9" s="0" t="s">
        <v>1204</v>
      </c>
    </row>
    <row r="10" spans="1:8" x14ac:dyDescent="0.45">
      <c r="A10" s="0" t="s">
        <v>1205</v>
      </c>
      <c r="B10" s="0" t="s">
        <v>0</v>
      </c>
      <c r="C10" s="0" t="s">
        <v>26</v>
      </c>
      <c r="D10" s="0" t="s">
        <v>104</v>
      </c>
      <c r="E10" s="0">
        <v>7</v>
      </c>
      <c r="G10" s="0" t="s">
        <v>1206</v>
      </c>
      <c r="H10" s="0" t="s">
        <v>1207</v>
      </c>
    </row>
    <row r="11" spans="1:8" x14ac:dyDescent="0.45">
      <c r="A11" s="0" t="s">
        <v>1208</v>
      </c>
      <c r="B11" s="0" t="s">
        <v>0</v>
      </c>
      <c r="C11" s="0" t="s">
        <v>26</v>
      </c>
      <c r="D11" s="0" t="s">
        <v>104</v>
      </c>
      <c r="E11" s="0">
        <v>8</v>
      </c>
      <c r="G11" s="0" t="s">
        <v>1209</v>
      </c>
      <c r="H11" s="0" t="s">
        <v>1210</v>
      </c>
    </row>
    <row r="12" spans="1:8" x14ac:dyDescent="0.45">
      <c r="A12" s="0" t="s">
        <v>1211</v>
      </c>
      <c r="B12" s="0" t="s">
        <v>0</v>
      </c>
      <c r="C12" s="0" t="s">
        <v>26</v>
      </c>
      <c r="D12" s="0" t="s">
        <v>104</v>
      </c>
      <c r="E12" s="0">
        <v>9</v>
      </c>
      <c r="G12" s="0" t="s">
        <v>1212</v>
      </c>
      <c r="H12" s="0" t="s">
        <v>1213</v>
      </c>
    </row>
    <row r="13" spans="1:8" x14ac:dyDescent="0.45">
      <c r="A13" s="0" t="s">
        <v>1214</v>
      </c>
      <c r="B13" s="0" t="s">
        <v>0</v>
      </c>
      <c r="C13" s="0" t="s">
        <v>26</v>
      </c>
      <c r="D13" s="0" t="s">
        <v>104</v>
      </c>
      <c r="E13" s="0">
        <v>10</v>
      </c>
      <c r="G13" s="0" t="s">
        <v>1215</v>
      </c>
      <c r="H13" s="0" t="s">
        <v>1216</v>
      </c>
    </row>
    <row r="14" spans="1:8" x14ac:dyDescent="0.45">
      <c r="A14" s="0" t="s">
        <v>1217</v>
      </c>
      <c r="B14" s="0" t="s">
        <v>0</v>
      </c>
      <c r="C14" s="0" t="s">
        <v>26</v>
      </c>
      <c r="D14" s="0" t="s">
        <v>104</v>
      </c>
      <c r="E14" s="0">
        <v>11</v>
      </c>
      <c r="G14" s="0" t="s">
        <v>1218</v>
      </c>
      <c r="H14" s="0" t="s">
        <v>1219</v>
      </c>
    </row>
    <row r="15" spans="1:8" x14ac:dyDescent="0.45">
      <c r="A15" s="0" t="s">
        <v>1220</v>
      </c>
      <c r="B15" s="0" t="s">
        <v>0</v>
      </c>
      <c r="C15" s="0" t="s">
        <v>26</v>
      </c>
      <c r="D15" s="0" t="s">
        <v>104</v>
      </c>
      <c r="E15" s="0">
        <v>12</v>
      </c>
      <c r="G15" s="0" t="s">
        <v>1221</v>
      </c>
      <c r="H15" s="0" t="s">
        <v>1222</v>
      </c>
    </row>
    <row r="16" spans="1:8" x14ac:dyDescent="0.45">
      <c r="A16" s="0" t="s">
        <v>1223</v>
      </c>
      <c r="B16" s="0" t="s">
        <v>0</v>
      </c>
      <c r="C16" s="0" t="s">
        <v>26</v>
      </c>
      <c r="D16" s="0" t="s">
        <v>104</v>
      </c>
      <c r="E16" s="0">
        <v>13</v>
      </c>
      <c r="G16" s="0" t="s">
        <v>1224</v>
      </c>
      <c r="H16" s="0" t="s">
        <v>1225</v>
      </c>
    </row>
    <row r="17" spans="1:8" x14ac:dyDescent="0.45">
      <c r="A17" s="0" t="s">
        <v>1226</v>
      </c>
      <c r="B17" s="0" t="s">
        <v>0</v>
      </c>
      <c r="C17" s="0" t="s">
        <v>26</v>
      </c>
      <c r="D17" s="0" t="s">
        <v>104</v>
      </c>
      <c r="E17" s="0">
        <v>14</v>
      </c>
      <c r="G17" s="0" t="s">
        <v>1227</v>
      </c>
      <c r="H17" s="0" t="s">
        <v>1228</v>
      </c>
    </row>
    <row r="18" spans="1:8" x14ac:dyDescent="0.45">
      <c r="A18" s="0" t="s">
        <v>1229</v>
      </c>
      <c r="B18" s="0" t="s">
        <v>0</v>
      </c>
      <c r="C18" s="0" t="s">
        <v>26</v>
      </c>
      <c r="D18" s="0" t="s">
        <v>104</v>
      </c>
      <c r="E18" s="0">
        <v>15</v>
      </c>
      <c r="G18" s="0" t="s">
        <v>1230</v>
      </c>
      <c r="H18" s="0" t="s">
        <v>1231</v>
      </c>
    </row>
    <row r="19" spans="1:8" x14ac:dyDescent="0.45">
      <c r="A19" s="0" t="s">
        <v>1232</v>
      </c>
      <c r="B19" s="0" t="s">
        <v>0</v>
      </c>
      <c r="C19" s="0" t="s">
        <v>26</v>
      </c>
      <c r="D19" s="0" t="s">
        <v>104</v>
      </c>
      <c r="E19" s="0">
        <v>16</v>
      </c>
      <c r="G19" s="0" t="s">
        <v>1233</v>
      </c>
      <c r="H19" s="0" t="s">
        <v>1234</v>
      </c>
    </row>
    <row r="20" spans="1:8" x14ac:dyDescent="0.45">
      <c r="A20" s="0" t="s">
        <v>1235</v>
      </c>
      <c r="B20" s="0" t="s">
        <v>0</v>
      </c>
      <c r="C20" s="0" t="s">
        <v>26</v>
      </c>
      <c r="D20" s="0" t="s">
        <v>104</v>
      </c>
      <c r="E20" s="0">
        <v>17</v>
      </c>
      <c r="G20" s="0" t="s">
        <v>1236</v>
      </c>
      <c r="H20" s="0" t="s">
        <v>1237</v>
      </c>
    </row>
    <row r="21" spans="1:8" x14ac:dyDescent="0.45">
      <c r="A21" s="0" t="s">
        <v>1238</v>
      </c>
      <c r="B21" s="0" t="s">
        <v>0</v>
      </c>
      <c r="C21" s="0" t="s">
        <v>26</v>
      </c>
      <c r="D21" s="0" t="s">
        <v>104</v>
      </c>
      <c r="E21" s="0">
        <v>18</v>
      </c>
      <c r="G21" s="0" t="s">
        <v>1239</v>
      </c>
      <c r="H21" s="0" t="s">
        <v>1240</v>
      </c>
    </row>
    <row r="22" spans="1:8" x14ac:dyDescent="0.45">
      <c r="A22" s="0" t="s">
        <v>1241</v>
      </c>
      <c r="B22" s="0" t="s">
        <v>0</v>
      </c>
      <c r="C22" s="0" t="s">
        <v>26</v>
      </c>
      <c r="D22" s="0" t="s">
        <v>104</v>
      </c>
      <c r="E22" s="0">
        <v>19</v>
      </c>
      <c r="G22" s="0" t="s">
        <v>1242</v>
      </c>
      <c r="H22" s="0" t="s">
        <v>1243</v>
      </c>
    </row>
    <row r="23" spans="1:8" x14ac:dyDescent="0.45">
      <c r="A23" s="0" t="s">
        <v>1244</v>
      </c>
      <c r="B23" s="0" t="s">
        <v>0</v>
      </c>
      <c r="C23" s="0" t="s">
        <v>26</v>
      </c>
      <c r="D23" s="0" t="s">
        <v>104</v>
      </c>
      <c r="E23" s="0">
        <v>20</v>
      </c>
      <c r="G23" s="0" t="s">
        <v>1245</v>
      </c>
      <c r="H23" s="0" t="s">
        <v>1246</v>
      </c>
    </row>
    <row r="24" spans="1:8" x14ac:dyDescent="0.45">
      <c r="A24" s="0" t="s">
        <v>1247</v>
      </c>
      <c r="B24" s="0" t="s">
        <v>0</v>
      </c>
      <c r="C24" s="0" t="s">
        <v>26</v>
      </c>
      <c r="D24" s="0" t="s">
        <v>104</v>
      </c>
      <c r="E24" s="0">
        <v>21</v>
      </c>
      <c r="G24" s="0" t="s">
        <v>1248</v>
      </c>
      <c r="H24" s="0" t="s">
        <v>1249</v>
      </c>
    </row>
    <row r="25" spans="1:8" x14ac:dyDescent="0.45">
      <c r="A25" s="0" t="s">
        <v>1250</v>
      </c>
      <c r="B25" s="0" t="s">
        <v>0</v>
      </c>
      <c r="C25" s="0" t="s">
        <v>26</v>
      </c>
      <c r="D25" s="0" t="s">
        <v>104</v>
      </c>
      <c r="E25" s="0">
        <v>22</v>
      </c>
      <c r="G25" s="0" t="s">
        <v>1251</v>
      </c>
      <c r="H25" s="0" t="s">
        <v>1252</v>
      </c>
    </row>
    <row r="26" spans="1:8" x14ac:dyDescent="0.45">
      <c r="A26" s="0" t="s">
        <v>1253</v>
      </c>
      <c r="B26" s="0" t="s">
        <v>0</v>
      </c>
      <c r="C26" s="0" t="s">
        <v>26</v>
      </c>
      <c r="D26" s="0" t="s">
        <v>104</v>
      </c>
      <c r="E26" s="0">
        <v>23</v>
      </c>
      <c r="G26" s="0" t="s">
        <v>1254</v>
      </c>
      <c r="H26" s="0" t="s">
        <v>1255</v>
      </c>
    </row>
    <row r="27" spans="1:8" x14ac:dyDescent="0.45">
      <c r="A27" s="0" t="s">
        <v>1256</v>
      </c>
      <c r="B27" s="0" t="s">
        <v>0</v>
      </c>
      <c r="C27" s="0" t="s">
        <v>26</v>
      </c>
      <c r="D27" s="0" t="s">
        <v>104</v>
      </c>
      <c r="E27" s="0">
        <v>24</v>
      </c>
      <c r="G27" s="0" t="s">
        <v>1257</v>
      </c>
      <c r="H27" s="0" t="s">
        <v>1258</v>
      </c>
    </row>
    <row r="28" spans="1:8" x14ac:dyDescent="0.45">
      <c r="A28" s="0" t="s">
        <v>1259</v>
      </c>
      <c r="B28" s="0" t="s">
        <v>0</v>
      </c>
      <c r="C28" s="0" t="s">
        <v>26</v>
      </c>
      <c r="D28" s="0" t="s">
        <v>104</v>
      </c>
      <c r="E28" s="0">
        <v>25</v>
      </c>
      <c r="G28" s="0" t="s">
        <v>1260</v>
      </c>
      <c r="H28" s="0" t="s">
        <v>1261</v>
      </c>
    </row>
    <row r="29" spans="1:8" x14ac:dyDescent="0.45">
      <c r="A29" s="0" t="s">
        <v>1262</v>
      </c>
      <c r="B29" s="0" t="s">
        <v>0</v>
      </c>
      <c r="C29" s="0" t="s">
        <v>26</v>
      </c>
      <c r="D29" s="0" t="s">
        <v>104</v>
      </c>
      <c r="E29" s="0">
        <v>26</v>
      </c>
      <c r="G29" s="0" t="s">
        <v>1263</v>
      </c>
      <c r="H29" s="0" t="s">
        <v>1264</v>
      </c>
    </row>
    <row r="30" spans="1:8" x14ac:dyDescent="0.45">
      <c r="A30" s="0" t="s">
        <v>1265</v>
      </c>
      <c r="B30" s="0" t="s">
        <v>0</v>
      </c>
      <c r="C30" s="0" t="s">
        <v>26</v>
      </c>
      <c r="D30" s="0" t="s">
        <v>104</v>
      </c>
      <c r="E30" s="0">
        <v>27</v>
      </c>
      <c r="G30" s="0" t="s">
        <v>1266</v>
      </c>
      <c r="H30" s="0" t="s">
        <v>1267</v>
      </c>
    </row>
    <row r="31" spans="1:8" x14ac:dyDescent="0.45">
      <c r="A31" s="0" t="s">
        <v>1268</v>
      </c>
      <c r="B31" s="0" t="s">
        <v>0</v>
      </c>
      <c r="C31" s="0" t="s">
        <v>26</v>
      </c>
      <c r="D31" s="0" t="s">
        <v>104</v>
      </c>
      <c r="E31" s="0">
        <v>28</v>
      </c>
      <c r="G31" s="0" t="s">
        <v>1269</v>
      </c>
      <c r="H31" s="0" t="s">
        <v>1270</v>
      </c>
    </row>
    <row r="32" spans="1:8" x14ac:dyDescent="0.45">
      <c r="A32" s="0" t="s">
        <v>1271</v>
      </c>
      <c r="B32" s="0" t="s">
        <v>0</v>
      </c>
      <c r="C32" s="0" t="s">
        <v>26</v>
      </c>
      <c r="D32" s="0" t="s">
        <v>104</v>
      </c>
      <c r="E32" s="0">
        <v>29</v>
      </c>
      <c r="G32" s="0" t="s">
        <v>1272</v>
      </c>
      <c r="H32" s="0" t="s">
        <v>1273</v>
      </c>
    </row>
    <row r="33" spans="1:8" x14ac:dyDescent="0.45">
      <c r="A33" s="0" t="s">
        <v>1274</v>
      </c>
      <c r="B33" s="0" t="s">
        <v>0</v>
      </c>
      <c r="C33" s="0" t="s">
        <v>26</v>
      </c>
      <c r="D33" s="0" t="s">
        <v>104</v>
      </c>
      <c r="E33" s="0">
        <v>30</v>
      </c>
      <c r="G33" s="0" t="s">
        <v>1275</v>
      </c>
      <c r="H33" s="0" t="s">
        <v>1276</v>
      </c>
    </row>
    <row r="34" spans="1:8" x14ac:dyDescent="0.45">
      <c r="A34" s="0" t="s">
        <v>1277</v>
      </c>
      <c r="B34" s="0" t="s">
        <v>0</v>
      </c>
      <c r="C34" s="0" t="s">
        <v>26</v>
      </c>
      <c r="D34" s="0" t="s">
        <v>104</v>
      </c>
      <c r="E34" s="0">
        <v>31</v>
      </c>
      <c r="G34" s="0" t="s">
        <v>1278</v>
      </c>
      <c r="H34" s="0" t="s">
        <v>1279</v>
      </c>
    </row>
    <row r="35" spans="1:8" x14ac:dyDescent="0.45">
      <c r="A35" s="0" t="s">
        <v>1280</v>
      </c>
      <c r="B35" s="0" t="s">
        <v>0</v>
      </c>
      <c r="C35" s="0" t="s">
        <v>26</v>
      </c>
      <c r="D35" s="0" t="s">
        <v>104</v>
      </c>
      <c r="E35" s="0">
        <v>32</v>
      </c>
      <c r="G35" s="0" t="s">
        <v>1281</v>
      </c>
      <c r="H35" s="0" t="s">
        <v>1282</v>
      </c>
    </row>
    <row r="36" spans="1:8" x14ac:dyDescent="0.45">
      <c r="A36" s="0" t="s">
        <v>1283</v>
      </c>
      <c r="B36" s="0" t="s">
        <v>0</v>
      </c>
      <c r="C36" s="0" t="s">
        <v>26</v>
      </c>
      <c r="D36" s="0" t="s">
        <v>104</v>
      </c>
      <c r="E36" s="0">
        <v>33</v>
      </c>
      <c r="G36" s="0" t="s">
        <v>1284</v>
      </c>
      <c r="H36" s="0" t="s">
        <v>1285</v>
      </c>
    </row>
    <row r="37" spans="1:8" x14ac:dyDescent="0.45">
      <c r="A37" s="0" t="s">
        <v>1286</v>
      </c>
      <c r="B37" s="0" t="s">
        <v>0</v>
      </c>
      <c r="C37" s="0" t="s">
        <v>26</v>
      </c>
      <c r="D37" s="0" t="s">
        <v>104</v>
      </c>
      <c r="E37" s="0">
        <v>34</v>
      </c>
      <c r="G37" s="0" t="s">
        <v>1287</v>
      </c>
      <c r="H37" s="0" t="s">
        <v>1288</v>
      </c>
    </row>
    <row r="38" spans="1:8" x14ac:dyDescent="0.45">
      <c r="A38" s="0" t="s">
        <v>1289</v>
      </c>
      <c r="B38" s="0" t="s">
        <v>0</v>
      </c>
      <c r="C38" s="0" t="s">
        <v>26</v>
      </c>
      <c r="D38" s="0" t="s">
        <v>104</v>
      </c>
      <c r="E38" s="0">
        <v>35</v>
      </c>
      <c r="G38" s="0" t="s">
        <v>1290</v>
      </c>
      <c r="H38" s="0" t="s">
        <v>1291</v>
      </c>
    </row>
    <row r="39" spans="1:8" x14ac:dyDescent="0.45">
      <c r="A39" s="0" t="s">
        <v>1292</v>
      </c>
      <c r="B39" s="0" t="s">
        <v>0</v>
      </c>
      <c r="C39" s="0" t="s">
        <v>26</v>
      </c>
      <c r="D39" s="0" t="s">
        <v>104</v>
      </c>
      <c r="E39" s="0">
        <v>36</v>
      </c>
      <c r="G39" s="0" t="s">
        <v>1293</v>
      </c>
      <c r="H39" s="0" t="s">
        <v>1294</v>
      </c>
    </row>
    <row r="40" spans="1:8" x14ac:dyDescent="0.45">
      <c r="A40" s="0" t="s">
        <v>1295</v>
      </c>
      <c r="B40" s="0" t="s">
        <v>0</v>
      </c>
      <c r="C40" s="0" t="s">
        <v>26</v>
      </c>
      <c r="D40" s="0" t="s">
        <v>104</v>
      </c>
      <c r="E40" s="0">
        <v>37</v>
      </c>
      <c r="G40" s="0" t="s">
        <v>1296</v>
      </c>
      <c r="H40" s="0" t="s">
        <v>1297</v>
      </c>
    </row>
    <row r="41" spans="1:8" x14ac:dyDescent="0.45">
      <c r="A41" s="0" t="s">
        <v>1298</v>
      </c>
      <c r="B41" s="0" t="s">
        <v>0</v>
      </c>
      <c r="C41" s="0" t="s">
        <v>26</v>
      </c>
      <c r="D41" s="0" t="s">
        <v>104</v>
      </c>
      <c r="E41" s="0">
        <v>38</v>
      </c>
      <c r="G41" s="0" t="s">
        <v>1299</v>
      </c>
      <c r="H41" s="0" t="s">
        <v>1300</v>
      </c>
    </row>
    <row r="42" spans="1:8" x14ac:dyDescent="0.45">
      <c r="A42" s="0" t="s">
        <v>1301</v>
      </c>
      <c r="B42" s="0" t="s">
        <v>0</v>
      </c>
      <c r="C42" s="0" t="s">
        <v>26</v>
      </c>
      <c r="D42" s="0" t="s">
        <v>104</v>
      </c>
      <c r="E42" s="0">
        <v>39</v>
      </c>
      <c r="G42" s="0" t="s">
        <v>1302</v>
      </c>
      <c r="H42" s="0" t="s">
        <v>1303</v>
      </c>
    </row>
    <row r="43" spans="1:8" x14ac:dyDescent="0.45">
      <c r="A43" s="0" t="s">
        <v>1304</v>
      </c>
      <c r="B43" s="0" t="s">
        <v>0</v>
      </c>
      <c r="C43" s="0" t="s">
        <v>26</v>
      </c>
      <c r="D43" s="0" t="s">
        <v>104</v>
      </c>
      <c r="E43" s="0">
        <v>40</v>
      </c>
      <c r="G43" s="0" t="s">
        <v>1305</v>
      </c>
      <c r="H43" s="0" t="s">
        <v>1306</v>
      </c>
    </row>
    <row r="44" spans="1:8" x14ac:dyDescent="0.45">
      <c r="A44" s="0" t="s">
        <v>1307</v>
      </c>
      <c r="B44" s="0" t="s">
        <v>0</v>
      </c>
      <c r="C44" s="0" t="s">
        <v>26</v>
      </c>
      <c r="D44" s="0" t="s">
        <v>104</v>
      </c>
      <c r="E44" s="0">
        <v>41</v>
      </c>
      <c r="G44" s="0" t="s">
        <v>1308</v>
      </c>
      <c r="H44" s="0" t="s">
        <v>1309</v>
      </c>
    </row>
    <row r="45" spans="1:8" x14ac:dyDescent="0.45">
      <c r="A45" s="0" t="s">
        <v>1310</v>
      </c>
      <c r="B45" s="0" t="s">
        <v>0</v>
      </c>
      <c r="C45" s="0" t="s">
        <v>26</v>
      </c>
      <c r="D45" s="0" t="s">
        <v>104</v>
      </c>
      <c r="E45" s="0">
        <v>42</v>
      </c>
      <c r="G45" s="0" t="s">
        <v>1311</v>
      </c>
      <c r="H45" s="0" t="s">
        <v>1312</v>
      </c>
    </row>
    <row r="46" spans="1:8" x14ac:dyDescent="0.45">
      <c r="A46" s="0" t="s">
        <v>1313</v>
      </c>
      <c r="B46" s="0" t="s">
        <v>0</v>
      </c>
      <c r="C46" s="0" t="s">
        <v>26</v>
      </c>
      <c r="D46" s="0" t="s">
        <v>104</v>
      </c>
      <c r="E46" s="0">
        <v>43</v>
      </c>
      <c r="G46" s="0" t="s">
        <v>1314</v>
      </c>
      <c r="H46" s="0" t="s">
        <v>1315</v>
      </c>
    </row>
    <row r="47" spans="1:8" x14ac:dyDescent="0.45">
      <c r="A47" s="0" t="s">
        <v>1316</v>
      </c>
      <c r="B47" s="0" t="s">
        <v>0</v>
      </c>
      <c r="C47" s="0" t="s">
        <v>26</v>
      </c>
      <c r="D47" s="0" t="s">
        <v>104</v>
      </c>
      <c r="E47" s="0">
        <v>44</v>
      </c>
      <c r="G47" s="0" t="s">
        <v>1317</v>
      </c>
      <c r="H47" s="0" t="s">
        <v>1318</v>
      </c>
    </row>
    <row r="48" spans="1:8" x14ac:dyDescent="0.45">
      <c r="A48" s="0" t="s">
        <v>1319</v>
      </c>
      <c r="B48" s="0" t="s">
        <v>0</v>
      </c>
      <c r="C48" s="0" t="s">
        <v>26</v>
      </c>
      <c r="D48" s="0" t="s">
        <v>104</v>
      </c>
      <c r="E48" s="0">
        <v>45</v>
      </c>
      <c r="G48" s="0" t="s">
        <v>1320</v>
      </c>
      <c r="H48" s="0" t="s">
        <v>1321</v>
      </c>
    </row>
    <row r="49" spans="1:8" x14ac:dyDescent="0.45">
      <c r="A49" s="0" t="s">
        <v>1322</v>
      </c>
      <c r="B49" s="0" t="s">
        <v>0</v>
      </c>
      <c r="C49" s="0" t="s">
        <v>26</v>
      </c>
      <c r="D49" s="0" t="s">
        <v>104</v>
      </c>
      <c r="E49" s="0">
        <v>46</v>
      </c>
      <c r="G49" s="0" t="s">
        <v>1323</v>
      </c>
      <c r="H49" s="0" t="s">
        <v>1324</v>
      </c>
    </row>
    <row r="50" spans="1:8" x14ac:dyDescent="0.45">
      <c r="A50" s="0" t="s">
        <v>1325</v>
      </c>
      <c r="B50" s="0" t="s">
        <v>0</v>
      </c>
      <c r="C50" s="0" t="s">
        <v>26</v>
      </c>
      <c r="D50" s="0" t="s">
        <v>104</v>
      </c>
      <c r="E50" s="0">
        <v>47</v>
      </c>
      <c r="G50" s="0" t="s">
        <v>1326</v>
      </c>
      <c r="H50" s="0" t="s">
        <v>1327</v>
      </c>
    </row>
    <row r="51" spans="1:8" x14ac:dyDescent="0.45">
      <c r="A51" s="0" t="s">
        <v>1328</v>
      </c>
      <c r="B51" s="0" t="s">
        <v>0</v>
      </c>
      <c r="C51" s="0" t="s">
        <v>26</v>
      </c>
      <c r="D51" s="0" t="s">
        <v>104</v>
      </c>
      <c r="E51" s="0">
        <v>48</v>
      </c>
      <c r="G51" s="0" t="s">
        <v>1329</v>
      </c>
      <c r="H51" s="0" t="s">
        <v>1330</v>
      </c>
    </row>
    <row r="52" spans="1:8" x14ac:dyDescent="0.45">
      <c r="A52" s="0" t="s">
        <v>1331</v>
      </c>
      <c r="B52" s="0" t="s">
        <v>0</v>
      </c>
      <c r="C52" s="0" t="s">
        <v>26</v>
      </c>
      <c r="D52" s="0" t="s">
        <v>104</v>
      </c>
      <c r="E52" s="0">
        <v>49</v>
      </c>
      <c r="G52" s="0" t="s">
        <v>1332</v>
      </c>
      <c r="H52" s="0" t="s">
        <v>1333</v>
      </c>
    </row>
    <row r="53" spans="1:8" x14ac:dyDescent="0.45">
      <c r="A53" s="0" t="s">
        <v>1334</v>
      </c>
      <c r="B53" s="0" t="s">
        <v>0</v>
      </c>
      <c r="C53" s="0" t="s">
        <v>26</v>
      </c>
      <c r="D53" s="0" t="s">
        <v>104</v>
      </c>
      <c r="E53" s="0">
        <v>50</v>
      </c>
      <c r="G53" s="0" t="s">
        <v>1335</v>
      </c>
      <c r="H53" s="0" t="s">
        <v>1336</v>
      </c>
    </row>
    <row r="54" spans="1:8" x14ac:dyDescent="0.45">
      <c r="A54" s="0" t="s">
        <v>1337</v>
      </c>
      <c r="B54" s="0" t="s">
        <v>0</v>
      </c>
      <c r="C54" s="0" t="s">
        <v>26</v>
      </c>
      <c r="D54" s="0" t="s">
        <v>104</v>
      </c>
      <c r="E54" s="0">
        <v>51</v>
      </c>
      <c r="G54" s="0" t="s">
        <v>1338</v>
      </c>
      <c r="H54" s="0" t="s">
        <v>1339</v>
      </c>
    </row>
    <row r="55" spans="1:8" x14ac:dyDescent="0.45">
      <c r="A55" s="0" t="s">
        <v>1340</v>
      </c>
      <c r="B55" s="0" t="s">
        <v>0</v>
      </c>
      <c r="C55" s="0" t="s">
        <v>26</v>
      </c>
      <c r="D55" s="0" t="s">
        <v>104</v>
      </c>
      <c r="E55" s="0">
        <v>52</v>
      </c>
      <c r="G55" s="0" t="s">
        <v>1341</v>
      </c>
      <c r="H55" s="0" t="s">
        <v>1342</v>
      </c>
    </row>
    <row r="56" spans="1:8" x14ac:dyDescent="0.45">
      <c r="A56" s="0" t="s">
        <v>1343</v>
      </c>
      <c r="B56" s="0" t="s">
        <v>0</v>
      </c>
      <c r="C56" s="0" t="s">
        <v>26</v>
      </c>
      <c r="D56" s="0" t="s">
        <v>104</v>
      </c>
      <c r="E56" s="0">
        <v>53</v>
      </c>
      <c r="G56" s="0" t="s">
        <v>1344</v>
      </c>
      <c r="H56" s="0" t="s">
        <v>1345</v>
      </c>
    </row>
    <row r="57" spans="1:8" x14ac:dyDescent="0.45">
      <c r="A57" s="0" t="s">
        <v>1346</v>
      </c>
      <c r="B57" s="0" t="s">
        <v>0</v>
      </c>
      <c r="C57" s="0" t="s">
        <v>26</v>
      </c>
      <c r="D57" s="0" t="s">
        <v>104</v>
      </c>
      <c r="E57" s="0">
        <v>54</v>
      </c>
      <c r="G57" s="0" t="s">
        <v>1347</v>
      </c>
      <c r="H57" s="0" t="s">
        <v>1348</v>
      </c>
    </row>
    <row r="58" spans="1:8" x14ac:dyDescent="0.45">
      <c r="A58" s="0" t="s">
        <v>1349</v>
      </c>
      <c r="B58" s="0" t="s">
        <v>0</v>
      </c>
      <c r="C58" s="0" t="s">
        <v>26</v>
      </c>
      <c r="D58" s="0" t="s">
        <v>104</v>
      </c>
      <c r="E58" s="0">
        <v>55</v>
      </c>
      <c r="G58" s="0" t="s">
        <v>1350</v>
      </c>
      <c r="H58" s="0" t="s">
        <v>1351</v>
      </c>
    </row>
    <row r="59" spans="1:8" x14ac:dyDescent="0.45">
      <c r="A59" s="0" t="s">
        <v>1352</v>
      </c>
      <c r="B59" s="0" t="s">
        <v>0</v>
      </c>
      <c r="C59" s="0" t="s">
        <v>26</v>
      </c>
      <c r="D59" s="0" t="s">
        <v>104</v>
      </c>
      <c r="E59" s="0">
        <v>56</v>
      </c>
      <c r="G59" s="0" t="s">
        <v>1353</v>
      </c>
      <c r="H59" s="0" t="s">
        <v>1354</v>
      </c>
    </row>
    <row r="60" spans="1:8" x14ac:dyDescent="0.45">
      <c r="A60" s="0" t="s">
        <v>1355</v>
      </c>
      <c r="B60" s="0" t="s">
        <v>0</v>
      </c>
      <c r="C60" s="0" t="s">
        <v>26</v>
      </c>
      <c r="D60" s="0" t="s">
        <v>104</v>
      </c>
      <c r="E60" s="0">
        <v>57</v>
      </c>
      <c r="G60" s="0" t="s">
        <v>1356</v>
      </c>
      <c r="H60" s="0" t="s">
        <v>1357</v>
      </c>
    </row>
    <row r="61" spans="1:8" x14ac:dyDescent="0.45">
      <c r="A61" s="0" t="s">
        <v>1358</v>
      </c>
      <c r="B61" s="0" t="s">
        <v>0</v>
      </c>
      <c r="C61" s="0" t="s">
        <v>26</v>
      </c>
      <c r="D61" s="0" t="s">
        <v>104</v>
      </c>
      <c r="E61" s="0">
        <v>58</v>
      </c>
      <c r="G61" s="0" t="s">
        <v>1359</v>
      </c>
      <c r="H61" s="0" t="s">
        <v>1360</v>
      </c>
    </row>
    <row r="62" spans="1:8" x14ac:dyDescent="0.45">
      <c r="A62" s="0" t="s">
        <v>1361</v>
      </c>
      <c r="B62" s="0" t="s">
        <v>0</v>
      </c>
      <c r="C62" s="0" t="s">
        <v>26</v>
      </c>
      <c r="D62" s="0" t="s">
        <v>104</v>
      </c>
      <c r="E62" s="0">
        <v>59</v>
      </c>
      <c r="G62" s="0" t="s">
        <v>1362</v>
      </c>
      <c r="H62" s="0" t="s">
        <v>1363</v>
      </c>
    </row>
    <row r="63" spans="1:8" x14ac:dyDescent="0.45">
      <c r="A63" s="0" t="s">
        <v>1364</v>
      </c>
      <c r="B63" s="0" t="s">
        <v>0</v>
      </c>
      <c r="C63" s="0" t="s">
        <v>26</v>
      </c>
      <c r="D63" s="0" t="s">
        <v>104</v>
      </c>
      <c r="E63" s="0">
        <v>60</v>
      </c>
      <c r="G63" s="0" t="s">
        <v>1365</v>
      </c>
      <c r="H63" s="0" t="s">
        <v>1366</v>
      </c>
    </row>
    <row r="64" spans="1:8" x14ac:dyDescent="0.45">
      <c r="A64" s="0" t="s">
        <v>1367</v>
      </c>
      <c r="B64" s="0" t="s">
        <v>0</v>
      </c>
      <c r="C64" s="0" t="s">
        <v>26</v>
      </c>
      <c r="D64" s="0" t="s">
        <v>104</v>
      </c>
      <c r="E64" s="0">
        <v>61</v>
      </c>
      <c r="G64" s="0" t="s">
        <v>1368</v>
      </c>
      <c r="H64" s="0" t="s">
        <v>1369</v>
      </c>
    </row>
    <row r="65" spans="1:8" x14ac:dyDescent="0.45">
      <c r="A65" s="0" t="s">
        <v>1370</v>
      </c>
      <c r="B65" s="0" t="s">
        <v>0</v>
      </c>
      <c r="C65" s="0" t="s">
        <v>26</v>
      </c>
      <c r="D65" s="0" t="s">
        <v>104</v>
      </c>
      <c r="E65" s="0">
        <v>62</v>
      </c>
      <c r="G65" s="0" t="s">
        <v>1371</v>
      </c>
      <c r="H65" s="0" t="s">
        <v>1372</v>
      </c>
    </row>
    <row r="66" spans="1:8" x14ac:dyDescent="0.45">
      <c r="A66" s="0" t="s">
        <v>1373</v>
      </c>
      <c r="B66" s="0" t="s">
        <v>0</v>
      </c>
      <c r="C66" s="0" t="s">
        <v>26</v>
      </c>
      <c r="D66" s="0" t="s">
        <v>104</v>
      </c>
      <c r="E66" s="0">
        <v>63</v>
      </c>
      <c r="G66" s="0" t="s">
        <v>1374</v>
      </c>
      <c r="H66" s="0" t="s">
        <v>1375</v>
      </c>
    </row>
    <row r="67" spans="1:8" x14ac:dyDescent="0.45">
      <c r="A67" s="0" t="s">
        <v>1376</v>
      </c>
      <c r="B67" s="0" t="s">
        <v>0</v>
      </c>
      <c r="C67" s="0" t="s">
        <v>26</v>
      </c>
      <c r="D67" s="0" t="s">
        <v>104</v>
      </c>
      <c r="E67" s="0">
        <v>64</v>
      </c>
      <c r="G67" s="0" t="s">
        <v>1377</v>
      </c>
      <c r="H67" s="0" t="s">
        <v>1378</v>
      </c>
    </row>
    <row r="68" spans="1:8" x14ac:dyDescent="0.45">
      <c r="A68" s="0" t="s">
        <v>1379</v>
      </c>
      <c r="B68" s="0" t="s">
        <v>0</v>
      </c>
      <c r="C68" s="0" t="s">
        <v>26</v>
      </c>
      <c r="D68" s="0" t="s">
        <v>104</v>
      </c>
      <c r="E68" s="0">
        <v>65</v>
      </c>
      <c r="G68" s="0" t="s">
        <v>1380</v>
      </c>
      <c r="H68" s="0" t="s">
        <v>1381</v>
      </c>
    </row>
    <row r="69" spans="1:8" x14ac:dyDescent="0.45">
      <c r="A69" s="0" t="s">
        <v>1382</v>
      </c>
      <c r="B69" s="0" t="s">
        <v>0</v>
      </c>
      <c r="C69" s="0" t="s">
        <v>26</v>
      </c>
      <c r="D69" s="0" t="s">
        <v>104</v>
      </c>
      <c r="E69" s="0">
        <v>66</v>
      </c>
      <c r="G69" s="0" t="s">
        <v>1383</v>
      </c>
      <c r="H69" s="0" t="s">
        <v>1384</v>
      </c>
    </row>
    <row r="70" spans="1:8" x14ac:dyDescent="0.45">
      <c r="A70" s="0" t="s">
        <v>1385</v>
      </c>
      <c r="B70" s="0" t="s">
        <v>0</v>
      </c>
      <c r="C70" s="0" t="s">
        <v>26</v>
      </c>
      <c r="D70" s="0" t="s">
        <v>104</v>
      </c>
      <c r="E70" s="0">
        <v>67</v>
      </c>
      <c r="G70" s="0" t="s">
        <v>1386</v>
      </c>
      <c r="H70" s="0" t="s">
        <v>1387</v>
      </c>
    </row>
    <row r="71" spans="1:8" x14ac:dyDescent="0.45">
      <c r="A71" s="0" t="s">
        <v>1388</v>
      </c>
      <c r="B71" s="0" t="s">
        <v>0</v>
      </c>
      <c r="C71" s="0" t="s">
        <v>26</v>
      </c>
      <c r="D71" s="0" t="s">
        <v>104</v>
      </c>
      <c r="E71" s="0">
        <v>68</v>
      </c>
      <c r="G71" s="0" t="s">
        <v>1389</v>
      </c>
      <c r="H71" s="0" t="s">
        <v>1390</v>
      </c>
    </row>
    <row r="72" spans="1:8" x14ac:dyDescent="0.45">
      <c r="A72" s="0" t="s">
        <v>1391</v>
      </c>
      <c r="B72" s="0" t="s">
        <v>0</v>
      </c>
      <c r="C72" s="0" t="s">
        <v>26</v>
      </c>
      <c r="D72" s="0" t="s">
        <v>104</v>
      </c>
      <c r="E72" s="0">
        <v>69</v>
      </c>
      <c r="G72" s="0" t="s">
        <v>1392</v>
      </c>
      <c r="H72" s="0" t="s">
        <v>1393</v>
      </c>
    </row>
    <row r="73" spans="1:8" x14ac:dyDescent="0.45">
      <c r="A73" s="0" t="s">
        <v>1394</v>
      </c>
      <c r="B73" s="0" t="s">
        <v>0</v>
      </c>
      <c r="C73" s="0" t="s">
        <v>26</v>
      </c>
      <c r="D73" s="0" t="s">
        <v>104</v>
      </c>
      <c r="E73" s="0">
        <v>70</v>
      </c>
      <c r="G73" s="0" t="s">
        <v>1395</v>
      </c>
      <c r="H73" s="0" t="s">
        <v>1396</v>
      </c>
    </row>
    <row r="74" spans="1:8" x14ac:dyDescent="0.45">
      <c r="A74" s="0" t="s">
        <v>1397</v>
      </c>
      <c r="B74" s="0" t="s">
        <v>0</v>
      </c>
      <c r="C74" s="0" t="s">
        <v>26</v>
      </c>
      <c r="D74" s="0" t="s">
        <v>104</v>
      </c>
      <c r="E74" s="0">
        <v>71</v>
      </c>
      <c r="G74" s="0" t="s">
        <v>1398</v>
      </c>
      <c r="H74" s="0" t="s">
        <v>1399</v>
      </c>
    </row>
    <row r="75" spans="1:8" x14ac:dyDescent="0.45">
      <c r="A75" s="0" t="s">
        <v>1400</v>
      </c>
      <c r="B75" s="0" t="s">
        <v>0</v>
      </c>
      <c r="C75" s="0" t="s">
        <v>26</v>
      </c>
      <c r="D75" s="0" t="s">
        <v>104</v>
      </c>
      <c r="E75" s="0">
        <v>72</v>
      </c>
      <c r="G75" s="0" t="s">
        <v>1401</v>
      </c>
      <c r="H75" s="0" t="s">
        <v>1402</v>
      </c>
    </row>
    <row r="76" spans="1:8" x14ac:dyDescent="0.45">
      <c r="A76" s="0" t="s">
        <v>1403</v>
      </c>
      <c r="B76" s="0" t="s">
        <v>0</v>
      </c>
      <c r="C76" s="0" t="s">
        <v>26</v>
      </c>
      <c r="D76" s="0" t="s">
        <v>104</v>
      </c>
      <c r="E76" s="0">
        <v>73</v>
      </c>
      <c r="G76" s="0" t="s">
        <v>1404</v>
      </c>
      <c r="H76" s="0" t="s">
        <v>1405</v>
      </c>
    </row>
    <row r="77" spans="1:8" x14ac:dyDescent="0.45">
      <c r="A77" s="0" t="s">
        <v>1406</v>
      </c>
      <c r="B77" s="0" t="s">
        <v>0</v>
      </c>
      <c r="C77" s="0" t="s">
        <v>26</v>
      </c>
      <c r="D77" s="0" t="s">
        <v>104</v>
      </c>
      <c r="E77" s="0">
        <v>74</v>
      </c>
      <c r="G77" s="0" t="s">
        <v>1407</v>
      </c>
      <c r="H77" s="0" t="s">
        <v>1408</v>
      </c>
    </row>
    <row r="78" spans="1:8" x14ac:dyDescent="0.45">
      <c r="A78" s="0" t="s">
        <v>1409</v>
      </c>
      <c r="B78" s="0" t="s">
        <v>0</v>
      </c>
      <c r="C78" s="0" t="s">
        <v>26</v>
      </c>
      <c r="D78" s="0" t="s">
        <v>104</v>
      </c>
      <c r="E78" s="0">
        <v>75</v>
      </c>
      <c r="G78" s="0" t="s">
        <v>1410</v>
      </c>
      <c r="H78" s="0" t="s">
        <v>1411</v>
      </c>
    </row>
    <row r="79" spans="1:8" x14ac:dyDescent="0.45">
      <c r="A79" s="0" t="s">
        <v>1412</v>
      </c>
      <c r="B79" s="0" t="s">
        <v>0</v>
      </c>
      <c r="C79" s="0" t="s">
        <v>26</v>
      </c>
      <c r="D79" s="0" t="s">
        <v>104</v>
      </c>
      <c r="E79" s="0">
        <v>76</v>
      </c>
      <c r="G79" s="0" t="s">
        <v>1413</v>
      </c>
      <c r="H79" s="0" t="s">
        <v>1414</v>
      </c>
    </row>
    <row r="80" spans="1:8" x14ac:dyDescent="0.45">
      <c r="A80" s="0" t="s">
        <v>1415</v>
      </c>
      <c r="B80" s="0" t="s">
        <v>0</v>
      </c>
      <c r="C80" s="0" t="s">
        <v>26</v>
      </c>
      <c r="D80" s="0" t="s">
        <v>104</v>
      </c>
      <c r="E80" s="0">
        <v>77</v>
      </c>
      <c r="G80" s="0" t="s">
        <v>1416</v>
      </c>
      <c r="H80" s="0" t="s">
        <v>1417</v>
      </c>
    </row>
    <row r="81" spans="1:8" x14ac:dyDescent="0.45">
      <c r="A81" s="0" t="s">
        <v>1418</v>
      </c>
      <c r="B81" s="0" t="s">
        <v>0</v>
      </c>
      <c r="C81" s="0" t="s">
        <v>26</v>
      </c>
      <c r="D81" s="0" t="s">
        <v>104</v>
      </c>
      <c r="E81" s="0">
        <v>78</v>
      </c>
      <c r="G81" s="0" t="s">
        <v>1419</v>
      </c>
      <c r="H81" s="0" t="s">
        <v>1420</v>
      </c>
    </row>
    <row r="82" spans="1:8" x14ac:dyDescent="0.45">
      <c r="A82" s="0" t="s">
        <v>1421</v>
      </c>
      <c r="B82" s="0" t="s">
        <v>0</v>
      </c>
      <c r="C82" s="0" t="s">
        <v>26</v>
      </c>
      <c r="D82" s="0" t="s">
        <v>104</v>
      </c>
      <c r="E82" s="0">
        <v>79</v>
      </c>
      <c r="G82" s="0" t="s">
        <v>1422</v>
      </c>
      <c r="H82" s="0" t="s">
        <v>1423</v>
      </c>
    </row>
    <row r="83" spans="1:8" x14ac:dyDescent="0.45">
      <c r="A83" s="0" t="s">
        <v>1424</v>
      </c>
      <c r="B83" s="0" t="s">
        <v>0</v>
      </c>
      <c r="C83" s="0" t="s">
        <v>26</v>
      </c>
      <c r="D83" s="0" t="s">
        <v>104</v>
      </c>
      <c r="E83" s="0">
        <v>80</v>
      </c>
      <c r="G83" s="0" t="s">
        <v>1425</v>
      </c>
      <c r="H83" s="0" t="s">
        <v>1426</v>
      </c>
    </row>
    <row r="84" spans="1:8" x14ac:dyDescent="0.45">
      <c r="A84" s="0" t="s">
        <v>1427</v>
      </c>
      <c r="B84" s="0" t="s">
        <v>0</v>
      </c>
      <c r="C84" s="0" t="s">
        <v>26</v>
      </c>
      <c r="D84" s="0" t="s">
        <v>104</v>
      </c>
      <c r="E84" s="0">
        <v>81</v>
      </c>
      <c r="G84" s="0" t="s">
        <v>1428</v>
      </c>
      <c r="H84" s="0" t="s">
        <v>1429</v>
      </c>
    </row>
    <row r="85" spans="1:8" x14ac:dyDescent="0.45">
      <c r="A85" s="0" t="s">
        <v>1430</v>
      </c>
      <c r="B85" s="0" t="s">
        <v>0</v>
      </c>
      <c r="C85" s="0" t="s">
        <v>26</v>
      </c>
      <c r="D85" s="0" t="s">
        <v>104</v>
      </c>
      <c r="E85" s="0">
        <v>82</v>
      </c>
      <c r="G85" s="0" t="s">
        <v>1431</v>
      </c>
      <c r="H85" s="0" t="s">
        <v>1432</v>
      </c>
    </row>
    <row r="86" spans="1:8" x14ac:dyDescent="0.45">
      <c r="A86" s="0" t="s">
        <v>1433</v>
      </c>
      <c r="B86" s="0" t="s">
        <v>0</v>
      </c>
      <c r="C86" s="0" t="s">
        <v>26</v>
      </c>
      <c r="D86" s="0" t="s">
        <v>104</v>
      </c>
      <c r="E86" s="0">
        <v>83</v>
      </c>
      <c r="G86" s="0" t="s">
        <v>1434</v>
      </c>
      <c r="H86" s="0" t="s">
        <v>1435</v>
      </c>
    </row>
    <row r="87" spans="1:8" x14ac:dyDescent="0.45">
      <c r="A87" s="0" t="s">
        <v>1436</v>
      </c>
      <c r="B87" s="0" t="s">
        <v>0</v>
      </c>
      <c r="C87" s="0" t="s">
        <v>26</v>
      </c>
      <c r="D87" s="0" t="s">
        <v>104</v>
      </c>
      <c r="E87" s="0">
        <v>84</v>
      </c>
      <c r="G87" s="0" t="s">
        <v>1437</v>
      </c>
      <c r="H87" s="0" t="s">
        <v>1438</v>
      </c>
    </row>
    <row r="88" spans="1:8" x14ac:dyDescent="0.45">
      <c r="A88" s="0" t="s">
        <v>1439</v>
      </c>
      <c r="B88" s="0" t="s">
        <v>0</v>
      </c>
      <c r="C88" s="0" t="s">
        <v>26</v>
      </c>
      <c r="D88" s="0" t="s">
        <v>104</v>
      </c>
      <c r="E88" s="0">
        <v>85</v>
      </c>
      <c r="G88" s="0" t="s">
        <v>1440</v>
      </c>
      <c r="H88" s="0" t="s">
        <v>1441</v>
      </c>
    </row>
    <row r="89" spans="1:8" x14ac:dyDescent="0.45">
      <c r="A89" s="0" t="s">
        <v>1442</v>
      </c>
      <c r="B89" s="0" t="s">
        <v>0</v>
      </c>
      <c r="C89" s="0" t="s">
        <v>26</v>
      </c>
      <c r="D89" s="0" t="s">
        <v>104</v>
      </c>
      <c r="E89" s="0">
        <v>86</v>
      </c>
      <c r="G89" s="0" t="s">
        <v>1443</v>
      </c>
      <c r="H89" s="0" t="s">
        <v>1444</v>
      </c>
    </row>
    <row r="90" spans="1:8" x14ac:dyDescent="0.45">
      <c r="A90" s="0" t="s">
        <v>1445</v>
      </c>
      <c r="B90" s="0" t="s">
        <v>0</v>
      </c>
      <c r="C90" s="0" t="s">
        <v>26</v>
      </c>
      <c r="D90" s="0" t="s">
        <v>104</v>
      </c>
      <c r="E90" s="0">
        <v>87</v>
      </c>
      <c r="G90" s="0" t="s">
        <v>1446</v>
      </c>
      <c r="H90" s="0" t="s">
        <v>1447</v>
      </c>
    </row>
    <row r="91" spans="1:8" x14ac:dyDescent="0.45">
      <c r="A91" s="0" t="s">
        <v>1448</v>
      </c>
      <c r="B91" s="0" t="s">
        <v>0</v>
      </c>
      <c r="C91" s="0" t="s">
        <v>26</v>
      </c>
      <c r="D91" s="0" t="s">
        <v>104</v>
      </c>
      <c r="E91" s="0">
        <v>88</v>
      </c>
      <c r="G91" s="0" t="s">
        <v>1449</v>
      </c>
      <c r="H91" s="0" t="s">
        <v>1450</v>
      </c>
    </row>
    <row r="92" spans="1:8" x14ac:dyDescent="0.45">
      <c r="A92" s="0" t="s">
        <v>1451</v>
      </c>
      <c r="B92" s="0" t="s">
        <v>0</v>
      </c>
      <c r="C92" s="0" t="s">
        <v>26</v>
      </c>
      <c r="D92" s="0" t="s">
        <v>104</v>
      </c>
      <c r="E92" s="0">
        <v>89</v>
      </c>
      <c r="G92" s="0" t="s">
        <v>1452</v>
      </c>
      <c r="H92" s="0" t="s">
        <v>1453</v>
      </c>
    </row>
    <row r="93" spans="1:8" x14ac:dyDescent="0.45">
      <c r="A93" s="0" t="s">
        <v>1454</v>
      </c>
      <c r="B93" s="0" t="s">
        <v>0</v>
      </c>
      <c r="C93" s="0" t="s">
        <v>26</v>
      </c>
      <c r="D93" s="0" t="s">
        <v>104</v>
      </c>
      <c r="E93" s="0">
        <v>90</v>
      </c>
      <c r="G93" s="0" t="s">
        <v>1455</v>
      </c>
      <c r="H93" s="0" t="s">
        <v>1456</v>
      </c>
    </row>
    <row r="94" spans="1:8" x14ac:dyDescent="0.45">
      <c r="A94" s="0" t="s">
        <v>1457</v>
      </c>
      <c r="B94" s="0" t="s">
        <v>0</v>
      </c>
      <c r="C94" s="0" t="s">
        <v>26</v>
      </c>
      <c r="D94" s="0" t="s">
        <v>104</v>
      </c>
      <c r="E94" s="0">
        <v>91</v>
      </c>
      <c r="G94" s="0" t="s">
        <v>1458</v>
      </c>
      <c r="H94" s="0" t="s">
        <v>1459</v>
      </c>
    </row>
    <row r="95" spans="1:8" x14ac:dyDescent="0.45">
      <c r="A95" s="0" t="s">
        <v>1460</v>
      </c>
      <c r="B95" s="0" t="s">
        <v>0</v>
      </c>
      <c r="C95" s="0" t="s">
        <v>26</v>
      </c>
      <c r="D95" s="0" t="s">
        <v>104</v>
      </c>
      <c r="E95" s="0">
        <v>92</v>
      </c>
      <c r="G95" s="0" t="s">
        <v>1461</v>
      </c>
      <c r="H95" s="0" t="s">
        <v>1462</v>
      </c>
    </row>
    <row r="96" spans="1:8" x14ac:dyDescent="0.45">
      <c r="A96" s="0" t="s">
        <v>1463</v>
      </c>
      <c r="B96" s="0" t="s">
        <v>0</v>
      </c>
      <c r="C96" s="0" t="s">
        <v>26</v>
      </c>
      <c r="D96" s="0" t="s">
        <v>104</v>
      </c>
      <c r="E96" s="0">
        <v>93</v>
      </c>
      <c r="G96" s="0" t="s">
        <v>1464</v>
      </c>
      <c r="H96" s="0" t="s">
        <v>1465</v>
      </c>
    </row>
    <row r="97" spans="1:8" x14ac:dyDescent="0.45">
      <c r="A97" s="0" t="s">
        <v>1466</v>
      </c>
      <c r="B97" s="0" t="s">
        <v>0</v>
      </c>
      <c r="C97" s="0" t="s">
        <v>26</v>
      </c>
      <c r="D97" s="0" t="s">
        <v>104</v>
      </c>
      <c r="E97" s="0">
        <v>94</v>
      </c>
      <c r="G97" s="0" t="s">
        <v>1467</v>
      </c>
      <c r="H97" s="0" t="s">
        <v>1468</v>
      </c>
    </row>
    <row r="98" spans="1:8" x14ac:dyDescent="0.45">
      <c r="A98" s="0" t="s">
        <v>1469</v>
      </c>
      <c r="B98" s="0" t="s">
        <v>0</v>
      </c>
      <c r="C98" s="0" t="s">
        <v>26</v>
      </c>
      <c r="D98" s="0" t="s">
        <v>104</v>
      </c>
      <c r="E98" s="0">
        <v>95</v>
      </c>
      <c r="G98" s="0" t="s">
        <v>1470</v>
      </c>
      <c r="H98" s="0" t="s">
        <v>1471</v>
      </c>
    </row>
    <row r="99" spans="1:8" x14ac:dyDescent="0.45">
      <c r="A99" s="0" t="s">
        <v>1472</v>
      </c>
      <c r="B99" s="0" t="s">
        <v>0</v>
      </c>
      <c r="C99" s="0" t="s">
        <v>26</v>
      </c>
      <c r="D99" s="0" t="s">
        <v>104</v>
      </c>
      <c r="E99" s="0">
        <v>96</v>
      </c>
      <c r="G99" s="0" t="s">
        <v>1473</v>
      </c>
      <c r="H99" s="0" t="s">
        <v>1474</v>
      </c>
    </row>
    <row r="100" spans="1:8" x14ac:dyDescent="0.45">
      <c r="A100" s="0" t="s">
        <v>1475</v>
      </c>
      <c r="B100" s="0" t="s">
        <v>0</v>
      </c>
      <c r="C100" s="0" t="s">
        <v>26</v>
      </c>
      <c r="D100" s="0" t="s">
        <v>104</v>
      </c>
      <c r="E100" s="0">
        <v>97</v>
      </c>
      <c r="G100" s="0" t="s">
        <v>1476</v>
      </c>
      <c r="H100" s="0" t="s">
        <v>1477</v>
      </c>
    </row>
    <row r="101" spans="1:8" x14ac:dyDescent="0.45">
      <c r="A101" s="0" t="s">
        <v>1478</v>
      </c>
      <c r="B101" s="0" t="s">
        <v>0</v>
      </c>
      <c r="C101" s="0" t="s">
        <v>26</v>
      </c>
      <c r="D101" s="0" t="s">
        <v>104</v>
      </c>
      <c r="E101" s="0">
        <v>98</v>
      </c>
      <c r="G101" s="0" t="s">
        <v>1479</v>
      </c>
      <c r="H101" s="0" t="s">
        <v>1480</v>
      </c>
    </row>
    <row r="102" spans="1:8" x14ac:dyDescent="0.45">
      <c r="A102" s="0" t="s">
        <v>1481</v>
      </c>
      <c r="B102" s="0" t="s">
        <v>0</v>
      </c>
      <c r="C102" s="0" t="s">
        <v>26</v>
      </c>
      <c r="D102" s="0" t="s">
        <v>104</v>
      </c>
      <c r="E102" s="0">
        <v>99</v>
      </c>
      <c r="G102" s="0" t="s">
        <v>1482</v>
      </c>
      <c r="H102" s="0" t="s">
        <v>1483</v>
      </c>
    </row>
    <row r="103" spans="1:8" x14ac:dyDescent="0.45">
      <c r="A103" s="0" t="s">
        <v>1484</v>
      </c>
      <c r="B103" s="0" t="s">
        <v>0</v>
      </c>
      <c r="C103" s="0" t="s">
        <v>26</v>
      </c>
      <c r="D103" s="0" t="s">
        <v>104</v>
      </c>
      <c r="E103" s="0">
        <v>100</v>
      </c>
      <c r="G103" s="0" t="s">
        <v>1485</v>
      </c>
      <c r="H103" s="0" t="s">
        <v>1486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8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700-000000000000}" mc:Ignorable="x14ac xr xr2 xr3">
  <sheetPr>
    <outlinePr summaryBelow="1" summaryRight="1"/>
  </sheetPr>
  <dimension ref="A1:H12"/>
  <sheetViews>
    <sheetView workbookViewId="0"/>
    <sheetView workbookViewId="1"/>
  </sheetViews>
  <sheetFormatPr defaultRowHeight="17" x14ac:dyDescent="0.45"/>
  <cols>
    <col min="1" max="1" width="19.082031" style="0" customWidth="1"/>
    <col min="2" max="2" width="10.332031" style="0" customWidth="1"/>
    <col min="3" max="3" width="12.582031" style="0" customWidth="1"/>
    <col min="4" max="4" width="9.082031" style="0" customWidth="1"/>
    <col min="5" max="5" width="15" style="0" customWidth="1"/>
    <col min="6" max="6" width="18.332031" style="0" customWidth="1"/>
    <col min="7" max="8" width="11.082031" style="0" customWidth="1"/>
  </cols>
  <sheetData>
    <row r="1" spans="1:8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</row>
    <row r="2" spans="1:8" x14ac:dyDescent="0.45">
      <c r="A2" s="0" t="s">
        <v>1</v>
      </c>
      <c r="C2" s="0" t="s">
        <v>2</v>
      </c>
      <c r="D2" s="0" t="s">
        <v>1128</v>
      </c>
      <c r="E2" s="0" t="s">
        <v>1487</v>
      </c>
      <c r="F2" s="0" t="s">
        <v>1488</v>
      </c>
      <c r="G2" s="0" t="s">
        <v>1489</v>
      </c>
      <c r="H2" s="0" t="s">
        <v>1490</v>
      </c>
    </row>
    <row r="3" spans="1:8" x14ac:dyDescent="0.45">
      <c r="A3" s="1" t="s">
        <v>13</v>
      </c>
      <c r="B3" s="1" t="s">
        <v>14</v>
      </c>
      <c r="C3" s="1" t="s">
        <v>15</v>
      </c>
      <c r="D3" s="1" t="s">
        <v>100</v>
      </c>
      <c r="E3" s="1" t="s">
        <v>1491</v>
      </c>
      <c r="F3" s="1" t="s">
        <v>1492</v>
      </c>
      <c r="G3" s="1" t="s">
        <v>1185</v>
      </c>
      <c r="H3" s="1" t="s">
        <v>1186</v>
      </c>
    </row>
    <row r="4" spans="1:8" x14ac:dyDescent="0.45">
      <c r="A4" s="0" t="str">
        <f t="shared" ref="A4:A12" si="0">_xlfn.TEXTJOIN("_",TRUE,C4,"dic_monster",D4)</f>
        <v>s1_dic_monster_1</v>
      </c>
      <c r="B4" s="0" t="s">
        <v>0</v>
      </c>
      <c r="C4" s="0" t="s">
        <v>26</v>
      </c>
      <c r="D4" s="0">
        <v>1</v>
      </c>
      <c r="E4" s="0" t="s">
        <v>1493</v>
      </c>
      <c r="F4" s="0" t="s">
        <v>1494</v>
      </c>
      <c r="G4" s="0" t="s">
        <v>1495</v>
      </c>
      <c r="H4" s="0" t="s">
        <v>1496</v>
      </c>
    </row>
    <row r="5" spans="1:8" x14ac:dyDescent="0.45">
      <c r="A5" s="0" t="str">
        <f t="shared" si="0"/>
        <v>s1_dic_monster_2</v>
      </c>
      <c r="B5" s="0" t="s">
        <v>0</v>
      </c>
      <c r="C5" s="0" t="s">
        <v>26</v>
      </c>
      <c r="D5" s="0">
        <v>2</v>
      </c>
      <c r="E5" s="0" t="s">
        <v>1493</v>
      </c>
      <c r="F5" s="0" t="s">
        <v>1497</v>
      </c>
      <c r="G5" s="0" t="s">
        <v>1498</v>
      </c>
      <c r="H5" s="0" t="s">
        <v>1499</v>
      </c>
    </row>
    <row r="6" spans="1:8" x14ac:dyDescent="0.45">
      <c r="A6" s="0" t="str">
        <f t="shared" si="0"/>
        <v>s1_dic_monster_3</v>
      </c>
      <c r="B6" s="0" t="s">
        <v>0</v>
      </c>
      <c r="C6" s="0" t="s">
        <v>26</v>
      </c>
      <c r="D6" s="0">
        <v>3</v>
      </c>
      <c r="E6" s="0" t="s">
        <v>1493</v>
      </c>
      <c r="F6" s="0" t="s">
        <v>1500</v>
      </c>
      <c r="G6" s="0" t="s">
        <v>1501</v>
      </c>
      <c r="H6" s="0" t="s">
        <v>1502</v>
      </c>
    </row>
    <row r="7" spans="1:8" x14ac:dyDescent="0.45">
      <c r="A7" s="0" t="str">
        <f t="shared" si="0"/>
        <v>s1_dic_monster_4</v>
      </c>
      <c r="B7" s="0" t="s">
        <v>0</v>
      </c>
      <c r="C7" s="0" t="s">
        <v>26</v>
      </c>
      <c r="D7" s="0">
        <v>4</v>
      </c>
      <c r="E7" s="0" t="s">
        <v>1493</v>
      </c>
      <c r="F7" s="0" t="s">
        <v>1503</v>
      </c>
      <c r="G7" s="0" t="s">
        <v>1504</v>
      </c>
      <c r="H7" s="0" t="s">
        <v>1505</v>
      </c>
    </row>
    <row r="8" spans="1:8" x14ac:dyDescent="0.45">
      <c r="A8" s="0" t="str">
        <f t="shared" si="0"/>
        <v>s1_dic_monster_5</v>
      </c>
      <c r="B8" s="0" t="s">
        <v>0</v>
      </c>
      <c r="C8" s="0" t="s">
        <v>26</v>
      </c>
      <c r="D8" s="0">
        <v>5</v>
      </c>
      <c r="E8" s="0" t="s">
        <v>1506</v>
      </c>
      <c r="F8" s="0" t="s">
        <v>1507</v>
      </c>
      <c r="G8" s="0" t="s">
        <v>1508</v>
      </c>
      <c r="H8" s="0" t="s">
        <v>1509</v>
      </c>
    </row>
    <row r="9" spans="1:8" x14ac:dyDescent="0.45">
      <c r="A9" s="0" t="str">
        <f t="shared" si="0"/>
        <v>s1_dic_monster_6</v>
      </c>
      <c r="B9" s="0" t="s">
        <v>0</v>
      </c>
      <c r="C9" s="0" t="s">
        <v>26</v>
      </c>
      <c r="D9" s="0">
        <v>6</v>
      </c>
      <c r="E9" s="0" t="s">
        <v>1506</v>
      </c>
      <c r="F9" s="0" t="s">
        <v>1510</v>
      </c>
      <c r="G9" s="0" t="s">
        <v>1511</v>
      </c>
      <c r="H9" s="0" t="s">
        <v>1512</v>
      </c>
    </row>
    <row r="10" spans="1:8" x14ac:dyDescent="0.45">
      <c r="A10" s="0" t="str">
        <f t="shared" si="0"/>
        <v>s1_dic_monster_7</v>
      </c>
      <c r="B10" s="0" t="s">
        <v>0</v>
      </c>
      <c r="C10" s="0" t="s">
        <v>26</v>
      </c>
      <c r="D10" s="0">
        <v>7</v>
      </c>
      <c r="E10" s="0" t="s">
        <v>1506</v>
      </c>
      <c r="F10" s="0" t="s">
        <v>1513</v>
      </c>
      <c r="G10" s="0" t="s">
        <v>1514</v>
      </c>
      <c r="H10" s="0" t="s">
        <v>1515</v>
      </c>
    </row>
    <row r="11" spans="1:8" x14ac:dyDescent="0.45">
      <c r="A11" s="0" t="str">
        <f t="shared" si="0"/>
        <v>s1_dic_monster_8</v>
      </c>
      <c r="B11" s="0" t="s">
        <v>0</v>
      </c>
      <c r="C11" s="0" t="s">
        <v>26</v>
      </c>
      <c r="D11" s="0">
        <v>8</v>
      </c>
      <c r="E11" s="0" t="s">
        <v>1506</v>
      </c>
      <c r="F11" s="0" t="s">
        <v>1516</v>
      </c>
      <c r="G11" s="0" t="s">
        <v>1517</v>
      </c>
      <c r="H11" s="0" t="s">
        <v>1518</v>
      </c>
    </row>
    <row r="12" spans="1:8" x14ac:dyDescent="0.45">
      <c r="A12" s="0" t="str">
        <f t="shared" si="0"/>
        <v>s1_dic_monster_9</v>
      </c>
      <c r="B12" s="0" t="s">
        <v>0</v>
      </c>
      <c r="C12" s="0" t="s">
        <v>26</v>
      </c>
      <c r="D12" s="0">
        <v>9</v>
      </c>
      <c r="E12" s="0" t="s">
        <v>1519</v>
      </c>
      <c r="F12" s="0" t="s">
        <v>1520</v>
      </c>
      <c r="G12" s="0" t="s">
        <v>1521</v>
      </c>
      <c r="H12" s="0" t="s">
        <v>1522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9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800-000000000000}" mc:Ignorable="x14ac xr xr2 xr3">
  <sheetPr>
    <outlinePr summaryBelow="1" summaryRight="1"/>
  </sheetPr>
  <dimension ref="A1:R8"/>
  <sheetViews>
    <sheetView workbookViewId="0">
      <selection activeCell="A5" sqref="A5"/>
    </sheetView>
    <sheetView workbookViewId="1"/>
  </sheetViews>
  <sheetFormatPr defaultRowHeight="17" x14ac:dyDescent="0.45"/>
  <cols>
    <col min="1" max="1" width="24.75" style="0" customWidth="1"/>
    <col min="2" max="2" width="10.332031" style="0" customWidth="1"/>
    <col min="3" max="3" width="12.582031" style="0" customWidth="1"/>
    <col min="4" max="7" width="11.582031" style="0" customWidth="1"/>
    <col min="8" max="8" width="13.5" style="0" customWidth="1"/>
    <col min="9" max="9" width="11.582031" style="0" customWidth="1"/>
    <col min="10" max="10" width="13.75" style="0" customWidth="1"/>
    <col min="11" max="11" width="36" style="0" customWidth="1"/>
    <col min="12" max="12" width="14.082031" style="0" customWidth="1"/>
    <col min="13" max="13" width="11.832031" style="0" customWidth="1"/>
    <col min="14" max="14" width="14.832031" style="0" customWidth="1"/>
    <col min="15" max="15" width="13.5" style="0" customWidth="1"/>
    <col min="16" max="16" width="11.582031" style="0" customWidth="1"/>
    <col min="17" max="17" width="13.75" style="0" customWidth="1"/>
    <col min="18" max="18" width="36" style="0" customWidth="1"/>
  </cols>
  <sheetData>
    <row r="1" spans="1:18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</row>
    <row r="2" spans="1:18" x14ac:dyDescent="0.45">
      <c r="A2" s="0" t="s">
        <v>1</v>
      </c>
      <c r="C2" s="1" t="s">
        <v>2</v>
      </c>
      <c r="D2" s="0" t="s">
        <v>1523</v>
      </c>
      <c r="E2" s="0" t="s">
        <v>60</v>
      </c>
      <c r="F2" s="0" t="s">
        <v>61</v>
      </c>
      <c r="G2" s="0" t="s">
        <v>62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60</v>
      </c>
      <c r="M2" s="0" t="s">
        <v>61</v>
      </c>
      <c r="N2" s="0" t="s">
        <v>62</v>
      </c>
      <c r="O2" s="0" t="s">
        <v>9</v>
      </c>
      <c r="P2" s="0" t="s">
        <v>10</v>
      </c>
      <c r="Q2" s="0" t="s">
        <v>11</v>
      </c>
      <c r="R2" s="0" t="s">
        <v>12</v>
      </c>
    </row>
    <row r="3" spans="1:18" x14ac:dyDescent="0.45">
      <c r="A3" s="1" t="s">
        <v>13</v>
      </c>
      <c r="B3" s="1" t="s">
        <v>14</v>
      </c>
      <c r="C3" s="1" t="s">
        <v>15</v>
      </c>
      <c r="D3" s="1" t="s">
        <v>1524</v>
      </c>
      <c r="E3" s="1" t="s">
        <v>68</v>
      </c>
      <c r="F3" s="1" t="s">
        <v>18</v>
      </c>
      <c r="G3" s="1" t="s">
        <v>69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70</v>
      </c>
      <c r="M3" s="1" t="s">
        <v>71</v>
      </c>
      <c r="N3" s="1" t="s">
        <v>72</v>
      </c>
      <c r="O3" s="1" t="s">
        <v>73</v>
      </c>
      <c r="P3" s="1" t="s">
        <v>74</v>
      </c>
      <c r="Q3" s="1" t="s">
        <v>75</v>
      </c>
      <c r="R3" s="1" t="s">
        <v>76</v>
      </c>
    </row>
    <row r="4" spans="1:18" x14ac:dyDescent="0.45">
      <c r="A4" s="0" t="str">
        <f>_xlfn.TEXTJOIN("_",TRUE,C4,"reward",D4*100)</f>
        <v>s1_reward_20</v>
      </c>
      <c r="B4" s="0" t="s">
        <v>0</v>
      </c>
      <c r="C4" s="0" t="s">
        <v>26</v>
      </c>
      <c r="D4" s="2">
        <v>0.2</v>
      </c>
      <c r="E4" s="2" t="s">
        <v>80</v>
      </c>
      <c r="F4" s="2" t="s">
        <v>27</v>
      </c>
      <c r="G4" s="2">
        <v>100000</v>
      </c>
    </row>
    <row r="5" spans="1:18" x14ac:dyDescent="0.45">
      <c r="A5" s="0" t="str">
        <f>_xlfn.TEXTJOIN("_",TRUE,C5,"reward",D5*100)</f>
        <v>s1_reward_40</v>
      </c>
      <c r="B5" s="0" t="s">
        <v>0</v>
      </c>
      <c r="C5" s="0" t="s">
        <v>26</v>
      </c>
      <c r="D5" s="2">
        <v>0.4</v>
      </c>
      <c r="E5" s="2" t="s">
        <v>80</v>
      </c>
      <c r="F5" s="2" t="s">
        <v>32</v>
      </c>
      <c r="G5" s="2">
        <v>100</v>
      </c>
    </row>
    <row r="6" spans="1:18" x14ac:dyDescent="0.45">
      <c r="A6" s="0" t="str">
        <f>_xlfn.TEXTJOIN("_",TRUE,C6,"reward",D6*100)</f>
        <v>s1_reward_60</v>
      </c>
      <c r="B6" s="0" t="s">
        <v>0</v>
      </c>
      <c r="C6" s="0" t="s">
        <v>26</v>
      </c>
      <c r="D6" s="2">
        <v>0.6</v>
      </c>
      <c r="E6" s="2" t="s">
        <v>80</v>
      </c>
      <c r="F6" s="2" t="s">
        <v>30</v>
      </c>
      <c r="G6" s="2">
        <v>10</v>
      </c>
      <c r="L6" s="0" t="s">
        <v>80</v>
      </c>
      <c r="M6" s="0" t="s">
        <v>29</v>
      </c>
      <c r="N6" s="0">
        <v>500</v>
      </c>
    </row>
    <row r="7" spans="1:18" x14ac:dyDescent="0.45">
      <c r="A7" s="0" t="str">
        <f>_xlfn.TEXTJOIN("_",TRUE,C7,"reward",D7*100)</f>
        <v>s1_reward_80</v>
      </c>
      <c r="B7" s="0" t="s">
        <v>0</v>
      </c>
      <c r="C7" s="0" t="s">
        <v>26</v>
      </c>
      <c r="D7" s="2">
        <v>0.8</v>
      </c>
      <c r="E7" s="2" t="s">
        <v>80</v>
      </c>
      <c r="F7" s="2" t="s">
        <v>34</v>
      </c>
      <c r="G7" s="2">
        <v>80</v>
      </c>
      <c r="L7" s="0" t="s">
        <v>80</v>
      </c>
      <c r="M7" s="0" t="s">
        <v>49</v>
      </c>
      <c r="N7" s="0">
        <v>1</v>
      </c>
    </row>
    <row r="8" spans="1:18" x14ac:dyDescent="0.45">
      <c r="A8" s="0" t="str">
        <f>_xlfn.TEXTJOIN("_",TRUE,C8,"reward",D8*100)</f>
        <v>s1_reward_100</v>
      </c>
      <c r="B8" s="0" t="s">
        <v>0</v>
      </c>
      <c r="C8" s="0" t="s">
        <v>26</v>
      </c>
      <c r="D8" s="2">
        <v>1</v>
      </c>
      <c r="E8" s="2" t="s">
        <v>80</v>
      </c>
      <c r="F8" s="2" t="s">
        <v>1525</v>
      </c>
      <c r="G8" s="2">
        <v>1</v>
      </c>
      <c r="L8" s="0" t="s">
        <v>80</v>
      </c>
      <c r="M8" s="0" t="s">
        <v>52</v>
      </c>
      <c r="N8" s="0">
        <v>5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0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900-000000000000}" mc:Ignorable="x14ac xr xr2 xr3">
  <sheetPr>
    <outlinePr summaryBelow="1" summaryRight="1"/>
  </sheetPr>
  <dimension ref="A1:V8"/>
  <sheetViews>
    <sheetView workbookViewId="0">
      <selection activeCell="G12" sqref="G12"/>
    </sheetView>
    <sheetView workbookViewId="1"/>
  </sheetViews>
  <sheetFormatPr defaultRowHeight="17" x14ac:dyDescent="0.45"/>
  <cols>
    <col min="1" max="1" width="17.832031" style="0" customWidth="1"/>
    <col min="2" max="3" width="14.832031" style="0" customWidth="1"/>
    <col min="4" max="4" width="9.082031" style="0" customWidth="1"/>
    <col min="5" max="5" width="18.414062" style="0" bestFit="1" customWidth="1"/>
    <col min="6" max="6" width="25.332031" style="0" customWidth="1"/>
    <col min="7" max="7" width="27.832031" style="0" customWidth="1"/>
    <col min="8" max="8" width="19.582031" style="0" bestFit="1" customWidth="1"/>
    <col min="9" max="9" width="12.832031" style="0" customWidth="1"/>
    <col min="10" max="10" width="16.25" style="0" bestFit="1" customWidth="1"/>
    <col min="11" max="11" width="13.832031" style="0" customWidth="1"/>
    <col min="12" max="12" width="12.582031" style="0" customWidth="1"/>
    <col min="13" max="13" width="10.832031" style="0" customWidth="1"/>
    <col min="14" max="14" width="13.75" style="0" customWidth="1"/>
    <col min="15" max="15" width="36" style="0" customWidth="1"/>
    <col min="16" max="16" width="12.832031" style="0" customWidth="1"/>
    <col min="17" max="17" width="10.832031" style="0" customWidth="1"/>
    <col min="18" max="18" width="13.832031" style="0" customWidth="1"/>
    <col min="19" max="19" width="12.582031" style="0" customWidth="1"/>
    <col min="20" max="20" width="10.832031" style="0" customWidth="1"/>
    <col min="21" max="21" width="13.75" style="0" customWidth="1"/>
    <col min="22" max="22" width="36" style="0" customWidth="1"/>
  </cols>
  <sheetData>
    <row r="1" spans="1:22" x14ac:dyDescent="0.45">
      <c r="A1" s="0" t="s">
        <v>0</v>
      </c>
      <c r="B1" s="0" t="s">
        <v>0</v>
      </c>
      <c r="C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</row>
    <row r="2" spans="1:22" x14ac:dyDescent="0.45">
      <c r="A2" s="0" t="s">
        <v>1</v>
      </c>
      <c r="C2" s="0" t="s">
        <v>2</v>
      </c>
      <c r="D2" s="10" t="s">
        <v>1526</v>
      </c>
      <c r="E2" s="10" t="s">
        <v>1527</v>
      </c>
      <c r="F2" s="0" t="s">
        <v>1528</v>
      </c>
      <c r="G2" s="0" t="s">
        <v>1529</v>
      </c>
      <c r="H2" s="10" t="s">
        <v>1530</v>
      </c>
      <c r="I2" s="0" t="s">
        <v>1531</v>
      </c>
      <c r="J2" s="0" t="s">
        <v>1532</v>
      </c>
      <c r="K2" s="0" t="s">
        <v>1533</v>
      </c>
      <c r="L2" s="0" t="s">
        <v>9</v>
      </c>
      <c r="M2" s="0" t="s">
        <v>10</v>
      </c>
      <c r="N2" s="0" t="s">
        <v>11</v>
      </c>
      <c r="O2" s="0" t="s">
        <v>12</v>
      </c>
      <c r="P2" s="0" t="s">
        <v>1531</v>
      </c>
      <c r="Q2" s="0" t="s">
        <v>1532</v>
      </c>
      <c r="R2" s="0" t="s">
        <v>1533</v>
      </c>
      <c r="S2" s="0" t="s">
        <v>9</v>
      </c>
      <c r="T2" s="0" t="s">
        <v>10</v>
      </c>
      <c r="U2" s="0" t="s">
        <v>11</v>
      </c>
      <c r="V2" s="0" t="s">
        <v>12</v>
      </c>
    </row>
    <row r="3" spans="1:22" s="1" customFormat="1" x14ac:dyDescent="0.45">
      <c r="A3" s="1" t="s">
        <v>13</v>
      </c>
      <c r="B3" s="1" t="s">
        <v>14</v>
      </c>
      <c r="C3" s="1" t="s">
        <v>15</v>
      </c>
      <c r="E3" s="1" t="s">
        <v>1534</v>
      </c>
      <c r="F3" s="1" t="s">
        <v>1535</v>
      </c>
      <c r="G3" s="1" t="s">
        <v>1536</v>
      </c>
      <c r="H3" s="1" t="s">
        <v>1537</v>
      </c>
      <c r="I3" s="1" t="s">
        <v>1538</v>
      </c>
      <c r="J3" s="1" t="s">
        <v>18</v>
      </c>
      <c r="K3" s="1" t="s">
        <v>19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1539</v>
      </c>
      <c r="Q3" s="1" t="s">
        <v>71</v>
      </c>
      <c r="R3" s="1" t="s">
        <v>1540</v>
      </c>
      <c r="S3" s="1" t="s">
        <v>73</v>
      </c>
      <c r="T3" s="1" t="s">
        <v>74</v>
      </c>
      <c r="U3" s="1" t="s">
        <v>75</v>
      </c>
      <c r="V3" s="1" t="s">
        <v>76</v>
      </c>
    </row>
    <row r="4" spans="1:22" x14ac:dyDescent="0.45">
      <c r="A4" s="0" t="str">
        <f>_xlfn.TEXTJOIN("_",TRUE,C4,"mission_normal",D4)</f>
        <v>s1_mission_normal_1</v>
      </c>
      <c r="B4" s="0" t="s">
        <v>0</v>
      </c>
      <c r="C4" s="0" t="s">
        <v>26</v>
      </c>
      <c r="D4" s="0">
        <v>1</v>
      </c>
      <c r="E4" s="0" t="s">
        <v>1541</v>
      </c>
      <c r="F4" s="10" t="s">
        <v>1542</v>
      </c>
      <c r="G4" s="10" t="s">
        <v>1543</v>
      </c>
      <c r="H4" s="0" t="str">
        <f>VLOOKUP(F4,레퍼런스!$E$143:$I$148,4,FALSE)</f>
        <v>clear_battle_level_text</v>
      </c>
      <c r="I4" s="0" t="s">
        <v>80</v>
      </c>
      <c r="J4" s="0" t="s">
        <v>27</v>
      </c>
      <c r="K4" s="0">
        <v>100000</v>
      </c>
      <c r="P4" s="0" t="s">
        <v>80</v>
      </c>
      <c r="Q4" s="0" t="s">
        <v>29</v>
      </c>
      <c r="R4" s="0">
        <v>300</v>
      </c>
    </row>
    <row r="5" spans="1:22" x14ac:dyDescent="0.45">
      <c r="A5" s="0" t="str">
        <f t="shared" ref="A5:A8" si="0">_xlfn.TEXTJOIN("_",TRUE,C5,"mission_normal",D5)</f>
        <v>s1_mission_normal_2</v>
      </c>
      <c r="B5" s="0" t="s">
        <v>0</v>
      </c>
      <c r="C5" s="0" t="s">
        <v>26</v>
      </c>
      <c r="D5" s="0">
        <v>2</v>
      </c>
      <c r="E5" s="0" t="s">
        <v>1541</v>
      </c>
      <c r="F5" s="10" t="s">
        <v>1544</v>
      </c>
      <c r="G5" s="10" t="s">
        <v>1545</v>
      </c>
      <c r="H5" s="0" t="str">
        <f>VLOOKUP(F5,레퍼런스!$E$143:$I$148,4,FALSE)</f>
        <v>clear_with_hero_text</v>
      </c>
      <c r="I5" s="0" t="s">
        <v>80</v>
      </c>
      <c r="J5" s="0" t="s">
        <v>27</v>
      </c>
      <c r="K5" s="0">
        <v>200000</v>
      </c>
      <c r="P5" s="0" t="s">
        <v>80</v>
      </c>
      <c r="Q5" s="0" t="s">
        <v>29</v>
      </c>
      <c r="R5" s="0">
        <v>300</v>
      </c>
    </row>
    <row r="6" spans="1:22" x14ac:dyDescent="0.45">
      <c r="A6" s="0" t="str">
        <f t="shared" si="0"/>
        <v>s1_mission_normal_3</v>
      </c>
      <c r="B6" s="0" t="s">
        <v>0</v>
      </c>
      <c r="C6" s="0" t="s">
        <v>26</v>
      </c>
      <c r="D6" s="0">
        <v>3</v>
      </c>
      <c r="E6" s="0" t="s">
        <v>1541</v>
      </c>
      <c r="F6" s="0" t="s">
        <v>1546</v>
      </c>
      <c r="G6" s="10" t="s">
        <v>1547</v>
      </c>
      <c r="H6" s="0" t="str">
        <f>VLOOKUP(F6,레퍼런스!$E$143:$I$148,4,FALSE)</f>
        <v>clear_event_text</v>
      </c>
      <c r="I6" s="0" t="s">
        <v>80</v>
      </c>
      <c r="J6" s="0" t="s">
        <v>27</v>
      </c>
      <c r="K6" s="0">
        <v>300000</v>
      </c>
      <c r="P6" s="0" t="s">
        <v>80</v>
      </c>
      <c r="Q6" s="0" t="s">
        <v>29</v>
      </c>
      <c r="R6" s="0">
        <v>300</v>
      </c>
    </row>
    <row r="7" spans="1:22" x14ac:dyDescent="0.45">
      <c r="A7" s="0" t="str">
        <f t="shared" si="0"/>
        <v>s1_mission_normal_4</v>
      </c>
      <c r="B7" s="0" t="s">
        <v>0</v>
      </c>
      <c r="C7" s="0" t="s">
        <v>26</v>
      </c>
      <c r="D7" s="0">
        <v>4</v>
      </c>
      <c r="E7" s="0" t="s">
        <v>1541</v>
      </c>
      <c r="F7" s="0" t="s">
        <v>1548</v>
      </c>
      <c r="G7" s="10" t="s">
        <v>1549</v>
      </c>
      <c r="H7" s="0" t="str">
        <f>VLOOKUP(F7,레퍼런스!$E$143:$I$148,4,FALSE)</f>
        <v>recruit_hero_text</v>
      </c>
      <c r="I7" s="0" t="s">
        <v>80</v>
      </c>
      <c r="J7" s="0" t="s">
        <v>27</v>
      </c>
      <c r="K7" s="0">
        <v>400000</v>
      </c>
      <c r="P7" s="0" t="s">
        <v>80</v>
      </c>
      <c r="Q7" s="0" t="s">
        <v>29</v>
      </c>
      <c r="R7" s="0">
        <v>300</v>
      </c>
    </row>
    <row r="8" spans="1:22" x14ac:dyDescent="0.45">
      <c r="A8" s="0" t="str">
        <f t="shared" si="0"/>
        <v>s1_mission_normal_5</v>
      </c>
      <c r="B8" s="0" t="s">
        <v>0</v>
      </c>
      <c r="C8" s="0" t="s">
        <v>26</v>
      </c>
      <c r="D8" s="0">
        <v>5</v>
      </c>
      <c r="E8" s="0" t="s">
        <v>1541</v>
      </c>
      <c r="F8" s="10" t="s">
        <v>1550</v>
      </c>
      <c r="G8" s="10" t="s">
        <v>1551</v>
      </c>
      <c r="H8" s="0" t="str">
        <f>VLOOKUP(F8,레퍼런스!$E$143:$I$148,4,FALSE)</f>
        <v>collect_relic_text</v>
      </c>
      <c r="I8" s="0" t="s">
        <v>80</v>
      </c>
      <c r="J8" s="0" t="s">
        <v>27</v>
      </c>
      <c r="K8" s="0">
        <v>500000</v>
      </c>
      <c r="P8" s="0" t="s">
        <v>80</v>
      </c>
      <c r="Q8" s="0" t="s">
        <v>29</v>
      </c>
      <c r="R8" s="0">
        <v>300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387C7116-8297-4DF1-B0F2-CFA5D45D0218}" mc:Ignorable="x14ac xr xr2 xr3">
  <sheetPr>
    <outlinePr summaryBelow="1" summaryRight="1"/>
  </sheetPr>
  <dimension ref="A1:Z10"/>
  <sheetViews>
    <sheetView tabSelected="1" workbookViewId="0">
      <selection activeCell="E17" sqref="E17"/>
    </sheetView>
    <sheetView workbookViewId="1"/>
  </sheetViews>
  <sheetFormatPr defaultRowHeight="17" x14ac:dyDescent="0.45"/>
  <cols>
    <col min="1" max="1" width="18.832031" style="0" bestFit="1" customWidth="1"/>
    <col min="2" max="3" width="14.832031" style="0" customWidth="1"/>
    <col min="4" max="4" width="9.082031" style="0" customWidth="1"/>
    <col min="5" max="5" width="18.164062" style="0" bestFit="1" customWidth="1"/>
    <col min="6" max="6" width="14.832031" style="0" bestFit="1" customWidth="1"/>
    <col min="7" max="7" width="18.414062" style="0" bestFit="1" customWidth="1"/>
    <col min="8" max="8" width="14.832031" style="0" bestFit="1" customWidth="1"/>
    <col min="9" max="9" width="18.414062" style="0" bestFit="1" customWidth="1"/>
    <col min="10" max="10" width="25.332031" style="0" customWidth="1"/>
    <col min="11" max="11" width="26.832031" style="0" bestFit="1" customWidth="1"/>
    <col min="12" max="12" width="19.582031" style="0" bestFit="1" customWidth="1"/>
    <col min="13" max="13" width="12.832031" style="0" customWidth="1"/>
    <col min="14" max="14" width="16.25" style="0" bestFit="1" customWidth="1"/>
    <col min="15" max="15" width="13.832031" style="0" customWidth="1"/>
    <col min="16" max="16" width="12.582031" style="0" customWidth="1"/>
    <col min="17" max="17" width="10.832031" style="0" customWidth="1"/>
    <col min="18" max="18" width="13.75" style="0" customWidth="1"/>
    <col min="19" max="19" width="36" style="0" customWidth="1"/>
    <col min="20" max="20" width="12.832031" style="0" customWidth="1"/>
    <col min="21" max="21" width="10.832031" style="0" customWidth="1"/>
    <col min="22" max="22" width="13.832031" style="0" customWidth="1"/>
    <col min="23" max="23" width="12.582031" style="0" customWidth="1"/>
    <col min="24" max="24" width="10.832031" style="0" customWidth="1"/>
    <col min="25" max="25" width="13.75" style="0" customWidth="1"/>
    <col min="26" max="26" width="36" style="0" customWidth="1"/>
  </cols>
  <sheetData>
    <row r="1" spans="1:26" x14ac:dyDescent="0.45">
      <c r="A1" s="0" t="s">
        <v>0</v>
      </c>
      <c r="B1" s="0" t="s">
        <v>0</v>
      </c>
      <c r="C1" s="0" t="s">
        <v>0</v>
      </c>
      <c r="E1" s="0" t="s">
        <v>0</v>
      </c>
      <c r="F1" s="0" t="s">
        <v>0</v>
      </c>
      <c r="G1" s="0" t="s">
        <v>0</v>
      </c>
      <c r="H1" s="0" t="s">
        <v>0</v>
      </c>
      <c r="I1" s="0" t="s">
        <v>0</v>
      </c>
      <c r="J1" s="0" t="s">
        <v>0</v>
      </c>
      <c r="K1" s="0" t="s">
        <v>0</v>
      </c>
      <c r="L1" s="0" t="s">
        <v>0</v>
      </c>
      <c r="M1" s="0" t="s">
        <v>0</v>
      </c>
      <c r="N1" s="0" t="s">
        <v>0</v>
      </c>
      <c r="O1" s="0" t="s">
        <v>0</v>
      </c>
      <c r="P1" s="0" t="s">
        <v>0</v>
      </c>
      <c r="Q1" s="0" t="s">
        <v>0</v>
      </c>
      <c r="R1" s="0" t="s">
        <v>0</v>
      </c>
      <c r="S1" s="0" t="s">
        <v>0</v>
      </c>
      <c r="T1" s="0" t="s">
        <v>0</v>
      </c>
      <c r="U1" s="0" t="s">
        <v>0</v>
      </c>
      <c r="V1" s="0" t="s">
        <v>0</v>
      </c>
      <c r="W1" s="0" t="s">
        <v>0</v>
      </c>
      <c r="X1" s="0" t="s">
        <v>0</v>
      </c>
      <c r="Y1" s="0" t="s">
        <v>0</v>
      </c>
      <c r="Z1" s="0" t="s">
        <v>0</v>
      </c>
    </row>
    <row r="2" spans="1:26" x14ac:dyDescent="0.45">
      <c r="A2" s="0" t="s">
        <v>1</v>
      </c>
      <c r="C2" s="0" t="s">
        <v>2</v>
      </c>
      <c r="D2" s="10" t="s">
        <v>1526</v>
      </c>
      <c r="E2" s="10" t="s">
        <v>1527</v>
      </c>
      <c r="F2" s="10" t="s">
        <v>1553</v>
      </c>
      <c r="G2" s="0" t="s">
        <v>1552</v>
      </c>
      <c r="H2" s="0" t="s">
        <v>1554</v>
      </c>
      <c r="I2" s="0" t="s">
        <v>1552</v>
      </c>
      <c r="J2" s="0" t="s">
        <v>1528</v>
      </c>
      <c r="K2" s="0" t="s">
        <v>1529</v>
      </c>
      <c r="L2" s="10" t="s">
        <v>1530</v>
      </c>
      <c r="M2" s="0" t="s">
        <v>1531</v>
      </c>
      <c r="N2" s="0" t="s">
        <v>1532</v>
      </c>
      <c r="O2" s="0" t="s">
        <v>1533</v>
      </c>
      <c r="P2" s="0" t="s">
        <v>9</v>
      </c>
      <c r="Q2" s="0" t="s">
        <v>10</v>
      </c>
      <c r="R2" s="0" t="s">
        <v>11</v>
      </c>
      <c r="S2" s="0" t="s">
        <v>12</v>
      </c>
      <c r="T2" s="0" t="s">
        <v>1531</v>
      </c>
      <c r="U2" s="0" t="s">
        <v>1532</v>
      </c>
      <c r="V2" s="0" t="s">
        <v>1533</v>
      </c>
      <c r="W2" s="0" t="s">
        <v>9</v>
      </c>
      <c r="X2" s="0" t="s">
        <v>10</v>
      </c>
      <c r="Y2" s="0" t="s">
        <v>11</v>
      </c>
      <c r="Z2" s="0" t="s">
        <v>12</v>
      </c>
    </row>
    <row r="3" spans="1:26" s="1" customFormat="1" x14ac:dyDescent="0.45">
      <c r="A3" s="1" t="s">
        <v>1556</v>
      </c>
      <c r="B3" s="1" t="s">
        <v>1557</v>
      </c>
      <c r="C3" s="1" t="s">
        <v>1558</v>
      </c>
      <c r="E3" s="1" t="s">
        <v>1559</v>
      </c>
      <c r="F3" s="1" t="s">
        <v>1560</v>
      </c>
      <c r="G3" s="1" t="s">
        <v>1561</v>
      </c>
      <c r="H3" s="1" t="s">
        <v>1562</v>
      </c>
      <c r="I3" s="1" t="s">
        <v>1563</v>
      </c>
      <c r="J3" s="1" t="s">
        <v>1564</v>
      </c>
      <c r="K3" s="1" t="s">
        <v>1565</v>
      </c>
      <c r="L3" s="1" t="s">
        <v>1566</v>
      </c>
      <c r="M3" s="1" t="s">
        <v>1567</v>
      </c>
      <c r="N3" s="1" t="s">
        <v>1568</v>
      </c>
      <c r="O3" s="1" t="s">
        <v>1569</v>
      </c>
      <c r="P3" s="1" t="s">
        <v>22</v>
      </c>
      <c r="Q3" s="1" t="s">
        <v>23</v>
      </c>
      <c r="R3" s="1" t="s">
        <v>24</v>
      </c>
      <c r="S3" s="1" t="s">
        <v>25</v>
      </c>
      <c r="T3" s="1" t="s">
        <v>1570</v>
      </c>
      <c r="U3" s="1" t="s">
        <v>1571</v>
      </c>
      <c r="V3" s="1" t="s">
        <v>1572</v>
      </c>
      <c r="W3" s="1" t="s">
        <v>1555</v>
      </c>
      <c r="X3" s="1" t="s">
        <v>74</v>
      </c>
      <c r="Y3" s="1" t="s">
        <v>75</v>
      </c>
      <c r="Z3" s="1" t="s">
        <v>76</v>
      </c>
    </row>
    <row r="4" spans="1:26" x14ac:dyDescent="0.45">
      <c r="A4" s="0" t="str">
        <f>_xlfn.TEXTJOIN("_",TRUE,C4,"mission_season",D4)</f>
        <v>s1_mission_season_1</v>
      </c>
      <c r="B4" s="0" t="s">
        <v>0</v>
      </c>
      <c r="C4" s="0" t="s">
        <v>26</v>
      </c>
      <c r="D4" s="0">
        <v>1</v>
      </c>
      <c r="E4" s="10" t="s">
        <v>1573</v>
      </c>
      <c r="F4" s="11">
        <v>46220</v>
      </c>
      <c r="G4" s="11">
        <f>F4+7</f>
        <v>46227</v>
      </c>
      <c r="H4" s="11">
        <f>F4+21</f>
        <v>46241</v>
      </c>
      <c r="I4" s="11">
        <f>H4+7</f>
        <v>46248</v>
      </c>
      <c r="J4" s="10" t="s">
        <v>1542</v>
      </c>
      <c r="K4" s="10" t="s">
        <v>1574</v>
      </c>
      <c r="L4" s="0" t="str">
        <f>VLOOKUP(J4,레퍼런스!$E$143:$I$148,4,FALSE)</f>
        <v>clear_battle_level_text</v>
      </c>
      <c r="M4" s="0" t="s">
        <v>80</v>
      </c>
      <c r="N4" s="0" t="s">
        <v>35</v>
      </c>
      <c r="O4" s="0">
        <v>5</v>
      </c>
      <c r="T4" s="0" t="s">
        <v>80</v>
      </c>
      <c r="U4" s="0" t="s">
        <v>32</v>
      </c>
      <c r="V4" s="0">
        <v>300</v>
      </c>
    </row>
    <row r="5" spans="1:26" x14ac:dyDescent="0.45">
      <c r="A5" s="0" t="str">
        <f t="shared" ref="A5:A9" si="0">_xlfn.TEXTJOIN("_",TRUE,C5,"mission_season",D5)</f>
        <v>s1_mission_season_2</v>
      </c>
      <c r="B5" s="0" t="s">
        <v>0</v>
      </c>
      <c r="C5" s="0" t="s">
        <v>26</v>
      </c>
      <c r="D5" s="0">
        <v>2</v>
      </c>
      <c r="E5" s="10" t="s">
        <v>1573</v>
      </c>
      <c r="F5" s="11">
        <f>G4</f>
        <v>46227</v>
      </c>
      <c r="G5" s="11">
        <f>F5+7</f>
        <v>46234</v>
      </c>
      <c r="H5" s="11">
        <f>I4</f>
        <v>46248</v>
      </c>
      <c r="I5" s="11">
        <f>H5+7</f>
        <v>46255</v>
      </c>
      <c r="J5" s="10" t="s">
        <v>1544</v>
      </c>
      <c r="K5" s="10" t="s">
        <v>1575</v>
      </c>
      <c r="L5" s="0" t="str">
        <f>VLOOKUP(J5,레퍼런스!$E$143:$I$148,4,FALSE)</f>
        <v>clear_with_hero_text</v>
      </c>
      <c r="M5" s="0" t="s">
        <v>80</v>
      </c>
      <c r="N5" s="0" t="s">
        <v>35</v>
      </c>
      <c r="O5" s="0">
        <v>5</v>
      </c>
      <c r="T5" s="0" t="s">
        <v>80</v>
      </c>
      <c r="U5" s="0" t="s">
        <v>32</v>
      </c>
      <c r="V5" s="0">
        <v>300</v>
      </c>
    </row>
    <row r="6" spans="1:26" x14ac:dyDescent="0.45">
      <c r="A6" s="0" t="str">
        <f t="shared" si="0"/>
        <v>s1_mission_season_3</v>
      </c>
      <c r="B6" s="0" t="s">
        <v>0</v>
      </c>
      <c r="C6" s="0" t="s">
        <v>26</v>
      </c>
      <c r="D6" s="0">
        <v>3</v>
      </c>
      <c r="E6" s="10" t="s">
        <v>1573</v>
      </c>
      <c r="F6" s="11">
        <f t="shared" ref="F6:H9" si="1">G5</f>
        <v>46234</v>
      </c>
      <c r="G6" s="11">
        <f t="shared" ref="G6:I9" si="2">F6+7</f>
        <v>46241</v>
      </c>
      <c r="H6" s="11">
        <f t="shared" si="1"/>
        <v>46255</v>
      </c>
      <c r="I6" s="11">
        <f t="shared" si="2"/>
        <v>46262</v>
      </c>
      <c r="J6" s="0" t="s">
        <v>1546</v>
      </c>
      <c r="K6" s="10" t="s">
        <v>1576</v>
      </c>
      <c r="L6" s="0" t="str">
        <f>VLOOKUP(J6,레퍼런스!$E$143:$I$148,4,FALSE)</f>
        <v>clear_event_text</v>
      </c>
      <c r="M6" s="0" t="s">
        <v>80</v>
      </c>
      <c r="N6" s="0" t="s">
        <v>35</v>
      </c>
      <c r="O6" s="0">
        <v>5</v>
      </c>
      <c r="T6" s="0" t="s">
        <v>80</v>
      </c>
      <c r="U6" s="0" t="s">
        <v>32</v>
      </c>
      <c r="V6" s="0">
        <v>300</v>
      </c>
    </row>
    <row r="7" spans="1:26" x14ac:dyDescent="0.45">
      <c r="A7" s="0" t="str">
        <f t="shared" si="0"/>
        <v>s1_mission_season_4</v>
      </c>
      <c r="B7" s="0" t="s">
        <v>0</v>
      </c>
      <c r="C7" s="0" t="s">
        <v>26</v>
      </c>
      <c r="D7" s="0">
        <v>4</v>
      </c>
      <c r="E7" s="10" t="s">
        <v>1573</v>
      </c>
      <c r="F7" s="11">
        <f t="shared" si="1"/>
        <v>46241</v>
      </c>
      <c r="G7" s="11">
        <f t="shared" si="2"/>
        <v>46248</v>
      </c>
      <c r="H7" s="11">
        <f t="shared" si="1"/>
        <v>46262</v>
      </c>
      <c r="I7" s="11">
        <f t="shared" si="2"/>
        <v>46269</v>
      </c>
      <c r="J7" s="0" t="s">
        <v>1548</v>
      </c>
      <c r="K7" s="10" t="s">
        <v>1577</v>
      </c>
      <c r="L7" s="0" t="str">
        <f>VLOOKUP(J7,레퍼런스!$E$143:$I$148,4,FALSE)</f>
        <v>recruit_hero_text</v>
      </c>
      <c r="M7" s="0" t="s">
        <v>80</v>
      </c>
      <c r="N7" s="0" t="s">
        <v>35</v>
      </c>
      <c r="O7" s="0">
        <v>5</v>
      </c>
      <c r="T7" s="0" t="s">
        <v>80</v>
      </c>
      <c r="U7" s="0" t="s">
        <v>32</v>
      </c>
      <c r="V7" s="0">
        <v>300</v>
      </c>
    </row>
    <row r="8" spans="1:26" x14ac:dyDescent="0.45">
      <c r="A8" s="0" t="str">
        <f t="shared" si="0"/>
        <v>s1_mission_season_5</v>
      </c>
      <c r="B8" s="0" t="s">
        <v>0</v>
      </c>
      <c r="C8" s="0" t="s">
        <v>26</v>
      </c>
      <c r="D8" s="0">
        <v>5</v>
      </c>
      <c r="E8" s="10" t="s">
        <v>1573</v>
      </c>
      <c r="F8" s="11">
        <f t="shared" si="1"/>
        <v>46248</v>
      </c>
      <c r="G8" s="11">
        <f t="shared" si="2"/>
        <v>46255</v>
      </c>
      <c r="H8" s="11">
        <f t="shared" si="1"/>
        <v>46269</v>
      </c>
      <c r="I8" s="11">
        <f t="shared" si="2"/>
        <v>46276</v>
      </c>
      <c r="J8" s="10" t="s">
        <v>1550</v>
      </c>
      <c r="K8" s="10" t="s">
        <v>1578</v>
      </c>
      <c r="L8" s="0" t="str">
        <f>VLOOKUP(J8,레퍼런스!$E$143:$I$148,4,FALSE)</f>
        <v>collect_relic_text</v>
      </c>
      <c r="M8" s="0" t="s">
        <v>80</v>
      </c>
      <c r="N8" s="0" t="s">
        <v>35</v>
      </c>
      <c r="O8" s="0">
        <v>5</v>
      </c>
      <c r="T8" s="0" t="s">
        <v>80</v>
      </c>
      <c r="U8" s="0" t="s">
        <v>32</v>
      </c>
      <c r="V8" s="0">
        <v>300</v>
      </c>
    </row>
    <row r="9" spans="1:26" x14ac:dyDescent="0.45">
      <c r="A9" s="0" t="str">
        <f t="shared" si="0"/>
        <v>s1_mission_season_6</v>
      </c>
      <c r="B9" s="0" t="s">
        <v>0</v>
      </c>
      <c r="C9" s="0" t="s">
        <v>26</v>
      </c>
      <c r="D9" s="0">
        <v>6</v>
      </c>
      <c r="E9" s="10" t="s">
        <v>1573</v>
      </c>
      <c r="F9" s="11">
        <f t="shared" si="1"/>
        <v>46255</v>
      </c>
      <c r="G9" s="11">
        <f>F9+7</f>
        <v>46262</v>
      </c>
      <c r="H9" s="11">
        <f t="shared" si="1"/>
        <v>46276</v>
      </c>
      <c r="I9" s="11">
        <f t="shared" si="2"/>
        <v>46283</v>
      </c>
      <c r="J9" s="10" t="s">
        <v>1542</v>
      </c>
      <c r="K9" s="10" t="s">
        <v>1579</v>
      </c>
      <c r="L9" s="0" t="str">
        <f>VLOOKUP(J9,레퍼런스!$E$143:$I$148,4,FALSE)</f>
        <v>clear_battle_level_text</v>
      </c>
      <c r="M9" s="0" t="s">
        <v>80</v>
      </c>
      <c r="N9" s="0" t="s">
        <v>35</v>
      </c>
      <c r="O9" s="0">
        <v>5</v>
      </c>
      <c r="T9" s="0" t="s">
        <v>80</v>
      </c>
      <c r="U9" s="0" t="s">
        <v>32</v>
      </c>
      <c r="V9" s="0">
        <v>300</v>
      </c>
    </row>
    <row r="10" spans="1:26" x14ac:dyDescent="0.45">
      <c r="K10" s="10"/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2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A00-000000000000}" mc:Ignorable="x14ac xr xr2 xr3">
  <sheetPr>
    <outlinePr summaryBelow="1" summaryRight="1"/>
  </sheetPr>
  <dimension ref="A1:G8"/>
  <sheetViews>
    <sheetView workbookViewId="0"/>
    <sheetView workbookViewId="1"/>
  </sheetViews>
  <sheetFormatPr defaultRowHeight="17" x14ac:dyDescent="0.45"/>
  <cols>
    <col min="1" max="1" width="18" style="0" customWidth="1"/>
    <col min="2" max="5" width="14.832031" style="0" customWidth="1"/>
    <col min="6" max="6" width="19.914062" style="0" bestFit="1" customWidth="1"/>
    <col min="7" max="7" width="15.082031" style="0" bestFit="1" customWidth="1"/>
  </cols>
  <sheetData>
    <row r="1" spans="1:7" x14ac:dyDescent="0.45">
      <c r="A1" s="0" t="s">
        <v>0</v>
      </c>
      <c r="B1" s="0" t="s">
        <v>0</v>
      </c>
      <c r="C1" s="0" t="s">
        <v>0</v>
      </c>
      <c r="D1" s="0" t="s">
        <v>0</v>
      </c>
      <c r="E1" s="0" t="s">
        <v>0</v>
      </c>
      <c r="F1" s="0" t="s">
        <v>0</v>
      </c>
      <c r="G1" s="0" t="s">
        <v>0</v>
      </c>
    </row>
    <row r="2" spans="1:7" x14ac:dyDescent="0.45">
      <c r="A2" s="0" t="s">
        <v>1</v>
      </c>
      <c r="B2" s="0" t="s">
        <v>2</v>
      </c>
      <c r="C2" s="10" t="s">
        <v>1526</v>
      </c>
      <c r="E2" s="0" t="s">
        <v>1580</v>
      </c>
      <c r="F2" s="10" t="s">
        <v>1581</v>
      </c>
      <c r="G2" s="0" t="s">
        <v>1582</v>
      </c>
    </row>
    <row r="3" spans="1:7" x14ac:dyDescent="0.45">
      <c r="A3" s="1" t="s">
        <v>13</v>
      </c>
      <c r="B3" s="1" t="s">
        <v>15</v>
      </c>
      <c r="C3" s="1"/>
      <c r="D3" s="1" t="s">
        <v>14</v>
      </c>
      <c r="E3" s="1" t="s">
        <v>1583</v>
      </c>
      <c r="F3" s="1" t="s">
        <v>1584</v>
      </c>
      <c r="G3" s="1" t="s">
        <v>135</v>
      </c>
    </row>
    <row r="4" spans="1:7" x14ac:dyDescent="0.45">
      <c r="A4" s="0" t="str">
        <f>B4&amp;"_investment_"&amp;C4</f>
        <v>s1_investment_1</v>
      </c>
      <c r="B4" s="0" t="s">
        <v>26</v>
      </c>
      <c r="C4" s="0">
        <v>1</v>
      </c>
      <c r="D4" s="0" t="s">
        <v>0</v>
      </c>
      <c r="E4" s="0">
        <v>25</v>
      </c>
      <c r="F4" s="0" t="str">
        <f>A4&amp;"_desc"</f>
        <v>s1_investment_1_desc</v>
      </c>
      <c r="G4" s="0" t="s">
        <v>1585</v>
      </c>
    </row>
    <row r="5" spans="1:7" x14ac:dyDescent="0.45">
      <c r="A5" s="0" t="str">
        <f t="shared" ref="A5:A8" si="0">B5&amp;"_investment_"&amp;C5</f>
        <v>s1_investment_2</v>
      </c>
      <c r="B5" s="0" t="s">
        <v>26</v>
      </c>
      <c r="C5" s="0">
        <v>2</v>
      </c>
      <c r="D5" s="0" t="s">
        <v>0</v>
      </c>
      <c r="E5" s="0">
        <v>100</v>
      </c>
      <c r="F5" s="0" t="str">
        <f t="shared" ref="F5:F8" si="1">A5&amp;"_desc"</f>
        <v>s1_investment_2_desc</v>
      </c>
      <c r="G5" s="0" t="s">
        <v>1586</v>
      </c>
    </row>
    <row r="6" spans="1:7" x14ac:dyDescent="0.45">
      <c r="A6" s="0" t="str">
        <f t="shared" si="0"/>
        <v>s1_investment_3</v>
      </c>
      <c r="B6" s="0" t="s">
        <v>26</v>
      </c>
      <c r="C6" s="0">
        <v>3</v>
      </c>
      <c r="D6" s="0" t="s">
        <v>0</v>
      </c>
      <c r="E6" s="0">
        <v>200</v>
      </c>
      <c r="F6" s="0" t="str">
        <f t="shared" si="1"/>
        <v>s1_investment_3_desc</v>
      </c>
      <c r="G6" s="0" t="s">
        <v>1587</v>
      </c>
    </row>
    <row r="7" spans="1:7" x14ac:dyDescent="0.45">
      <c r="A7" s="0" t="str">
        <f t="shared" si="0"/>
        <v>s1_investment_4</v>
      </c>
      <c r="B7" s="0" t="s">
        <v>26</v>
      </c>
      <c r="C7" s="0">
        <v>4</v>
      </c>
      <c r="D7" s="0" t="s">
        <v>0</v>
      </c>
      <c r="E7" s="0">
        <v>325</v>
      </c>
      <c r="F7" s="0" t="str">
        <f t="shared" si="1"/>
        <v>s1_investment_4_desc</v>
      </c>
      <c r="G7" s="0" t="s">
        <v>1588</v>
      </c>
    </row>
    <row r="8" spans="1:7" x14ac:dyDescent="0.45">
      <c r="A8" s="0" t="str">
        <f t="shared" si="0"/>
        <v>s1_investment_5</v>
      </c>
      <c r="B8" s="0" t="s">
        <v>26</v>
      </c>
      <c r="C8" s="0">
        <v>5</v>
      </c>
      <c r="D8" s="0" t="s">
        <v>0</v>
      </c>
      <c r="E8" s="0">
        <v>500</v>
      </c>
      <c r="F8" s="0" t="str">
        <f t="shared" si="1"/>
        <v>s1_investment_5_desc</v>
      </c>
      <c r="G8" s="0" t="s">
        <v>1589</v>
      </c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xl/worksheets/sheet13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r:uid="{00000000-0001-0000-0B00-000000000000}" mc:Ignorable="x14ac xr xr2 xr3">
  <sheetPr>
    <outlinePr summaryBelow="1" summaryRight="1"/>
  </sheetPr>
  <dimension ref="A1:J216"/>
  <sheetViews>
    <sheetView topLeftCell="A128" workbookViewId="0">
      <selection activeCell="I144" sqref="I144"/>
    </sheetView>
    <sheetView tabSelected="1" topLeftCell="A116" workbookViewId="1">
      <selection activeCell="F144" sqref="F144:F148"/>
    </sheetView>
  </sheetViews>
  <sheetFormatPr defaultRowHeight="17" x14ac:dyDescent="0.45"/>
  <cols>
    <col min="1" max="1" width="28" style="0" customWidth="1"/>
    <col min="2" max="2" width="62.832031" style="0" customWidth="1"/>
    <col min="3" max="3" width="12" style="0" customWidth="1"/>
    <col min="4" max="5" width="16.082031" style="0" customWidth="1"/>
    <col min="6" max="6" width="22.832031" style="0" bestFit="1" customWidth="1"/>
    <col min="7" max="7" width="31.832031" style="0" customWidth="1"/>
    <col min="8" max="8" width="19.582031" style="0" bestFit="1" customWidth="1"/>
    <col min="9" max="9" width="33.832031" style="0" bestFit="1" customWidth="1"/>
    <col min="10" max="10" width="25.414062" style="0" bestFit="1" customWidth="1"/>
  </cols>
  <sheetData>
    <row r="1" spans="1:10" ht="21" customHeight="1" x14ac:dyDescent="0.45">
      <c r="A1" s="17" t="s">
        <v>1590</v>
      </c>
      <c r="B1" s="8"/>
    </row>
    <row r="3" spans="1:10" ht="17.5" customHeight="1" x14ac:dyDescent="0.45">
      <c r="A3" s="18" t="s">
        <v>1591</v>
      </c>
    </row>
    <row r="4" spans="1:10" x14ac:dyDescent="0.45">
      <c r="A4" s="9" t="s">
        <v>1592</v>
      </c>
    </row>
    <row r="5" spans="1:10" x14ac:dyDescent="0.45">
      <c r="A5" s="19" t="s">
        <v>1593</v>
      </c>
      <c r="B5" s="20" t="s">
        <v>1594</v>
      </c>
    </row>
    <row r="6" spans="1:10" ht="16" customHeight="1" s="9" customFormat="1" x14ac:dyDescent="0.3">
      <c r="A6" s="4" t="s">
        <v>13</v>
      </c>
      <c r="B6" s="5" t="s">
        <v>1595</v>
      </c>
    </row>
    <row r="7" spans="1:10" x14ac:dyDescent="0.45">
      <c r="A7" s="4" t="s">
        <v>14</v>
      </c>
      <c r="B7" s="5" t="s">
        <v>1596</v>
      </c>
    </row>
    <row r="8" spans="1:10" x14ac:dyDescent="0.45">
      <c r="A8" s="4" t="s">
        <v>15</v>
      </c>
      <c r="B8" s="5" t="s">
        <v>1597</v>
      </c>
    </row>
    <row r="9" spans="1:10" x14ac:dyDescent="0.45">
      <c r="A9" s="4" t="s">
        <v>16</v>
      </c>
      <c r="B9" s="5" t="s">
        <v>1598</v>
      </c>
    </row>
    <row r="10" spans="1:10" x14ac:dyDescent="0.45">
      <c r="A10" s="4" t="s">
        <v>17</v>
      </c>
      <c r="B10" s="5" t="s">
        <v>1599</v>
      </c>
    </row>
    <row r="11" spans="1:10" x14ac:dyDescent="0.45">
      <c r="A11" s="4" t="s">
        <v>18</v>
      </c>
      <c r="B11" s="5" t="s">
        <v>1600</v>
      </c>
    </row>
    <row r="12" spans="1:10" x14ac:dyDescent="0.45">
      <c r="A12" s="4" t="s">
        <v>19</v>
      </c>
      <c r="B12" s="5" t="s">
        <v>1601</v>
      </c>
    </row>
    <row r="13" spans="1:10" x14ac:dyDescent="0.45">
      <c r="A13" s="4" t="s">
        <v>20</v>
      </c>
      <c r="B13" s="5" t="s">
        <v>1602</v>
      </c>
    </row>
    <row r="14" spans="1:10" x14ac:dyDescent="0.45">
      <c r="A14" s="4" t="s">
        <v>21</v>
      </c>
      <c r="B14" s="5" t="s">
        <v>1603</v>
      </c>
    </row>
    <row r="15" spans="1:10" x14ac:dyDescent="0.45">
      <c r="A15" s="4" t="s">
        <v>22</v>
      </c>
      <c r="B15" s="5" t="s">
        <v>1604</v>
      </c>
    </row>
    <row r="16" spans="1:10" x14ac:dyDescent="0.45">
      <c r="A16" s="4" t="s">
        <v>23</v>
      </c>
      <c r="B16" s="5" t="s">
        <v>1605</v>
      </c>
    </row>
    <row r="17" spans="1:10" x14ac:dyDescent="0.45">
      <c r="A17" s="4" t="s">
        <v>24</v>
      </c>
      <c r="B17" s="5" t="s">
        <v>11</v>
      </c>
    </row>
    <row r="18" spans="1:10" x14ac:dyDescent="0.45">
      <c r="A18" s="4" t="s">
        <v>25</v>
      </c>
      <c r="B18" s="5" t="s">
        <v>1606</v>
      </c>
    </row>
    <row r="20" spans="1:10" ht="17.5" customHeight="1" x14ac:dyDescent="0.45">
      <c r="A20" s="18" t="s">
        <v>1607</v>
      </c>
    </row>
    <row r="21" spans="1:10" x14ac:dyDescent="0.45">
      <c r="A21" s="9" t="s">
        <v>1608</v>
      </c>
    </row>
    <row r="22" spans="1:10" x14ac:dyDescent="0.45">
      <c r="A22" s="19" t="s">
        <v>1593</v>
      </c>
      <c r="B22" s="20" t="s">
        <v>1594</v>
      </c>
      <c r="D22" s="21" t="s">
        <v>1609</v>
      </c>
      <c r="E22" s="21" t="s">
        <v>1610</v>
      </c>
      <c r="F22" s="21" t="s">
        <v>1611</v>
      </c>
    </row>
    <row r="23" spans="1:10" s="9" customFormat="1" x14ac:dyDescent="0.45">
      <c r="A23" s="4" t="s">
        <v>13</v>
      </c>
      <c r="B23" s="5" t="s">
        <v>1612</v>
      </c>
      <c r="D23" s="10" t="s">
        <v>79</v>
      </c>
      <c r="E23" s="10" t="s">
        <v>1613</v>
      </c>
      <c r="F23" s="10" t="s">
        <v>1614</v>
      </c>
    </row>
    <row r="24" spans="1:10" x14ac:dyDescent="0.45">
      <c r="A24" s="4" t="s">
        <v>14</v>
      </c>
      <c r="B24" s="5" t="s">
        <v>1596</v>
      </c>
      <c r="D24" s="10" t="s">
        <v>80</v>
      </c>
      <c r="E24" s="10" t="s">
        <v>1615</v>
      </c>
      <c r="F24" s="10" t="s">
        <v>1616</v>
      </c>
    </row>
    <row r="25" spans="1:10" x14ac:dyDescent="0.45">
      <c r="A25" s="4" t="s">
        <v>15</v>
      </c>
      <c r="B25" s="5" t="s">
        <v>1597</v>
      </c>
      <c r="D25" s="10" t="s">
        <v>1617</v>
      </c>
      <c r="E25" s="10" t="s">
        <v>1130</v>
      </c>
      <c r="F25" s="8"/>
    </row>
    <row r="26" spans="1:10" x14ac:dyDescent="0.45">
      <c r="A26" s="4" t="s">
        <v>16</v>
      </c>
      <c r="B26" s="5" t="s">
        <v>1618</v>
      </c>
    </row>
    <row r="27" spans="1:10" x14ac:dyDescent="0.45">
      <c r="A27" s="0" t="s">
        <v>63</v>
      </c>
      <c r="B27" s="5" t="s">
        <v>1619</v>
      </c>
    </row>
    <row r="28" spans="1:10" x14ac:dyDescent="0.45">
      <c r="A28" s="0" t="s">
        <v>64</v>
      </c>
      <c r="B28" s="0" t="s">
        <v>1620</v>
      </c>
    </row>
    <row r="29" spans="1:10" x14ac:dyDescent="0.45">
      <c r="A29" s="4" t="s">
        <v>65</v>
      </c>
      <c r="B29" s="5" t="s">
        <v>1621</v>
      </c>
    </row>
    <row r="30" spans="1:10" x14ac:dyDescent="0.45">
      <c r="A30" s="4" t="s">
        <v>66</v>
      </c>
      <c r="B30" s="5" t="s">
        <v>1622</v>
      </c>
    </row>
    <row r="31" spans="1:10" x14ac:dyDescent="0.45">
      <c r="A31" s="4" t="s">
        <v>68</v>
      </c>
      <c r="B31" s="5" t="s">
        <v>1623</v>
      </c>
    </row>
    <row r="32" spans="1:10" x14ac:dyDescent="0.45">
      <c r="A32" s="4" t="s">
        <v>18</v>
      </c>
      <c r="B32" s="5" t="s">
        <v>1624</v>
      </c>
    </row>
    <row r="33" spans="1:10" x14ac:dyDescent="0.45">
      <c r="A33" s="4" t="s">
        <v>69</v>
      </c>
      <c r="B33" s="5" t="s">
        <v>1625</v>
      </c>
    </row>
    <row r="34" spans="1:10" x14ac:dyDescent="0.45">
      <c r="A34" s="4" t="s">
        <v>22</v>
      </c>
      <c r="B34" s="5" t="s">
        <v>1604</v>
      </c>
    </row>
    <row r="35" spans="1:10" x14ac:dyDescent="0.45">
      <c r="A35" s="4" t="s">
        <v>23</v>
      </c>
      <c r="B35" s="5" t="s">
        <v>1605</v>
      </c>
    </row>
    <row r="36" spans="1:10" x14ac:dyDescent="0.45">
      <c r="A36" s="4" t="s">
        <v>24</v>
      </c>
      <c r="B36" s="5" t="s">
        <v>11</v>
      </c>
    </row>
    <row r="37" spans="1:10" x14ac:dyDescent="0.45">
      <c r="A37" s="4" t="s">
        <v>25</v>
      </c>
      <c r="B37" s="5" t="s">
        <v>1626</v>
      </c>
    </row>
    <row r="38" spans="1:10" x14ac:dyDescent="0.45">
      <c r="A38" s="4" t="s">
        <v>70</v>
      </c>
      <c r="B38" s="5" t="s">
        <v>1627</v>
      </c>
    </row>
    <row r="39" spans="1:10" x14ac:dyDescent="0.45">
      <c r="A39" s="4" t="s">
        <v>71</v>
      </c>
      <c r="B39" s="5" t="s">
        <v>1628</v>
      </c>
    </row>
    <row r="40" spans="1:10" x14ac:dyDescent="0.45">
      <c r="A40" s="4" t="s">
        <v>72</v>
      </c>
      <c r="B40" s="5" t="s">
        <v>1629</v>
      </c>
    </row>
    <row r="41" spans="1:10" x14ac:dyDescent="0.45">
      <c r="A41" s="4" t="s">
        <v>73</v>
      </c>
      <c r="B41" s="5" t="s">
        <v>1604</v>
      </c>
    </row>
    <row r="42" spans="1:10" x14ac:dyDescent="0.45">
      <c r="A42" s="4" t="s">
        <v>74</v>
      </c>
      <c r="B42" s="5" t="s">
        <v>1605</v>
      </c>
    </row>
    <row r="43" spans="1:10" x14ac:dyDescent="0.45">
      <c r="A43" s="4" t="s">
        <v>75</v>
      </c>
      <c r="B43" s="5" t="s">
        <v>11</v>
      </c>
    </row>
    <row r="44" spans="1:10" x14ac:dyDescent="0.45">
      <c r="A44" s="4" t="s">
        <v>76</v>
      </c>
      <c r="B44" s="5" t="s">
        <v>1626</v>
      </c>
    </row>
    <row r="46" spans="1:10" ht="17.5" customHeight="1" x14ac:dyDescent="0.45">
      <c r="A46" s="18" t="s">
        <v>1630</v>
      </c>
    </row>
    <row r="47" spans="1:10" x14ac:dyDescent="0.45">
      <c r="A47" s="9" t="s">
        <v>1631</v>
      </c>
    </row>
    <row r="48" spans="1:10" ht="16" customHeight="1" s="9" customFormat="1" x14ac:dyDescent="0.3">
      <c r="A48" s="19" t="s">
        <v>1593</v>
      </c>
      <c r="B48" s="20" t="s">
        <v>1594</v>
      </c>
    </row>
    <row r="49" spans="1:10" x14ac:dyDescent="0.45">
      <c r="A49" s="4" t="s">
        <v>13</v>
      </c>
      <c r="B49" s="5" t="s">
        <v>1632</v>
      </c>
    </row>
    <row r="50" spans="1:10" x14ac:dyDescent="0.45">
      <c r="A50" s="4" t="s">
        <v>14</v>
      </c>
      <c r="B50" s="5" t="s">
        <v>1596</v>
      </c>
    </row>
    <row r="51" spans="1:10" x14ac:dyDescent="0.45">
      <c r="A51" s="4" t="s">
        <v>15</v>
      </c>
      <c r="B51" s="5" t="s">
        <v>1597</v>
      </c>
    </row>
    <row r="52" spans="1:10" x14ac:dyDescent="0.45">
      <c r="A52" s="4" t="s">
        <v>99</v>
      </c>
      <c r="B52" s="5" t="s">
        <v>1633</v>
      </c>
    </row>
    <row r="53" spans="1:10" x14ac:dyDescent="0.45">
      <c r="A53" s="4" t="s">
        <v>122</v>
      </c>
      <c r="B53" s="5" t="s">
        <v>1634</v>
      </c>
    </row>
    <row r="54" spans="1:10" x14ac:dyDescent="0.45">
      <c r="A54" s="4" t="s">
        <v>124</v>
      </c>
      <c r="B54" s="5" t="s">
        <v>108</v>
      </c>
    </row>
    <row r="55" spans="1:10" x14ac:dyDescent="0.45">
      <c r="A55" s="4" t="s">
        <v>1635</v>
      </c>
      <c r="B55" s="5" t="s">
        <v>1636</v>
      </c>
    </row>
    <row r="56" spans="1:10" x14ac:dyDescent="0.45">
      <c r="A56" s="0" t="s">
        <v>126</v>
      </c>
      <c r="B56" s="0" t="s">
        <v>1637</v>
      </c>
    </row>
    <row r="57" spans="1:10" x14ac:dyDescent="0.45">
      <c r="A57" s="0" t="s">
        <v>125</v>
      </c>
      <c r="B57" s="0" t="s">
        <v>1638</v>
      </c>
    </row>
    <row r="58" spans="1:10" x14ac:dyDescent="0.45">
      <c r="A58" s="0" t="s">
        <v>127</v>
      </c>
      <c r="B58" s="0" t="s">
        <v>1639</v>
      </c>
    </row>
    <row r="59" spans="1:10" x14ac:dyDescent="0.45">
      <c r="A59" s="4" t="s">
        <v>128</v>
      </c>
      <c r="B59" s="5" t="s">
        <v>1640</v>
      </c>
    </row>
    <row r="60" spans="1:10" x14ac:dyDescent="0.45">
      <c r="A60" s="4" t="s">
        <v>129</v>
      </c>
      <c r="B60" s="5" t="s">
        <v>1641</v>
      </c>
    </row>
    <row r="61" spans="1:10" x14ac:dyDescent="0.45">
      <c r="A61" s="4" t="s">
        <v>1642</v>
      </c>
      <c r="B61" s="5" t="s">
        <v>116</v>
      </c>
    </row>
    <row r="62" spans="1:10" x14ac:dyDescent="0.45">
      <c r="A62" s="4" t="s">
        <v>1643</v>
      </c>
      <c r="B62" s="5" t="s">
        <v>117</v>
      </c>
    </row>
    <row r="63" spans="1:10" x14ac:dyDescent="0.45">
      <c r="A63" s="4" t="s">
        <v>1644</v>
      </c>
      <c r="B63" s="5" t="s">
        <v>118</v>
      </c>
    </row>
    <row r="64" spans="1:10" x14ac:dyDescent="0.45">
      <c r="A64" s="4" t="s">
        <v>133</v>
      </c>
      <c r="B64" s="5" t="s">
        <v>119</v>
      </c>
    </row>
    <row r="65" spans="1:10" x14ac:dyDescent="0.45">
      <c r="A65" s="4" t="s">
        <v>134</v>
      </c>
      <c r="B65" s="5" t="s">
        <v>120</v>
      </c>
    </row>
    <row r="66" spans="1:10" x14ac:dyDescent="0.45">
      <c r="A66" s="4" t="s">
        <v>135</v>
      </c>
      <c r="B66" s="5" t="s">
        <v>1645</v>
      </c>
    </row>
    <row r="67" spans="1:10" ht="11.5" customHeight="1" s="9" customFormat="1" x14ac:dyDescent="0.3"/>
    <row r="68" spans="1:10" ht="17.5" customHeight="1" x14ac:dyDescent="0.45">
      <c r="A68" s="18" t="s">
        <v>1646</v>
      </c>
    </row>
    <row r="69" spans="1:10" x14ac:dyDescent="0.45">
      <c r="A69" s="9" t="s">
        <v>1647</v>
      </c>
    </row>
    <row r="70" spans="1:10" x14ac:dyDescent="0.45">
      <c r="A70" s="19" t="s">
        <v>1593</v>
      </c>
      <c r="B70" s="20" t="s">
        <v>1594</v>
      </c>
    </row>
    <row r="71" spans="1:10" x14ac:dyDescent="0.45">
      <c r="A71" s="4" t="s">
        <v>99</v>
      </c>
      <c r="B71" s="5" t="s">
        <v>1648</v>
      </c>
    </row>
    <row r="72" spans="1:10" x14ac:dyDescent="0.45">
      <c r="A72" s="4" t="s">
        <v>100</v>
      </c>
      <c r="B72" s="5" t="s">
        <v>97</v>
      </c>
    </row>
    <row r="73" spans="1:10" x14ac:dyDescent="0.45">
      <c r="A73" s="4" t="s">
        <v>101</v>
      </c>
      <c r="B73" s="5" t="s">
        <v>1649</v>
      </c>
    </row>
    <row r="74" spans="1:10" ht="16" customHeight="1" s="9" customFormat="1" x14ac:dyDescent="0.3">
      <c r="A74" s="4"/>
      <c r="B74" s="5"/>
    </row>
    <row r="75" spans="1:10" ht="17.5" customHeight="1" x14ac:dyDescent="0.45">
      <c r="A75" s="18" t="s">
        <v>1650</v>
      </c>
    </row>
    <row r="76" spans="1:10" x14ac:dyDescent="0.45">
      <c r="A76" s="9" t="s">
        <v>1651</v>
      </c>
    </row>
    <row r="77" spans="1:10" x14ac:dyDescent="0.45">
      <c r="A77" s="19" t="s">
        <v>1593</v>
      </c>
      <c r="B77" s="20" t="s">
        <v>1594</v>
      </c>
    </row>
    <row r="78" spans="1:10" x14ac:dyDescent="0.45">
      <c r="A78" s="4" t="s">
        <v>13</v>
      </c>
      <c r="B78" s="5" t="s">
        <v>1652</v>
      </c>
    </row>
    <row r="79" spans="1:10" x14ac:dyDescent="0.45">
      <c r="A79" s="4" t="s">
        <v>14</v>
      </c>
      <c r="B79" s="5" t="s">
        <v>1596</v>
      </c>
    </row>
    <row r="80" spans="1:10" x14ac:dyDescent="0.45">
      <c r="A80" s="4" t="s">
        <v>15</v>
      </c>
      <c r="B80" s="5" t="s">
        <v>1597</v>
      </c>
    </row>
    <row r="81" spans="1:10" x14ac:dyDescent="0.45">
      <c r="A81" s="4" t="s">
        <v>100</v>
      </c>
      <c r="B81" s="5" t="s">
        <v>1653</v>
      </c>
    </row>
    <row r="82" spans="1:10" x14ac:dyDescent="0.45">
      <c r="A82" s="4" t="s">
        <v>1130</v>
      </c>
      <c r="B82" s="5" t="s">
        <v>1654</v>
      </c>
    </row>
    <row r="83" spans="1:10" ht="11.5" customHeight="1" s="9" customFormat="1" x14ac:dyDescent="0.3"/>
    <row r="84" spans="1:10" ht="17.5" customHeight="1" x14ac:dyDescent="0.45">
      <c r="A84" s="18" t="s">
        <v>1655</v>
      </c>
    </row>
    <row r="85" spans="1:10" x14ac:dyDescent="0.45">
      <c r="A85" s="9" t="s">
        <v>1656</v>
      </c>
    </row>
    <row r="86" spans="1:10" x14ac:dyDescent="0.45">
      <c r="A86" s="19" t="s">
        <v>1593</v>
      </c>
      <c r="B86" s="20" t="s">
        <v>1594</v>
      </c>
    </row>
    <row r="87" spans="1:10" x14ac:dyDescent="0.45">
      <c r="A87" s="4" t="s">
        <v>13</v>
      </c>
      <c r="B87" s="5" t="s">
        <v>1657</v>
      </c>
    </row>
    <row r="88" spans="1:10" x14ac:dyDescent="0.45">
      <c r="A88" s="4" t="s">
        <v>14</v>
      </c>
      <c r="B88" s="5" t="s">
        <v>1596</v>
      </c>
    </row>
    <row r="89" spans="1:10" x14ac:dyDescent="0.45">
      <c r="A89" s="4" t="s">
        <v>15</v>
      </c>
      <c r="B89" s="5" t="s">
        <v>1597</v>
      </c>
    </row>
    <row r="90" spans="1:10" x14ac:dyDescent="0.45">
      <c r="A90" s="4" t="s">
        <v>99</v>
      </c>
      <c r="B90" s="5" t="s">
        <v>1658</v>
      </c>
    </row>
    <row r="91" spans="1:10" x14ac:dyDescent="0.45">
      <c r="A91" s="4" t="s">
        <v>100</v>
      </c>
      <c r="B91" s="5" t="s">
        <v>1653</v>
      </c>
    </row>
    <row r="92" spans="1:10" x14ac:dyDescent="0.45">
      <c r="A92" s="4" t="s">
        <v>1149</v>
      </c>
      <c r="B92" s="5" t="s">
        <v>1659</v>
      </c>
    </row>
    <row r="93" spans="1:10" x14ac:dyDescent="0.45">
      <c r="A93" s="4" t="s">
        <v>1150</v>
      </c>
      <c r="B93" s="5" t="s">
        <v>1660</v>
      </c>
    </row>
    <row r="94" spans="1:10" ht="11.5" customHeight="1" s="9" customFormat="1" x14ac:dyDescent="0.3"/>
    <row r="95" spans="1:10" ht="17.5" customHeight="1" x14ac:dyDescent="0.45">
      <c r="A95" s="18" t="s">
        <v>1661</v>
      </c>
    </row>
    <row r="96" spans="1:10" x14ac:dyDescent="0.45">
      <c r="A96" s="9" t="s">
        <v>1662</v>
      </c>
    </row>
    <row r="97" spans="1:10" x14ac:dyDescent="0.45">
      <c r="A97" s="19" t="s">
        <v>1593</v>
      </c>
      <c r="B97" s="20" t="s">
        <v>1594</v>
      </c>
    </row>
    <row r="98" spans="1:10" x14ac:dyDescent="0.45">
      <c r="A98" s="4" t="s">
        <v>13</v>
      </c>
      <c r="B98" s="5" t="s">
        <v>1663</v>
      </c>
    </row>
    <row r="99" spans="1:10" x14ac:dyDescent="0.45">
      <c r="A99" s="4" t="s">
        <v>14</v>
      </c>
      <c r="B99" s="5" t="s">
        <v>1596</v>
      </c>
    </row>
    <row r="100" spans="1:10" x14ac:dyDescent="0.45">
      <c r="A100" s="4" t="s">
        <v>15</v>
      </c>
      <c r="B100" s="5" t="s">
        <v>1597</v>
      </c>
    </row>
    <row r="101" spans="1:10" x14ac:dyDescent="0.45">
      <c r="A101" s="4" t="s">
        <v>99</v>
      </c>
      <c r="B101" s="5" t="s">
        <v>1664</v>
      </c>
    </row>
    <row r="102" spans="1:10" x14ac:dyDescent="0.45">
      <c r="A102" s="4" t="s">
        <v>100</v>
      </c>
      <c r="B102" s="5" t="s">
        <v>1653</v>
      </c>
    </row>
    <row r="103" spans="1:10" x14ac:dyDescent="0.45">
      <c r="A103" s="4" t="s">
        <v>1184</v>
      </c>
      <c r="B103" s="5" t="s">
        <v>1665</v>
      </c>
    </row>
    <row r="104" spans="1:10" x14ac:dyDescent="0.45">
      <c r="A104" s="4" t="s">
        <v>1185</v>
      </c>
      <c r="B104" s="5" t="s">
        <v>1183</v>
      </c>
    </row>
    <row r="105" spans="1:10" x14ac:dyDescent="0.45">
      <c r="A105" s="4" t="s">
        <v>1186</v>
      </c>
      <c r="B105" s="5" t="s">
        <v>1148</v>
      </c>
    </row>
    <row r="106" spans="1:10" ht="11.5" customHeight="1" s="9" customFormat="1" x14ac:dyDescent="0.3"/>
    <row r="107" spans="1:10" ht="17.5" customHeight="1" x14ac:dyDescent="0.45">
      <c r="A107" s="18" t="s">
        <v>1666</v>
      </c>
    </row>
    <row r="108" spans="1:10" x14ac:dyDescent="0.45">
      <c r="A108" s="9" t="s">
        <v>1667</v>
      </c>
    </row>
    <row r="109" spans="1:10" x14ac:dyDescent="0.45">
      <c r="A109" s="19" t="s">
        <v>1593</v>
      </c>
      <c r="B109" s="20" t="s">
        <v>1594</v>
      </c>
    </row>
    <row r="110" spans="1:10" x14ac:dyDescent="0.45">
      <c r="A110" s="4" t="s">
        <v>13</v>
      </c>
      <c r="B110" s="5" t="s">
        <v>1668</v>
      </c>
    </row>
    <row r="111" spans="1:10" x14ac:dyDescent="0.45">
      <c r="A111" s="4" t="s">
        <v>14</v>
      </c>
      <c r="B111" s="5" t="s">
        <v>1596</v>
      </c>
    </row>
    <row r="112" spans="1:10" x14ac:dyDescent="0.45">
      <c r="A112" s="4" t="s">
        <v>15</v>
      </c>
      <c r="B112" s="5" t="s">
        <v>1597</v>
      </c>
    </row>
    <row r="113" spans="1:10" x14ac:dyDescent="0.45">
      <c r="A113" s="4" t="s">
        <v>100</v>
      </c>
      <c r="B113" s="5" t="s">
        <v>1653</v>
      </c>
    </row>
    <row r="114" spans="1:10" x14ac:dyDescent="0.45">
      <c r="A114" s="4" t="s">
        <v>1491</v>
      </c>
      <c r="B114" s="5" t="s">
        <v>1669</v>
      </c>
    </row>
    <row r="115" spans="1:10" x14ac:dyDescent="0.45">
      <c r="A115" s="4" t="s">
        <v>1492</v>
      </c>
      <c r="B115" s="5" t="s">
        <v>1670</v>
      </c>
    </row>
    <row r="116" spans="1:10" x14ac:dyDescent="0.45">
      <c r="A116" s="4" t="s">
        <v>1185</v>
      </c>
      <c r="B116" s="5" t="s">
        <v>1671</v>
      </c>
    </row>
    <row r="117" spans="1:10" x14ac:dyDescent="0.45">
      <c r="A117" s="4" t="s">
        <v>1186</v>
      </c>
      <c r="B117" s="5" t="s">
        <v>1672</v>
      </c>
    </row>
    <row r="118" spans="1:10" ht="11.5" customHeight="1" s="9" customFormat="1" x14ac:dyDescent="0.3"/>
    <row r="119" spans="1:10" ht="17.5" customHeight="1" x14ac:dyDescent="0.45">
      <c r="A119" s="18" t="s">
        <v>1673</v>
      </c>
    </row>
    <row r="120" spans="1:10" x14ac:dyDescent="0.45">
      <c r="A120" s="9" t="s">
        <v>1674</v>
      </c>
    </row>
    <row r="121" spans="1:10" x14ac:dyDescent="0.45">
      <c r="A121" s="19" t="s">
        <v>1593</v>
      </c>
      <c r="B121" s="20" t="s">
        <v>1594</v>
      </c>
    </row>
    <row r="122" spans="1:10" x14ac:dyDescent="0.45">
      <c r="A122" s="4" t="s">
        <v>13</v>
      </c>
      <c r="B122" s="5" t="s">
        <v>1675</v>
      </c>
    </row>
    <row r="123" spans="1:10" x14ac:dyDescent="0.45">
      <c r="A123" s="4" t="s">
        <v>14</v>
      </c>
      <c r="B123" s="5" t="s">
        <v>1596</v>
      </c>
    </row>
    <row r="124" spans="1:10" x14ac:dyDescent="0.45">
      <c r="A124" s="4" t="s">
        <v>15</v>
      </c>
      <c r="B124" s="5" t="s">
        <v>1597</v>
      </c>
    </row>
    <row r="125" spans="1:10" x14ac:dyDescent="0.45">
      <c r="A125" s="4" t="s">
        <v>1524</v>
      </c>
      <c r="B125" s="5" t="s">
        <v>1676</v>
      </c>
    </row>
    <row r="126" spans="1:10" x14ac:dyDescent="0.45">
      <c r="A126" s="4" t="s">
        <v>68</v>
      </c>
      <c r="B126" s="5" t="s">
        <v>1677</v>
      </c>
    </row>
    <row r="127" spans="1:10" x14ac:dyDescent="0.45">
      <c r="A127" s="4" t="s">
        <v>18</v>
      </c>
      <c r="B127" s="5" t="s">
        <v>1678</v>
      </c>
    </row>
    <row r="128" spans="1:10" x14ac:dyDescent="0.45">
      <c r="A128" s="4" t="s">
        <v>69</v>
      </c>
      <c r="B128" s="5" t="s">
        <v>1625</v>
      </c>
    </row>
    <row r="129" spans="1:10" x14ac:dyDescent="0.45">
      <c r="A129" s="4" t="s">
        <v>22</v>
      </c>
      <c r="B129" s="5" t="s">
        <v>1604</v>
      </c>
    </row>
    <row r="130" spans="1:10" x14ac:dyDescent="0.45">
      <c r="A130" s="4" t="s">
        <v>23</v>
      </c>
      <c r="B130" s="5" t="s">
        <v>1605</v>
      </c>
    </row>
    <row r="131" spans="1:10" x14ac:dyDescent="0.45">
      <c r="A131" s="4" t="s">
        <v>24</v>
      </c>
      <c r="B131" s="5" t="s">
        <v>11</v>
      </c>
    </row>
    <row r="132" spans="1:10" x14ac:dyDescent="0.45">
      <c r="A132" s="4" t="s">
        <v>25</v>
      </c>
      <c r="B132" s="5" t="s">
        <v>1626</v>
      </c>
    </row>
    <row r="133" spans="1:10" x14ac:dyDescent="0.45">
      <c r="A133" s="4" t="s">
        <v>70</v>
      </c>
      <c r="B133" s="5" t="s">
        <v>1627</v>
      </c>
    </row>
    <row r="134" spans="1:10" x14ac:dyDescent="0.45">
      <c r="A134" s="4" t="s">
        <v>71</v>
      </c>
      <c r="B134" s="5" t="s">
        <v>1679</v>
      </c>
    </row>
    <row r="135" spans="1:10" x14ac:dyDescent="0.45">
      <c r="A135" s="4" t="s">
        <v>72</v>
      </c>
      <c r="B135" s="5" t="s">
        <v>1629</v>
      </c>
    </row>
    <row r="136" spans="1:10" x14ac:dyDescent="0.45">
      <c r="A136" s="4" t="s">
        <v>73</v>
      </c>
      <c r="B136" s="5" t="s">
        <v>1604</v>
      </c>
    </row>
    <row r="137" spans="1:10" x14ac:dyDescent="0.45">
      <c r="A137" s="4" t="s">
        <v>74</v>
      </c>
      <c r="B137" s="5" t="s">
        <v>1605</v>
      </c>
    </row>
    <row r="138" spans="1:10" x14ac:dyDescent="0.45">
      <c r="A138" s="4" t="s">
        <v>75</v>
      </c>
      <c r="B138" s="5" t="s">
        <v>11</v>
      </c>
    </row>
    <row r="139" spans="1:10" x14ac:dyDescent="0.45">
      <c r="A139" s="4" t="s">
        <v>76</v>
      </c>
      <c r="B139" s="5" t="s">
        <v>1626</v>
      </c>
    </row>
    <row r="140" spans="1:10" ht="11.5" customHeight="1" s="9" customFormat="1" x14ac:dyDescent="0.3"/>
    <row r="141" spans="1:10" ht="17.5" customHeight="1" x14ac:dyDescent="0.45">
      <c r="A141" s="22" t="s">
        <v>1681</v>
      </c>
    </row>
    <row r="142" spans="1:10" x14ac:dyDescent="0.45">
      <c r="A142" s="9" t="s">
        <v>1680</v>
      </c>
      <c r="E142" s="9" t="s">
        <v>1682</v>
      </c>
    </row>
    <row r="143" spans="1:10" x14ac:dyDescent="0.45">
      <c r="A143" s="19" t="s">
        <v>1593</v>
      </c>
      <c r="B143" s="20" t="s">
        <v>1594</v>
      </c>
      <c r="E143" s="23" t="s">
        <v>1535</v>
      </c>
      <c r="F143" s="23" t="s">
        <v>1683</v>
      </c>
      <c r="G143" s="23" t="s">
        <v>1684</v>
      </c>
      <c r="H143" s="23" t="s">
        <v>1685</v>
      </c>
      <c r="I143" s="23" t="s">
        <v>1686</v>
      </c>
      <c r="J143" s="23" t="s">
        <v>1687</v>
      </c>
    </row>
    <row r="144" spans="1:10" x14ac:dyDescent="0.45">
      <c r="A144" s="4" t="s">
        <v>13</v>
      </c>
      <c r="B144" s="5" t="s">
        <v>1688</v>
      </c>
      <c r="E144" s="10" t="s">
        <v>1542</v>
      </c>
      <c r="F144" s="10" t="s">
        <v>1689</v>
      </c>
      <c r="G144" s="10" t="s">
        <v>1691</v>
      </c>
      <c r="H144" s="0" t="str">
        <f>E144&amp;"_text"</f>
        <v>clear_battle_level_text</v>
      </c>
      <c r="I144" s="10" t="s">
        <v>1692</v>
      </c>
    </row>
    <row r="145" spans="1:10" x14ac:dyDescent="0.45">
      <c r="A145" s="4" t="s">
        <v>14</v>
      </c>
      <c r="B145" s="5" t="s">
        <v>1596</v>
      </c>
      <c r="E145" s="10" t="s">
        <v>1544</v>
      </c>
      <c r="F145" s="10" t="s">
        <v>1690</v>
      </c>
      <c r="G145" s="10" t="s">
        <v>1694</v>
      </c>
      <c r="H145" s="0" t="str">
        <f t="shared" ref="H145:H148" si="0">E145&amp;"_text"</f>
        <v>clear_with_hero_text</v>
      </c>
      <c r="I145" s="10" t="s">
        <v>1693</v>
      </c>
    </row>
    <row r="146" spans="1:10" x14ac:dyDescent="0.45">
      <c r="A146" s="4" t="s">
        <v>15</v>
      </c>
      <c r="B146" s="5" t="s">
        <v>1597</v>
      </c>
      <c r="E146" s="0" t="s">
        <v>1546</v>
      </c>
      <c r="F146" s="10" t="s">
        <v>1695</v>
      </c>
      <c r="G146" s="10" t="s">
        <v>1696</v>
      </c>
      <c r="H146" s="0" t="str">
        <f t="shared" si="0"/>
        <v>clear_event_text</v>
      </c>
      <c r="I146" s="10" t="s">
        <v>1697</v>
      </c>
      <c r="J146" s="10" t="s">
        <v>1698</v>
      </c>
    </row>
    <row r="147" spans="1:10" x14ac:dyDescent="0.45">
      <c r="A147" s="4" t="s">
        <v>1699</v>
      </c>
      <c r="B147" s="5" t="s">
        <v>1700</v>
      </c>
      <c r="E147" s="0" t="s">
        <v>1548</v>
      </c>
      <c r="F147" s="10" t="s">
        <v>1690</v>
      </c>
      <c r="G147" s="10" t="s">
        <v>1701</v>
      </c>
      <c r="H147" s="0" t="str">
        <f t="shared" si="0"/>
        <v>recruit_hero_text</v>
      </c>
      <c r="I147" s="10" t="s">
        <v>1702</v>
      </c>
    </row>
    <row r="148" spans="1:10" x14ac:dyDescent="0.45">
      <c r="A148" s="4" t="s">
        <v>1703</v>
      </c>
      <c r="B148" s="5" t="s">
        <v>1704</v>
      </c>
      <c r="E148" s="10" t="s">
        <v>1550</v>
      </c>
      <c r="F148" s="10" t="s">
        <v>1705</v>
      </c>
      <c r="G148" s="10" t="s">
        <v>1706</v>
      </c>
      <c r="H148" s="0" t="str">
        <f t="shared" si="0"/>
        <v>collect_relic_text</v>
      </c>
      <c r="I148" s="10" t="s">
        <v>1707</v>
      </c>
    </row>
    <row r="149" spans="1:10" x14ac:dyDescent="0.45">
      <c r="A149" s="4" t="s">
        <v>1536</v>
      </c>
      <c r="B149" s="5" t="s">
        <v>1708</v>
      </c>
    </row>
    <row r="150" spans="1:10" x14ac:dyDescent="0.45">
      <c r="A150" s="4" t="s">
        <v>1709</v>
      </c>
      <c r="B150" s="5" t="s">
        <v>1710</v>
      </c>
      <c r="E150" s="1"/>
    </row>
    <row r="151" spans="1:10" x14ac:dyDescent="0.45">
      <c r="A151" s="4" t="s">
        <v>1538</v>
      </c>
      <c r="B151" s="5" t="s">
        <v>1711</v>
      </c>
      <c r="E151" s="1"/>
    </row>
    <row r="152" spans="1:10" x14ac:dyDescent="0.45">
      <c r="A152" s="4" t="s">
        <v>18</v>
      </c>
      <c r="B152" s="5" t="s">
        <v>1678</v>
      </c>
      <c r="E152" s="1"/>
    </row>
    <row r="153" spans="1:10" x14ac:dyDescent="0.45">
      <c r="A153" s="4" t="s">
        <v>19</v>
      </c>
      <c r="B153" s="5" t="s">
        <v>1625</v>
      </c>
      <c r="E153" s="1"/>
    </row>
    <row r="154" spans="1:10" x14ac:dyDescent="0.45">
      <c r="A154" s="4" t="s">
        <v>22</v>
      </c>
      <c r="B154" s="5" t="s">
        <v>1604</v>
      </c>
      <c r="E154" s="1"/>
    </row>
    <row r="155" spans="1:10" x14ac:dyDescent="0.45">
      <c r="A155" s="4" t="s">
        <v>23</v>
      </c>
      <c r="B155" s="5" t="s">
        <v>1605</v>
      </c>
      <c r="E155" s="1"/>
    </row>
    <row r="156" spans="1:10" x14ac:dyDescent="0.45">
      <c r="A156" s="4" t="s">
        <v>24</v>
      </c>
      <c r="B156" s="5" t="s">
        <v>11</v>
      </c>
      <c r="E156" s="1"/>
    </row>
    <row r="157" spans="1:10" x14ac:dyDescent="0.45">
      <c r="A157" s="4" t="s">
        <v>25</v>
      </c>
      <c r="B157" s="5" t="s">
        <v>1626</v>
      </c>
      <c r="E157" s="1"/>
    </row>
    <row r="158" spans="1:10" x14ac:dyDescent="0.45">
      <c r="A158" s="4" t="s">
        <v>1539</v>
      </c>
      <c r="B158" s="5" t="s">
        <v>1712</v>
      </c>
      <c r="E158" s="1"/>
    </row>
    <row r="159" spans="1:10" x14ac:dyDescent="0.45">
      <c r="A159" s="4" t="s">
        <v>71</v>
      </c>
      <c r="B159" s="5" t="s">
        <v>1679</v>
      </c>
      <c r="E159" s="1"/>
    </row>
    <row r="160" spans="1:10" x14ac:dyDescent="0.45">
      <c r="A160" s="4" t="s">
        <v>1540</v>
      </c>
      <c r="B160" s="5" t="s">
        <v>1629</v>
      </c>
      <c r="E160" s="1"/>
    </row>
    <row r="161" spans="1:10" x14ac:dyDescent="0.45">
      <c r="A161" s="4" t="s">
        <v>73</v>
      </c>
      <c r="B161" s="5" t="s">
        <v>1604</v>
      </c>
      <c r="E161" s="1"/>
    </row>
    <row r="162" spans="1:10" x14ac:dyDescent="0.45">
      <c r="A162" s="4" t="s">
        <v>74</v>
      </c>
      <c r="B162" s="5" t="s">
        <v>1605</v>
      </c>
      <c r="E162" s="1"/>
    </row>
    <row r="163" spans="1:10" x14ac:dyDescent="0.45">
      <c r="A163" s="4" t="s">
        <v>75</v>
      </c>
      <c r="B163" s="5" t="s">
        <v>11</v>
      </c>
      <c r="E163" s="1"/>
    </row>
    <row r="164" spans="1:10" x14ac:dyDescent="0.45">
      <c r="A164" s="4" t="s">
        <v>76</v>
      </c>
      <c r="B164" s="5" t="s">
        <v>1626</v>
      </c>
      <c r="E164" s="1"/>
    </row>
    <row r="165" spans="1:10" s="9" customFormat="1" x14ac:dyDescent="0.45">
      <c r="D165" s="0"/>
      <c r="E165" s="1"/>
    </row>
    <row r="166" spans="1:10" ht="17.5" customHeight="1" x14ac:dyDescent="0.45">
      <c r="A166" s="22" t="s">
        <v>1714</v>
      </c>
    </row>
    <row r="167" spans="1:10" x14ac:dyDescent="0.45">
      <c r="A167" s="9" t="s">
        <v>1713</v>
      </c>
      <c r="E167" s="9"/>
    </row>
    <row r="168" spans="1:10" x14ac:dyDescent="0.45">
      <c r="A168" s="19" t="s">
        <v>1593</v>
      </c>
      <c r="B168" s="20" t="s">
        <v>1594</v>
      </c>
      <c r="E168" s="1"/>
    </row>
    <row r="169" spans="1:10" x14ac:dyDescent="0.45">
      <c r="A169" s="4" t="s">
        <v>13</v>
      </c>
      <c r="B169" s="5" t="s">
        <v>1715</v>
      </c>
      <c r="E169" s="1"/>
    </row>
    <row r="170" spans="1:10" x14ac:dyDescent="0.45">
      <c r="A170" s="4" t="s">
        <v>14</v>
      </c>
      <c r="B170" s="5" t="s">
        <v>1596</v>
      </c>
      <c r="E170" s="1"/>
    </row>
    <row r="171" spans="1:10" x14ac:dyDescent="0.45">
      <c r="A171" s="4" t="s">
        <v>15</v>
      </c>
      <c r="B171" s="5" t="s">
        <v>1597</v>
      </c>
      <c r="E171" s="1"/>
    </row>
    <row r="172" spans="1:10" x14ac:dyDescent="0.45">
      <c r="A172" s="4" t="s">
        <v>1699</v>
      </c>
      <c r="B172" s="5" t="s">
        <v>1700</v>
      </c>
      <c r="E172" s="1"/>
    </row>
    <row r="173" spans="1:10" x14ac:dyDescent="0.45">
      <c r="A173" s="1" t="s">
        <v>1717</v>
      </c>
      <c r="B173" s="5" t="s">
        <v>1554</v>
      </c>
      <c r="E173" s="1"/>
    </row>
    <row r="174" spans="1:10" x14ac:dyDescent="0.45">
      <c r="A174" s="1" t="s">
        <v>1716</v>
      </c>
      <c r="B174" s="5" t="s">
        <v>1552</v>
      </c>
      <c r="E174" s="1"/>
    </row>
    <row r="175" spans="1:10" x14ac:dyDescent="0.45">
      <c r="A175" s="1" t="s">
        <v>1718</v>
      </c>
      <c r="B175" s="5" t="s">
        <v>1554</v>
      </c>
      <c r="E175" s="1"/>
    </row>
    <row r="176" spans="1:10" x14ac:dyDescent="0.45">
      <c r="A176" s="1" t="s">
        <v>1719</v>
      </c>
      <c r="B176" s="5" t="s">
        <v>1552</v>
      </c>
      <c r="E176" s="1"/>
    </row>
    <row r="177" spans="1:10" x14ac:dyDescent="0.45">
      <c r="A177" s="4" t="s">
        <v>1703</v>
      </c>
      <c r="B177" s="5" t="s">
        <v>1704</v>
      </c>
      <c r="E177" s="1"/>
    </row>
    <row r="178" spans="1:10" x14ac:dyDescent="0.45">
      <c r="A178" s="4" t="s">
        <v>1536</v>
      </c>
      <c r="B178" s="5" t="s">
        <v>1708</v>
      </c>
      <c r="E178" s="1"/>
    </row>
    <row r="179" spans="1:10" x14ac:dyDescent="0.45">
      <c r="A179" s="4" t="s">
        <v>1709</v>
      </c>
      <c r="B179" s="5" t="s">
        <v>1710</v>
      </c>
      <c r="D179" s="10"/>
      <c r="E179" s="1"/>
    </row>
    <row r="180" spans="1:10" x14ac:dyDescent="0.45">
      <c r="A180" s="4" t="s">
        <v>1538</v>
      </c>
      <c r="B180" s="5" t="s">
        <v>1711</v>
      </c>
      <c r="E180" s="1"/>
    </row>
    <row r="181" spans="1:10" x14ac:dyDescent="0.45">
      <c r="A181" s="4" t="s">
        <v>18</v>
      </c>
      <c r="B181" s="5" t="s">
        <v>1678</v>
      </c>
      <c r="E181" s="1"/>
    </row>
    <row r="182" spans="1:10" x14ac:dyDescent="0.45">
      <c r="A182" s="4" t="s">
        <v>19</v>
      </c>
      <c r="B182" s="5" t="s">
        <v>1625</v>
      </c>
      <c r="E182" s="1"/>
    </row>
    <row r="183" spans="1:10" x14ac:dyDescent="0.45">
      <c r="A183" s="4" t="s">
        <v>22</v>
      </c>
      <c r="B183" s="5" t="s">
        <v>1604</v>
      </c>
      <c r="E183" s="1"/>
    </row>
    <row r="184" spans="1:10" x14ac:dyDescent="0.45">
      <c r="A184" s="4" t="s">
        <v>23</v>
      </c>
      <c r="B184" s="5" t="s">
        <v>1605</v>
      </c>
      <c r="E184" s="1"/>
    </row>
    <row r="185" spans="1:10" x14ac:dyDescent="0.45">
      <c r="A185" s="4" t="s">
        <v>24</v>
      </c>
      <c r="B185" s="5" t="s">
        <v>11</v>
      </c>
      <c r="E185" s="1"/>
    </row>
    <row r="186" spans="1:10" x14ac:dyDescent="0.45">
      <c r="A186" s="4" t="s">
        <v>25</v>
      </c>
      <c r="B186" s="5" t="s">
        <v>1626</v>
      </c>
      <c r="E186" s="1"/>
    </row>
    <row r="187" spans="1:10" x14ac:dyDescent="0.45">
      <c r="A187" s="4" t="s">
        <v>1539</v>
      </c>
      <c r="B187" s="5" t="s">
        <v>1712</v>
      </c>
      <c r="E187" s="1"/>
    </row>
    <row r="188" spans="1:10" x14ac:dyDescent="0.45">
      <c r="A188" s="4" t="s">
        <v>71</v>
      </c>
      <c r="B188" s="5" t="s">
        <v>1679</v>
      </c>
      <c r="E188" s="1"/>
    </row>
    <row r="189" spans="1:10" x14ac:dyDescent="0.45">
      <c r="A189" s="4" t="s">
        <v>1540</v>
      </c>
      <c r="B189" s="5" t="s">
        <v>1629</v>
      </c>
      <c r="E189" s="1"/>
    </row>
    <row r="190" spans="1:10" x14ac:dyDescent="0.45">
      <c r="A190" s="4" t="s">
        <v>73</v>
      </c>
      <c r="B190" s="5" t="s">
        <v>1604</v>
      </c>
      <c r="E190" s="1"/>
    </row>
    <row r="191" spans="1:10" x14ac:dyDescent="0.45">
      <c r="A191" s="4" t="s">
        <v>74</v>
      </c>
      <c r="B191" s="5" t="s">
        <v>1605</v>
      </c>
      <c r="E191" s="1"/>
    </row>
    <row r="192" spans="1:10" x14ac:dyDescent="0.45">
      <c r="A192" s="4" t="s">
        <v>75</v>
      </c>
      <c r="B192" s="5" t="s">
        <v>11</v>
      </c>
      <c r="E192" s="1"/>
    </row>
    <row r="193" spans="1:10" x14ac:dyDescent="0.45">
      <c r="A193" s="4" t="s">
        <v>76</v>
      </c>
      <c r="B193" s="5" t="s">
        <v>1626</v>
      </c>
      <c r="E193" s="1"/>
    </row>
    <row r="194" spans="1:10" x14ac:dyDescent="0.45">
      <c r="A194" s="4"/>
      <c r="B194" s="5"/>
      <c r="E194" s="1"/>
    </row>
    <row r="195" spans="1:10" ht="17.5" customHeight="1" x14ac:dyDescent="0.45">
      <c r="A195" s="18" t="s">
        <v>1721</v>
      </c>
      <c r="E195" s="1"/>
    </row>
    <row r="196" spans="1:10" x14ac:dyDescent="0.45">
      <c r="A196" s="9" t="s">
        <v>1720</v>
      </c>
      <c r="E196" s="1"/>
    </row>
    <row r="197" spans="1:10" x14ac:dyDescent="0.45">
      <c r="A197" s="19" t="s">
        <v>1593</v>
      </c>
      <c r="B197" s="20" t="s">
        <v>1594</v>
      </c>
    </row>
    <row r="198" spans="1:10" x14ac:dyDescent="0.45">
      <c r="A198" s="4" t="s">
        <v>13</v>
      </c>
      <c r="B198" s="5" t="s">
        <v>1722</v>
      </c>
    </row>
    <row r="199" spans="1:10" x14ac:dyDescent="0.45">
      <c r="A199" s="4" t="s">
        <v>14</v>
      </c>
      <c r="B199" s="5" t="s">
        <v>1596</v>
      </c>
    </row>
    <row r="200" spans="1:10" x14ac:dyDescent="0.45">
      <c r="A200" s="4" t="s">
        <v>15</v>
      </c>
      <c r="B200" s="5" t="s">
        <v>1723</v>
      </c>
    </row>
    <row r="201" spans="1:10" x14ac:dyDescent="0.45">
      <c r="A201" s="4" t="s">
        <v>1724</v>
      </c>
      <c r="B201" s="5" t="s">
        <v>1725</v>
      </c>
    </row>
    <row r="202" spans="1:10" x14ac:dyDescent="0.45">
      <c r="A202" s="4" t="s">
        <v>1726</v>
      </c>
      <c r="B202" s="5" t="s">
        <v>1727</v>
      </c>
    </row>
    <row r="203" spans="1:10" x14ac:dyDescent="0.45">
      <c r="A203" s="4" t="s">
        <v>1728</v>
      </c>
      <c r="B203" s="5" t="s">
        <v>1729</v>
      </c>
    </row>
    <row r="204" spans="1:10" x14ac:dyDescent="0.45">
      <c r="A204" s="4" t="s">
        <v>1730</v>
      </c>
      <c r="B204" s="5" t="s">
        <v>1731</v>
      </c>
    </row>
    <row r="206" spans="1:10" ht="17.5" customHeight="1" x14ac:dyDescent="0.45">
      <c r="A206" s="18" t="s">
        <v>1732</v>
      </c>
    </row>
    <row r="207" spans="1:10" x14ac:dyDescent="0.45">
      <c r="A207" s="9" t="s">
        <v>1733</v>
      </c>
    </row>
    <row r="208" spans="1:10" x14ac:dyDescent="0.45">
      <c r="A208" s="19" t="s">
        <v>1593</v>
      </c>
      <c r="B208" s="20" t="s">
        <v>1594</v>
      </c>
    </row>
    <row r="209" spans="1:10" x14ac:dyDescent="0.45">
      <c r="A209" s="1" t="s">
        <v>13</v>
      </c>
      <c r="B209" s="5" t="s">
        <v>1722</v>
      </c>
    </row>
    <row r="210" spans="1:10" x14ac:dyDescent="0.45">
      <c r="A210" s="1" t="s">
        <v>15</v>
      </c>
      <c r="B210" s="5" t="s">
        <v>1597</v>
      </c>
    </row>
    <row r="211" spans="1:10" x14ac:dyDescent="0.45">
      <c r="A211" s="1" t="s">
        <v>14</v>
      </c>
      <c r="B211" s="5" t="s">
        <v>1596</v>
      </c>
    </row>
    <row r="212" spans="1:10" x14ac:dyDescent="0.45">
      <c r="A212" s="1" t="s">
        <v>1583</v>
      </c>
      <c r="B212" s="5" t="s">
        <v>1580</v>
      </c>
    </row>
    <row r="213" spans="1:10" x14ac:dyDescent="0.45">
      <c r="A213" s="1" t="s">
        <v>1734</v>
      </c>
      <c r="B213" s="5" t="s">
        <v>1735</v>
      </c>
    </row>
    <row r="214" spans="1:10" x14ac:dyDescent="0.45">
      <c r="A214" s="1" t="s">
        <v>135</v>
      </c>
      <c r="B214" s="5" t="s">
        <v>1736</v>
      </c>
    </row>
    <row r="215" spans="1:10" x14ac:dyDescent="0.45">
      <c r="A215" s="4"/>
      <c r="B215" s="5"/>
    </row>
    <row r="216" spans="1:10" x14ac:dyDescent="0.45">
      <c r="A216" s="4"/>
      <c r="B216" s="5"/>
    </row>
  </sheetData>
  <phoneticPr fontId="13" type="noConversion"/>
  <printOptions horizontalCentered="0" verticalCentered="0" headings="0" gridLines="0"/>
  <pageMargins left="0.7" right="0.7" top="0.75" bottom="0.75" header="0.3" footer="0.3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ap:HeadingPairs>
  <ap:TitlesOfParts>
    <vt:vector baseType="lpstr" size="39">
      <vt:lpstr>nexus_theme_level</vt:lpstr>
      <vt:lpstr>nexus_hall_level</vt:lpstr>
      <vt:lpstr>nexus_node_category</vt:lpstr>
      <vt:lpstr>nexus_node</vt:lpstr>
      <vt:lpstr>nexus_dic_story</vt:lpstr>
      <vt:lpstr>nexus_dic_event</vt:lpstr>
      <vt:lpstr>nexus_dic_relic</vt:lpstr>
      <vt:lpstr>nexus_dic_monster</vt:lpstr>
      <vt:lpstr>nexus_dic_reward</vt:lpstr>
      <vt:lpstr>nexus_normal_mission</vt:lpstr>
      <vt:lpstr>nexus_special_mission</vt:lpstr>
      <vt:lpstr>nexus_investment</vt:lpstr>
      <vt:lpstr>레퍼런스</vt:lpstr>
      <vt:lpstr>nexus_theme_level!Print_Area</vt:lpstr>
      <vt:lpstr>nexus_theme_level!Print_Titles</vt:lpstr>
      <vt:lpstr>nexus_hall_level!Print_Area</vt:lpstr>
      <vt:lpstr>nexus_hall_level!Print_Titles</vt:lpstr>
      <vt:lpstr>nexus_node_category!Print_Area</vt:lpstr>
      <vt:lpstr>nexus_node_category!Print_Titles</vt:lpstr>
      <vt:lpstr>nexus_node!Print_Area</vt:lpstr>
      <vt:lpstr>nexus_node!Print_Titles</vt:lpstr>
      <vt:lpstr>nexus_dic_story!Print_Area</vt:lpstr>
      <vt:lpstr>nexus_dic_story!Print_Titles</vt:lpstr>
      <vt:lpstr>nexus_dic_event!Print_Area</vt:lpstr>
      <vt:lpstr>nexus_dic_event!Print_Titles</vt:lpstr>
      <vt:lpstr>nexus_dic_relic!Print_Area</vt:lpstr>
      <vt:lpstr>nexus_dic_relic!Print_Titles</vt:lpstr>
      <vt:lpstr>nexus_dic_monster!Print_Area</vt:lpstr>
      <vt:lpstr>nexus_dic_monster!Print_Titles</vt:lpstr>
      <vt:lpstr>nexus_dic_reward!Print_Area</vt:lpstr>
      <vt:lpstr>nexus_dic_reward!Print_Titles</vt:lpstr>
      <vt:lpstr>nexus_normal_mission!Print_Area</vt:lpstr>
      <vt:lpstr>nexus_normal_mission!Print_Titles</vt:lpstr>
      <vt:lpstr>nexus_special_mission!Print_Area</vt:lpstr>
      <vt:lpstr>nexus_special_mission!Print_Titles</vt:lpstr>
      <vt:lpstr>nexus_investment!Print_Area</vt:lpstr>
      <vt:lpstr>nexus_investment!Print_Titles</vt:lpstr>
      <vt:lpstr>레퍼런스!Print_Area</vt:lpstr>
      <vt:lpstr>레퍼런스!Print_Titles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이병연</lastModifiedBy>
  <dcterms:created xsi:type="dcterms:W3CDTF">2026-07-22T09:44:52.0000000Z</dcterms:created>
  <dcterms:modified xsi:type="dcterms:W3CDTF">2026-07-22T14:09:04.0000000Z</dcterms:modified>
</coreProperties>
</file>