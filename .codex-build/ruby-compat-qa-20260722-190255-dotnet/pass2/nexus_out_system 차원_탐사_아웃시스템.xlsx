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024DB3E5-1528-44B2-9B69-86384D5BEBB4}" xr6:coauthVersionLast="47" xr6:coauthVersionMax="47" xr10:uidLastSave="{00000000-0000-0000-0000-000000000000}"/>
  <bookViews>
    <workbookView xWindow="-110" yWindow="-110" windowWidth="38620" windowHeight="21100" firstSheet="0" activeTab="11" xr2:uid="{00000000-000D-0000-FFFF-FFFF00000000}"/>
  </bookViews>
  <sheets>
    <sheet name="nexus_theme_level" sheetId="1" r:id="rId1"/>
    <sheet name="nexus_hall_level" sheetId="2" r:id="rId2"/>
    <sheet name="nexus_node_category" sheetId="3" r:id="rId3"/>
    <sheet name="nexus_node" sheetId="4" r:id="rId4"/>
    <sheet name="nexus_dic_story" sheetId="5" r:id="rId5"/>
    <sheet name="nexus_dic_event" sheetId="6" r:id="rId6"/>
    <sheet name="nexus_dic_relic" sheetId="7" r:id="rId7"/>
    <sheet name="nexus_dic_monster" sheetId="8" r:id="rId8"/>
    <sheet name="nexus_dic_reward" sheetId="9" r:id="rId9"/>
    <sheet name="nexus_normal_mission" sheetId="10" r:id="rId10"/>
    <sheet name="nexus_special_mission" sheetId="13" r:id="rId11"/>
    <sheet name="nexus_investment" sheetId="11" r:id="rId12"/>
    <sheet name="레퍼런스" sheetId="12" r:id="rId1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x:calcChain xmlns:x="http://schemas.openxmlformats.org/spreadsheetml/2006/main">
  <x:c r="A4" i="1"/>
  <x:c r="A5" i="1"/>
  <x:c r="E5" i="1"/>
  <x:c r="A6" i="1"/>
  <x:c r="E6" i="1"/>
  <x:c r="A7" i="1"/>
  <x:c r="E7" i="1"/>
  <x:c r="A8" i="1"/>
  <x:c r="E8" i="1"/>
  <x:c r="A9" i="1"/>
  <x:c r="E9" i="1"/>
  <x:c r="A10" i="1"/>
  <x:c r="E10" i="1"/>
  <x:c r="A11" i="1"/>
  <x:c r="E11" i="1"/>
  <x:c r="A12" i="1"/>
  <x:c r="E12" i="1"/>
  <x:c r="A13" i="1"/>
  <x:c r="E13" i="1"/>
  <x:c r="A14" i="1"/>
  <x:c r="E14" i="1"/>
  <x:c r="A15" i="1"/>
  <x:c r="E15" i="1"/>
  <x:c r="A16" i="1"/>
  <x:c r="E16" i="1"/>
  <x:c r="A17" i="1"/>
  <x:c r="E17" i="1"/>
  <x:c r="A18" i="1"/>
  <x:c r="E18" i="1"/>
  <x:c r="A19" i="1"/>
  <x:c r="E19" i="1"/>
  <x:c r="A20" i="1"/>
  <x:c r="E20" i="1"/>
  <x:c r="A21" i="1"/>
  <x:c r="E21" i="1"/>
  <x:c r="A22" i="1"/>
  <x:c r="E22" i="1"/>
  <x:c r="A23" i="1"/>
  <x:c r="E23" i="1"/>
  <x:c r="A24" i="1"/>
  <x:c r="E24" i="1"/>
  <x:c r="A25" i="1"/>
  <x:c r="E25" i="1"/>
  <x:c r="A26" i="1"/>
  <x:c r="E26" i="1"/>
  <x:c r="A27" i="1"/>
  <x:c r="E27" i="1"/>
  <x:c r="A28" i="1"/>
  <x:c r="E28" i="1"/>
  <x:c r="A29" i="1"/>
  <x:c r="E29" i="1"/>
  <x:c r="A30" i="1"/>
  <x:c r="E30" i="1"/>
  <x:c r="A31" i="1"/>
  <x:c r="E31" i="1"/>
  <x:c r="A32" i="1"/>
  <x:c r="E32" i="1"/>
  <x:c r="A33" i="1"/>
  <x:c r="E33" i="1"/>
  <x:c r="A34" i="1"/>
  <x:c r="E34" i="1"/>
  <x:c r="A35" i="1"/>
  <x:c r="E35" i="1"/>
  <x:c r="A36" i="1"/>
  <x:c r="E36" i="1"/>
  <x:c r="A37" i="1"/>
  <x:c r="E37" i="1"/>
  <x:c r="A38" i="1"/>
  <x:c r="E38" i="1"/>
  <x:c r="A39" i="1"/>
  <x:c r="E39" i="1"/>
  <x:c r="A40" i="1"/>
  <x:c r="E40" i="1"/>
  <x:c r="A41" i="1"/>
  <x:c r="E41" i="1"/>
  <x:c r="A42" i="1"/>
  <x:c r="E42" i="1"/>
  <x:c r="A43" i="1"/>
  <x:c r="E43" i="1"/>
  <x:c r="A44" i="1"/>
  <x:c r="E44" i="1"/>
  <x:c r="A45" i="1"/>
  <x:c r="E45" i="1"/>
  <x:c r="A46" i="1"/>
  <x:c r="E46" i="1"/>
  <x:c r="A47" i="1"/>
  <x:c r="E47" i="1"/>
  <x:c r="A48" i="1"/>
  <x:c r="E48" i="1"/>
  <x:c r="A49" i="1"/>
  <x:c r="E49" i="1"/>
  <x:c r="A50" i="1"/>
  <x:c r="E50" i="1"/>
  <x:c r="A51" i="1"/>
  <x:c r="E51" i="1"/>
  <x:c r="A52" i="1"/>
  <x:c r="E52" i="1"/>
  <x:c r="A53" i="1"/>
  <x:c r="E53" i="1"/>
  <x:c r="A54" i="1"/>
  <x:c r="E54" i="1"/>
  <x:c r="A55" i="1"/>
  <x:c r="E55" i="1"/>
  <x:c r="A56" i="1"/>
  <x:c r="E56" i="1"/>
  <x:c r="A57" i="1"/>
  <x:c r="E57" i="1"/>
  <x:c r="A58" i="1"/>
  <x:c r="E58" i="1"/>
  <x:c r="A59" i="1"/>
  <x:c r="E59" i="1"/>
  <x:c r="A60" i="1"/>
  <x:c r="E60" i="1"/>
  <x:c r="A61" i="1"/>
  <x:c r="E61" i="1"/>
  <x:c r="A62" i="1"/>
  <x:c r="E62" i="1"/>
  <x:c r="A63" i="1"/>
  <x:c r="E63" i="1"/>
  <x:c r="A64" i="1"/>
  <x:c r="E64" i="1"/>
  <x:c r="A65" i="1"/>
  <x:c r="E65" i="1"/>
  <x:c r="A66" i="1"/>
  <x:c r="E66" i="1"/>
  <x:c r="A67" i="1"/>
  <x:c r="E67" i="1"/>
  <x:c r="A68" i="1"/>
  <x:c r="E68" i="1"/>
  <x:c r="A69" i="1"/>
  <x:c r="E69" i="1"/>
  <x:c r="A70" i="1"/>
  <x:c r="E70" i="1"/>
  <x:c r="A71" i="1"/>
  <x:c r="E71" i="1"/>
  <x:c r="A72" i="1"/>
  <x:c r="E72" i="1"/>
  <x:c r="A73" i="1"/>
  <x:c r="E73" i="1"/>
  <x:c r="A74" i="1"/>
  <x:c r="E74" i="1"/>
  <x:c r="A75" i="1"/>
  <x:c r="E75" i="1"/>
  <x:c r="A76" i="1"/>
  <x:c r="E76" i="1"/>
  <x:c r="A77" i="1"/>
  <x:c r="E77" i="1"/>
  <x:c r="A78" i="1"/>
  <x:c r="E78" i="1"/>
  <x:c r="A79" i="1"/>
  <x:c r="E79" i="1"/>
  <x:c r="A80" i="1"/>
  <x:c r="E80" i="1"/>
  <x:c r="A81" i="1"/>
  <x:c r="E81" i="1"/>
  <x:c r="A82" i="1"/>
  <x:c r="E82" i="1"/>
  <x:c r="A83" i="1"/>
  <x:c r="E83" i="1"/>
  <x:c r="A84" i="1"/>
  <x:c r="E84" i="1"/>
  <x:c r="A85" i="1"/>
  <x:c r="E85" i="1"/>
  <x:c r="A86" i="1"/>
  <x:c r="E86" i="1"/>
  <x:c r="A87" i="1"/>
  <x:c r="E87" i="1"/>
  <x:c r="A88" i="1"/>
  <x:c r="E88" i="1"/>
  <x:c r="A89" i="1"/>
  <x:c r="E89" i="1"/>
  <x:c r="A90" i="1"/>
  <x:c r="E90" i="1"/>
  <x:c r="A91" i="1"/>
  <x:c r="E91" i="1"/>
  <x:c r="A92" i="1"/>
  <x:c r="E92" i="1"/>
  <x:c r="A93" i="1"/>
  <x:c r="E93" i="1"/>
  <x:c r="A94" i="1"/>
  <x:c r="E94" i="1"/>
  <x:c r="A95" i="1"/>
  <x:c r="E95" i="1"/>
  <x:c r="A96" i="1"/>
  <x:c r="E96" i="1"/>
  <x:c r="A97" i="1"/>
  <x:c r="E97" i="1"/>
  <x:c r="A98" i="1"/>
  <x:c r="E98" i="1"/>
  <x:c r="A99" i="1"/>
  <x:c r="E99" i="1"/>
  <x:c r="A100" i="1"/>
  <x:c r="E100" i="1"/>
  <x:c r="A101" i="1"/>
  <x:c r="E101" i="1"/>
  <x:c r="A102" i="1"/>
  <x:c r="E102" i="1"/>
  <x:c r="A103" i="1"/>
  <x:c r="E103" i="1"/>
  <x:c r="A4" i="2"/>
  <x:c r="A5" i="2"/>
  <x:c r="A6" i="2"/>
  <x:c r="A7" i="2"/>
  <x:c r="A8" i="2"/>
  <x:c r="A9" i="2"/>
  <x:c r="A10" i="2"/>
  <x:c r="A11" i="2"/>
  <x:c r="A12" i="2"/>
  <x:c r="A13" i="2"/>
  <x:c r="A4" i="3"/>
  <x:c r="F4" i="3"/>
  <x:c r="A5" i="3"/>
  <x:c r="F5" i="3"/>
  <x:c r="A6" i="3"/>
  <x:c r="F6" i="3"/>
  <x:c r="A7" i="3"/>
  <x:c r="F7" i="3"/>
  <x:c r="A8" i="3"/>
  <x:c r="F8" i="3"/>
  <x:c r="A9" i="3"/>
  <x:c r="F9" i="3"/>
  <x:c r="A4" i="4"/>
  <x:c r="E4" i="4"/>
  <x:c r="F4" i="4"/>
  <x:c r="T4" i="4"/>
  <x:c r="A5" i="4"/>
  <x:c r="E5" i="4"/>
  <x:c r="F5" i="4"/>
  <x:c r="T5" i="4"/>
  <x:c r="A6" i="4"/>
  <x:c r="E6" i="4"/>
  <x:c r="F6" i="4"/>
  <x:c r="T6" i="4"/>
  <x:c r="A7" i="4"/>
  <x:c r="E7" i="4"/>
  <x:c r="F7" i="4"/>
  <x:c r="T7" i="4"/>
  <x:c r="A8" i="4"/>
  <x:c r="E8" i="4"/>
  <x:c r="F8" i="4"/>
  <x:c r="T8" i="4"/>
  <x:c r="A9" i="4"/>
  <x:c r="E9" i="4"/>
  <x:c r="F9" i="4"/>
  <x:c r="T9" i="4"/>
  <x:c r="A10" i="4"/>
  <x:c r="E10" i="4"/>
  <x:c r="F10" i="4"/>
  <x:c r="T10" i="4"/>
  <x:c r="A11" i="4"/>
  <x:c r="E11" i="4"/>
  <x:c r="F11" i="4"/>
  <x:c r="T11" i="4"/>
  <x:c r="A12" i="4"/>
  <x:c r="E12" i="4"/>
  <x:c r="F12" i="4"/>
  <x:c r="T12" i="4"/>
  <x:c r="A13" i="4"/>
  <x:c r="E13" i="4"/>
  <x:c r="F13" i="4"/>
  <x:c r="T13" i="4"/>
  <x:c r="A14" i="4"/>
  <x:c r="E14" i="4"/>
  <x:c r="F14" i="4"/>
  <x:c r="T14" i="4"/>
  <x:c r="A15" i="4"/>
  <x:c r="E15" i="4"/>
  <x:c r="F15" i="4"/>
  <x:c r="T15" i="4"/>
  <x:c r="A16" i="4"/>
  <x:c r="E16" i="4"/>
  <x:c r="F16" i="4"/>
  <x:c r="T16" i="4"/>
  <x:c r="A17" i="4"/>
  <x:c r="E17" i="4"/>
  <x:c r="F17" i="4"/>
  <x:c r="T17" i="4"/>
  <x:c r="A18" i="4"/>
  <x:c r="E18" i="4"/>
  <x:c r="F18" i="4"/>
  <x:c r="T18" i="4"/>
  <x:c r="A19" i="4"/>
  <x:c r="E19" i="4"/>
  <x:c r="F19" i="4"/>
  <x:c r="T19" i="4"/>
  <x:c r="A20" i="4"/>
  <x:c r="E20" i="4"/>
  <x:c r="F20" i="4"/>
  <x:c r="T20" i="4"/>
  <x:c r="A21" i="4"/>
  <x:c r="E21" i="4"/>
  <x:c r="F21" i="4"/>
  <x:c r="T21" i="4"/>
  <x:c r="A22" i="4"/>
  <x:c r="E22" i="4"/>
  <x:c r="F22" i="4"/>
  <x:c r="T22" i="4"/>
  <x:c r="A23" i="4"/>
  <x:c r="E23" i="4"/>
  <x:c r="F23" i="4"/>
  <x:c r="T23" i="4"/>
  <x:c r="A24" i="4"/>
  <x:c r="E24" i="4"/>
  <x:c r="F24" i="4"/>
  <x:c r="T24" i="4"/>
  <x:c r="A25" i="4"/>
  <x:c r="E25" i="4"/>
  <x:c r="F25" i="4"/>
  <x:c r="T25" i="4"/>
  <x:c r="A26" i="4"/>
  <x:c r="E26" i="4"/>
  <x:c r="F26" i="4"/>
  <x:c r="T26" i="4"/>
  <x:c r="A27" i="4"/>
  <x:c r="E27" i="4"/>
  <x:c r="F27" i="4"/>
  <x:c r="T27" i="4"/>
  <x:c r="A28" i="4"/>
  <x:c r="E28" i="4"/>
  <x:c r="F28" i="4"/>
  <x:c r="T28" i="4"/>
  <x:c r="A29" i="4"/>
  <x:c r="E29" i="4"/>
  <x:c r="F29" i="4"/>
  <x:c r="T29" i="4"/>
  <x:c r="A30" i="4"/>
  <x:c r="E30" i="4"/>
  <x:c r="F30" i="4"/>
  <x:c r="T30" i="4"/>
  <x:c r="A31" i="4"/>
  <x:c r="E31" i="4"/>
  <x:c r="F31" i="4"/>
  <x:c r="T31" i="4"/>
  <x:c r="A32" i="4"/>
  <x:c r="E32" i="4"/>
  <x:c r="F32" i="4"/>
  <x:c r="T32" i="4"/>
  <x:c r="A33" i="4"/>
  <x:c r="E33" i="4"/>
  <x:c r="F33" i="4"/>
  <x:c r="T33" i="4"/>
  <x:c r="A34" i="4"/>
  <x:c r="E34" i="4"/>
  <x:c r="F34" i="4"/>
  <x:c r="T34" i="4"/>
  <x:c r="A35" i="4"/>
  <x:c r="E35" i="4"/>
  <x:c r="F35" i="4"/>
  <x:c r="T35" i="4"/>
  <x:c r="A36" i="4"/>
  <x:c r="E36" i="4"/>
  <x:c r="F36" i="4"/>
  <x:c r="T36" i="4"/>
  <x:c r="A37" i="4"/>
  <x:c r="E37" i="4"/>
  <x:c r="F37" i="4"/>
  <x:c r="T37" i="4"/>
  <x:c r="A38" i="4"/>
  <x:c r="E38" i="4"/>
  <x:c r="F38" i="4"/>
  <x:c r="T38" i="4"/>
  <x:c r="A39" i="4"/>
  <x:c r="E39" i="4"/>
  <x:c r="F39" i="4"/>
  <x:c r="T39" i="4"/>
  <x:c r="A40" i="4"/>
  <x:c r="E40" i="4"/>
  <x:c r="F40" i="4"/>
  <x:c r="T40" i="4"/>
  <x:c r="A41" i="4"/>
  <x:c r="E41" i="4"/>
  <x:c r="F41" i="4"/>
  <x:c r="T41" i="4"/>
  <x:c r="A42" i="4"/>
  <x:c r="E42" i="4"/>
  <x:c r="F42" i="4"/>
  <x:c r="T42" i="4"/>
  <x:c r="A43" i="4"/>
  <x:c r="E43" i="4"/>
  <x:c r="F43" i="4"/>
  <x:c r="T43" i="4"/>
  <x:c r="A44" i="4"/>
  <x:c r="E44" i="4"/>
  <x:c r="F44" i="4"/>
  <x:c r="T44" i="4"/>
  <x:c r="A45" i="4"/>
  <x:c r="E45" i="4"/>
  <x:c r="F45" i="4"/>
  <x:c r="T45" i="4"/>
  <x:c r="A46" i="4"/>
  <x:c r="E46" i="4"/>
  <x:c r="F46" i="4"/>
  <x:c r="T46" i="4"/>
  <x:c r="A47" i="4"/>
  <x:c r="E47" i="4"/>
  <x:c r="F47" i="4"/>
  <x:c r="T47" i="4"/>
  <x:c r="A48" i="4"/>
  <x:c r="E48" i="4"/>
  <x:c r="F48" i="4"/>
  <x:c r="T48" i="4"/>
  <x:c r="A49" i="4"/>
  <x:c r="E49" i="4"/>
  <x:c r="F49" i="4"/>
  <x:c r="T49" i="4"/>
  <x:c r="A50" i="4"/>
  <x:c r="E50" i="4"/>
  <x:c r="F50" i="4"/>
  <x:c r="T50" i="4"/>
  <x:c r="A51" i="4"/>
  <x:c r="E51" i="4"/>
  <x:c r="F51" i="4"/>
  <x:c r="T51" i="4"/>
  <x:c r="A52" i="4"/>
  <x:c r="E52" i="4"/>
  <x:c r="F52" i="4"/>
  <x:c r="T52" i="4"/>
  <x:c r="A53" i="4"/>
  <x:c r="E53" i="4"/>
  <x:c r="F53" i="4"/>
  <x:c r="T53" i="4"/>
  <x:c r="A54" i="4"/>
  <x:c r="E54" i="4"/>
  <x:c r="F54" i="4"/>
  <x:c r="T54" i="4"/>
  <x:c r="A55" i="4"/>
  <x:c r="E55" i="4"/>
  <x:c r="F55" i="4"/>
  <x:c r="T55" i="4"/>
  <x:c r="A56" i="4"/>
  <x:c r="E56" i="4"/>
  <x:c r="F56" i="4"/>
  <x:c r="T56" i="4"/>
  <x:c r="A57" i="4"/>
  <x:c r="E57" i="4"/>
  <x:c r="F57" i="4"/>
  <x:c r="T57" i="4"/>
  <x:c r="A58" i="4"/>
  <x:c r="E58" i="4"/>
  <x:c r="F58" i="4"/>
  <x:c r="T58" i="4"/>
  <x:c r="A59" i="4"/>
  <x:c r="E59" i="4"/>
  <x:c r="F59" i="4"/>
  <x:c r="T59" i="4"/>
  <x:c r="A60" i="4"/>
  <x:c r="E60" i="4"/>
  <x:c r="F60" i="4"/>
  <x:c r="T60" i="4"/>
  <x:c r="A61" i="4"/>
  <x:c r="E61" i="4"/>
  <x:c r="F61" i="4"/>
  <x:c r="T61" i="4"/>
  <x:c r="A62" i="4"/>
  <x:c r="E62" i="4"/>
  <x:c r="F62" i="4"/>
  <x:c r="T62" i="4"/>
  <x:c r="A63" i="4"/>
  <x:c r="E63" i="4"/>
  <x:c r="F63" i="4"/>
  <x:c r="T63" i="4"/>
  <x:c r="A64" i="4"/>
  <x:c r="E64" i="4"/>
  <x:c r="F64" i="4"/>
  <x:c r="T64" i="4"/>
  <x:c r="A65" i="4"/>
  <x:c r="E65" i="4"/>
  <x:c r="F65" i="4"/>
  <x:c r="T65" i="4"/>
  <x:c r="A66" i="4"/>
  <x:c r="E66" i="4"/>
  <x:c r="F66" i="4"/>
  <x:c r="T66" i="4"/>
  <x:c r="A67" i="4"/>
  <x:c r="E67" i="4"/>
  <x:c r="F67" i="4"/>
  <x:c r="T67" i="4"/>
  <x:c r="A68" i="4"/>
  <x:c r="E68" i="4"/>
  <x:c r="F68" i="4"/>
  <x:c r="T68" i="4"/>
  <x:c r="A69" i="4"/>
  <x:c r="E69" i="4"/>
  <x:c r="F69" i="4"/>
  <x:c r="T69" i="4"/>
  <x:c r="A70" i="4"/>
  <x:c r="E70" i="4"/>
  <x:c r="F70" i="4"/>
  <x:c r="T70" i="4"/>
  <x:c r="A71" i="4"/>
  <x:c r="E71" i="4"/>
  <x:c r="F71" i="4"/>
  <x:c r="T71" i="4"/>
  <x:c r="A72" i="4"/>
  <x:c r="E72" i="4"/>
  <x:c r="F72" i="4"/>
  <x:c r="T72" i="4"/>
  <x:c r="A73" i="4"/>
  <x:c r="E73" i="4"/>
  <x:c r="F73" i="4"/>
  <x:c r="T73" i="4"/>
  <x:c r="A74" i="4"/>
  <x:c r="E74" i="4"/>
  <x:c r="F74" i="4"/>
  <x:c r="T74" i="4"/>
  <x:c r="A75" i="4"/>
  <x:c r="E75" i="4"/>
  <x:c r="F75" i="4"/>
  <x:c r="T75" i="4"/>
  <x:c r="A76" i="4"/>
  <x:c r="E76" i="4"/>
  <x:c r="F76" i="4"/>
  <x:c r="T76" i="4"/>
  <x:c r="A77" i="4"/>
  <x:c r="E77" i="4"/>
  <x:c r="F77" i="4"/>
  <x:c r="T77" i="4"/>
  <x:c r="A78" i="4"/>
  <x:c r="E78" i="4"/>
  <x:c r="F78" i="4"/>
  <x:c r="T78" i="4"/>
  <x:c r="A79" i="4"/>
  <x:c r="E79" i="4"/>
  <x:c r="F79" i="4"/>
  <x:c r="T79" i="4"/>
  <x:c r="A80" i="4"/>
  <x:c r="E80" i="4"/>
  <x:c r="F80" i="4"/>
  <x:c r="T80" i="4"/>
  <x:c r="A81" i="4"/>
  <x:c r="E81" i="4"/>
  <x:c r="F81" i="4"/>
  <x:c r="T81" i="4"/>
  <x:c r="A82" i="4"/>
  <x:c r="E82" i="4"/>
  <x:c r="F82" i="4"/>
  <x:c r="T82" i="4"/>
  <x:c r="A83" i="4"/>
  <x:c r="E83" i="4"/>
  <x:c r="F83" i="4"/>
  <x:c r="T83" i="4"/>
  <x:c r="A84" i="4"/>
  <x:c r="E84" i="4"/>
  <x:c r="F84" i="4"/>
  <x:c r="T84" i="4"/>
  <x:c r="A85" i="4"/>
  <x:c r="E85" i="4"/>
  <x:c r="F85" i="4"/>
  <x:c r="T85" i="4"/>
  <x:c r="A86" i="4"/>
  <x:c r="E86" i="4"/>
  <x:c r="F86" i="4"/>
  <x:c r="T86" i="4"/>
  <x:c r="A87" i="4"/>
  <x:c r="E87" i="4"/>
  <x:c r="F87" i="4"/>
  <x:c r="T87" i="4"/>
  <x:c r="A88" i="4"/>
  <x:c r="E88" i="4"/>
  <x:c r="F88" i="4"/>
  <x:c r="T88" i="4"/>
  <x:c r="A89" i="4"/>
  <x:c r="E89" i="4"/>
  <x:c r="F89" i="4"/>
  <x:c r="T89" i="4"/>
  <x:c r="A90" i="4"/>
  <x:c r="E90" i="4"/>
  <x:c r="F90" i="4"/>
  <x:c r="T90" i="4"/>
  <x:c r="A91" i="4"/>
  <x:c r="E91" i="4"/>
  <x:c r="F91" i="4"/>
  <x:c r="T91" i="4"/>
  <x:c r="A92" i="4"/>
  <x:c r="E92" i="4"/>
  <x:c r="F92" i="4"/>
  <x:c r="T92" i="4"/>
  <x:c r="A93" i="4"/>
  <x:c r="E93" i="4"/>
  <x:c r="F93" i="4"/>
  <x:c r="T93" i="4"/>
  <x:c r="A94" i="4"/>
  <x:c r="E94" i="4"/>
  <x:c r="F94" i="4"/>
  <x:c r="T94" i="4"/>
  <x:c r="A95" i="4"/>
  <x:c r="E95" i="4"/>
  <x:c r="F95" i="4"/>
  <x:c r="T95" i="4"/>
  <x:c r="A96" i="4"/>
  <x:c r="E96" i="4"/>
  <x:c r="F96" i="4"/>
  <x:c r="T96" i="4"/>
  <x:c r="A97" i="4"/>
  <x:c r="E97" i="4"/>
  <x:c r="F97" i="4"/>
  <x:c r="T97" i="4"/>
  <x:c r="A98" i="4"/>
  <x:c r="E98" i="4"/>
  <x:c r="F98" i="4"/>
  <x:c r="T98" i="4"/>
  <x:c r="A99" i="4"/>
  <x:c r="E99" i="4"/>
  <x:c r="F99" i="4"/>
  <x:c r="T99" i="4"/>
  <x:c r="A100" i="4"/>
  <x:c r="E100" i="4"/>
  <x:c r="F100" i="4"/>
  <x:c r="T100" i="4"/>
  <x:c r="A101" i="4"/>
  <x:c r="E101" i="4"/>
  <x:c r="F101" i="4"/>
  <x:c r="T101" i="4"/>
  <x:c r="A102" i="4"/>
  <x:c r="E102" i="4"/>
  <x:c r="F102" i="4"/>
  <x:c r="T102" i="4"/>
  <x:c r="A103" i="4"/>
  <x:c r="E103" i="4"/>
  <x:c r="F103" i="4"/>
  <x:c r="T103" i="4"/>
  <x:c r="A104" i="4"/>
  <x:c r="E104" i="4"/>
  <x:c r="F104" i="4"/>
  <x:c r="T104" i="4"/>
  <x:c r="A105" i="4"/>
  <x:c r="E105" i="4"/>
  <x:c r="F105" i="4"/>
  <x:c r="T105" i="4"/>
  <x:c r="A106" i="4"/>
  <x:c r="E106" i="4"/>
  <x:c r="F106" i="4"/>
  <x:c r="T106" i="4"/>
  <x:c r="A107" i="4"/>
  <x:c r="E107" i="4"/>
  <x:c r="F107" i="4"/>
  <x:c r="T107" i="4"/>
  <x:c r="A108" i="4"/>
  <x:c r="E108" i="4"/>
  <x:c r="F108" i="4"/>
  <x:c r="T108" i="4"/>
  <x:c r="A109" i="4"/>
  <x:c r="E109" i="4"/>
  <x:c r="F109" i="4"/>
  <x:c r="T109" i="4"/>
  <x:c r="A110" i="4"/>
  <x:c r="E110" i="4"/>
  <x:c r="F110" i="4"/>
  <x:c r="T110" i="4"/>
  <x:c r="A111" i="4"/>
  <x:c r="E111" i="4"/>
  <x:c r="F111" i="4"/>
  <x:c r="T111" i="4"/>
  <x:c r="A112" i="4"/>
  <x:c r="E112" i="4"/>
  <x:c r="F112" i="4"/>
  <x:c r="T112" i="4"/>
  <x:c r="A113" i="4"/>
  <x:c r="E113" i="4"/>
  <x:c r="F113" i="4"/>
  <x:c r="T113" i="4"/>
  <x:c r="A114" i="4"/>
  <x:c r="E114" i="4"/>
  <x:c r="F114" i="4"/>
  <x:c r="T114" i="4"/>
  <x:c r="A115" i="4"/>
  <x:c r="E115" i="4"/>
  <x:c r="F115" i="4"/>
  <x:c r="T115" i="4"/>
  <x:c r="A116" i="4"/>
  <x:c r="E116" i="4"/>
  <x:c r="F116" i="4"/>
  <x:c r="T116" i="4"/>
  <x:c r="A117" i="4"/>
  <x:c r="E117" i="4"/>
  <x:c r="F117" i="4"/>
  <x:c r="T117" i="4"/>
  <x:c r="A118" i="4"/>
  <x:c r="E118" i="4"/>
  <x:c r="F118" i="4"/>
  <x:c r="T118" i="4"/>
  <x:c r="A119" i="4"/>
  <x:c r="E119" i="4"/>
  <x:c r="F119" i="4"/>
  <x:c r="T119" i="4"/>
  <x:c r="A120" i="4"/>
  <x:c r="E120" i="4"/>
  <x:c r="F120" i="4"/>
  <x:c r="T120" i="4"/>
  <x:c r="A121" i="4"/>
  <x:c r="E121" i="4"/>
  <x:c r="F121" i="4"/>
  <x:c r="T121" i="4"/>
  <x:c r="A122" i="4"/>
  <x:c r="E122" i="4"/>
  <x:c r="F122" i="4"/>
  <x:c r="T122" i="4"/>
  <x:c r="A123" i="4"/>
  <x:c r="E123" i="4"/>
  <x:c r="F123" i="4"/>
  <x:c r="T123" i="4"/>
  <x:c r="A124" i="4"/>
  <x:c r="E124" i="4"/>
  <x:c r="F124" i="4"/>
  <x:c r="T124" i="4"/>
  <x:c r="A125" i="4"/>
  <x:c r="E125" i="4"/>
  <x:c r="F125" i="4"/>
  <x:c r="T125" i="4"/>
  <x:c r="A126" i="4"/>
  <x:c r="E126" i="4"/>
  <x:c r="F126" i="4"/>
  <x:c r="T126" i="4"/>
  <x:c r="A127" i="4"/>
  <x:c r="E127" i="4"/>
  <x:c r="F127" i="4"/>
  <x:c r="T127" i="4"/>
  <x:c r="A128" i="4"/>
  <x:c r="E128" i="4"/>
  <x:c r="F128" i="4"/>
  <x:c r="T128" i="4"/>
  <x:c r="A129" i="4"/>
  <x:c r="E129" i="4"/>
  <x:c r="F129" i="4"/>
  <x:c r="T129" i="4"/>
  <x:c r="A130" i="4"/>
  <x:c r="E130" i="4"/>
  <x:c r="F130" i="4"/>
  <x:c r="T130" i="4"/>
  <x:c r="A131" i="4"/>
  <x:c r="E131" i="4"/>
  <x:c r="F131" i="4"/>
  <x:c r="T131" i="4"/>
  <x:c r="A132" i="4"/>
  <x:c r="E132" i="4"/>
  <x:c r="F132" i="4"/>
  <x:c r="T132" i="4"/>
  <x:c r="A133" i="4"/>
  <x:c r="E133" i="4"/>
  <x:c r="F133" i="4"/>
  <x:c r="T133" i="4"/>
  <x:c r="A134" i="4"/>
  <x:c r="E134" i="4"/>
  <x:c r="F134" i="4"/>
  <x:c r="T134" i="4"/>
  <x:c r="A135" i="4"/>
  <x:c r="E135" i="4"/>
  <x:c r="F135" i="4"/>
  <x:c r="T135" i="4"/>
  <x:c r="A136" i="4"/>
  <x:c r="E136" i="4"/>
  <x:c r="F136" i="4"/>
  <x:c r="T136" i="4"/>
  <x:c r="A137" i="4"/>
  <x:c r="E137" i="4"/>
  <x:c r="F137" i="4"/>
  <x:c r="T137" i="4"/>
  <x:c r="A138" i="4"/>
  <x:c r="E138" i="4"/>
  <x:c r="F138" i="4"/>
  <x:c r="T138" i="4"/>
  <x:c r="A139" i="4"/>
  <x:c r="E139" i="4"/>
  <x:c r="F139" i="4"/>
  <x:c r="T139" i="4"/>
  <x:c r="A140" i="4"/>
  <x:c r="E140" i="4"/>
  <x:c r="F140" i="4"/>
  <x:c r="T140" i="4"/>
  <x:c r="A141" i="4"/>
  <x:c r="E141" i="4"/>
  <x:c r="F141" i="4"/>
  <x:c r="T141" i="4"/>
  <x:c r="A142" i="4"/>
  <x:c r="E142" i="4"/>
  <x:c r="F142" i="4"/>
  <x:c r="T142" i="4"/>
  <x:c r="A143" i="4"/>
  <x:c r="E143" i="4"/>
  <x:c r="F143" i="4"/>
  <x:c r="T143" i="4"/>
  <x:c r="A144" i="4"/>
  <x:c r="E144" i="4"/>
  <x:c r="F144" i="4"/>
  <x:c r="T144" i="4"/>
  <x:c r="A145" i="4"/>
  <x:c r="E145" i="4"/>
  <x:c r="F145" i="4"/>
  <x:c r="T145" i="4"/>
  <x:c r="A146" i="4"/>
  <x:c r="E146" i="4"/>
  <x:c r="F146" i="4"/>
  <x:c r="T146" i="4"/>
  <x:c r="A147" i="4"/>
  <x:c r="E147" i="4"/>
  <x:c r="F147" i="4"/>
  <x:c r="T147" i="4"/>
  <x:c r="A148" i="4"/>
  <x:c r="E148" i="4"/>
  <x:c r="F148" i="4"/>
  <x:c r="T148" i="4"/>
  <x:c r="A149" i="4"/>
  <x:c r="E149" i="4"/>
  <x:c r="F149" i="4"/>
  <x:c r="T149" i="4"/>
  <x:c r="A150" i="4"/>
  <x:c r="E150" i="4"/>
  <x:c r="F150" i="4"/>
  <x:c r="T150" i="4"/>
  <x:c r="A151" i="4"/>
  <x:c r="E151" i="4"/>
  <x:c r="F151" i="4"/>
  <x:c r="T151" i="4"/>
  <x:c r="A152" i="4"/>
  <x:c r="E152" i="4"/>
  <x:c r="F152" i="4"/>
  <x:c r="T152" i="4"/>
  <x:c r="A153" i="4"/>
  <x:c r="E153" i="4"/>
  <x:c r="F153" i="4"/>
  <x:c r="T153" i="4"/>
  <x:c r="A154" i="4"/>
  <x:c r="E154" i="4"/>
  <x:c r="F154" i="4"/>
  <x:c r="T154" i="4"/>
  <x:c r="A155" i="4"/>
  <x:c r="E155" i="4"/>
  <x:c r="F155" i="4"/>
  <x:c r="T155" i="4"/>
  <x:c r="A156" i="4"/>
  <x:c r="E156" i="4"/>
  <x:c r="F156" i="4"/>
  <x:c r="T156" i="4"/>
  <x:c r="A157" i="4"/>
  <x:c r="E157" i="4"/>
  <x:c r="F157" i="4"/>
  <x:c r="T157" i="4"/>
  <x:c r="A158" i="4"/>
  <x:c r="E158" i="4"/>
  <x:c r="F158" i="4"/>
  <x:c r="T158" i="4"/>
  <x:c r="A159" i="4"/>
  <x:c r="E159" i="4"/>
  <x:c r="F159" i="4"/>
  <x:c r="T159" i="4"/>
  <x:c r="A160" i="4"/>
  <x:c r="E160" i="4"/>
  <x:c r="F160" i="4"/>
  <x:c r="T160" i="4"/>
  <x:c r="A161" i="4"/>
  <x:c r="E161" i="4"/>
  <x:c r="F161" i="4"/>
  <x:c r="T161" i="4"/>
  <x:c r="A162" i="4"/>
  <x:c r="E162" i="4"/>
  <x:c r="F162" i="4"/>
  <x:c r="T162" i="4"/>
  <x:c r="A163" i="4"/>
  <x:c r="E163" i="4"/>
  <x:c r="F163" i="4"/>
  <x:c r="T163" i="4"/>
  <x:c r="A164" i="4"/>
  <x:c r="E164" i="4"/>
  <x:c r="F164" i="4"/>
  <x:c r="T164" i="4"/>
  <x:c r="A165" i="4"/>
  <x:c r="E165" i="4"/>
  <x:c r="F165" i="4"/>
  <x:c r="T165" i="4"/>
  <x:c r="A166" i="4"/>
  <x:c r="E166" i="4"/>
  <x:c r="F166" i="4"/>
  <x:c r="T166" i="4"/>
  <x:c r="A167" i="4"/>
  <x:c r="E167" i="4"/>
  <x:c r="F167" i="4"/>
  <x:c r="T167" i="4"/>
  <x:c r="A168" i="4"/>
  <x:c r="E168" i="4"/>
  <x:c r="F168" i="4"/>
  <x:c r="T168" i="4"/>
  <x:c r="A169" i="4"/>
  <x:c r="E169" i="4"/>
  <x:c r="F169" i="4"/>
  <x:c r="T169" i="4"/>
  <x:c r="A170" i="4"/>
  <x:c r="E170" i="4"/>
  <x:c r="F170" i="4"/>
  <x:c r="T170" i="4"/>
  <x:c r="A171" i="4"/>
  <x:c r="E171" i="4"/>
  <x:c r="F171" i="4"/>
  <x:c r="T171" i="4"/>
  <x:c r="A172" i="4"/>
  <x:c r="E172" i="4"/>
  <x:c r="F172" i="4"/>
  <x:c r="T172" i="4"/>
  <x:c r="A173" i="4"/>
  <x:c r="E173" i="4"/>
  <x:c r="F173" i="4"/>
  <x:c r="T173" i="4"/>
  <x:c r="A174" i="4"/>
  <x:c r="E174" i="4"/>
  <x:c r="F174" i="4"/>
  <x:c r="T174" i="4"/>
  <x:c r="A175" i="4"/>
  <x:c r="E175" i="4"/>
  <x:c r="F175" i="4"/>
  <x:c r="T175" i="4"/>
  <x:c r="A176" i="4"/>
  <x:c r="E176" i="4"/>
  <x:c r="F176" i="4"/>
  <x:c r="T176" i="4"/>
  <x:c r="A177" i="4"/>
  <x:c r="E177" i="4"/>
  <x:c r="F177" i="4"/>
  <x:c r="T177" i="4"/>
  <x:c r="A178" i="4"/>
  <x:c r="E178" i="4"/>
  <x:c r="F178" i="4"/>
  <x:c r="T178" i="4"/>
  <x:c r="A179" i="4"/>
  <x:c r="E179" i="4"/>
  <x:c r="F179" i="4"/>
  <x:c r="T179" i="4"/>
  <x:c r="A180" i="4"/>
  <x:c r="E180" i="4"/>
  <x:c r="F180" i="4"/>
  <x:c r="T180" i="4"/>
  <x:c r="A181" i="4"/>
  <x:c r="E181" i="4"/>
  <x:c r="F181" i="4"/>
  <x:c r="T181" i="4"/>
  <x:c r="A182" i="4"/>
  <x:c r="E182" i="4"/>
  <x:c r="F182" i="4"/>
  <x:c r="T182" i="4"/>
  <x:c r="A183" i="4"/>
  <x:c r="E183" i="4"/>
  <x:c r="F183" i="4"/>
  <x:c r="T183" i="4"/>
  <x:c r="A184" i="4"/>
  <x:c r="E184" i="4"/>
  <x:c r="F184" i="4"/>
  <x:c r="T184" i="4"/>
  <x:c r="A185" i="4"/>
  <x:c r="E185" i="4"/>
  <x:c r="F185" i="4"/>
  <x:c r="T185" i="4"/>
  <x:c r="A186" i="4"/>
  <x:c r="E186" i="4"/>
  <x:c r="F186" i="4"/>
  <x:c r="T186" i="4"/>
  <x:c r="A187" i="4"/>
  <x:c r="E187" i="4"/>
  <x:c r="F187" i="4"/>
  <x:c r="T187" i="4"/>
  <x:c r="A188" i="4"/>
  <x:c r="E188" i="4"/>
  <x:c r="F188" i="4"/>
  <x:c r="T188" i="4"/>
  <x:c r="A189" i="4"/>
  <x:c r="E189" i="4"/>
  <x:c r="F189" i="4"/>
  <x:c r="T189" i="4"/>
  <x:c r="A190" i="4"/>
  <x:c r="E190" i="4"/>
  <x:c r="F190" i="4"/>
  <x:c r="T190" i="4"/>
  <x:c r="A191" i="4"/>
  <x:c r="E191" i="4"/>
  <x:c r="F191" i="4"/>
  <x:c r="T191" i="4"/>
  <x:c r="A192" i="4"/>
  <x:c r="E192" i="4"/>
  <x:c r="F192" i="4"/>
  <x:c r="T192" i="4"/>
  <x:c r="A193" i="4"/>
  <x:c r="E193" i="4"/>
  <x:c r="F193" i="4"/>
  <x:c r="T193" i="4"/>
  <x:c r="A194" i="4"/>
  <x:c r="E194" i="4"/>
  <x:c r="F194" i="4"/>
  <x:c r="T194" i="4"/>
  <x:c r="A195" i="4"/>
  <x:c r="E195" i="4"/>
  <x:c r="F195" i="4"/>
  <x:c r="T195" i="4"/>
  <x:c r="A196" i="4"/>
  <x:c r="E196" i="4"/>
  <x:c r="F196" i="4"/>
  <x:c r="T196" i="4"/>
  <x:c r="A197" i="4"/>
  <x:c r="E197" i="4"/>
  <x:c r="F197" i="4"/>
  <x:c r="T197" i="4"/>
  <x:c r="A198" i="4"/>
  <x:c r="E198" i="4"/>
  <x:c r="F198" i="4"/>
  <x:c r="T198" i="4"/>
  <x:c r="A199" i="4"/>
  <x:c r="E199" i="4"/>
  <x:c r="F199" i="4"/>
  <x:c r="T199" i="4"/>
  <x:c r="A200" i="4"/>
  <x:c r="E200" i="4"/>
  <x:c r="F200" i="4"/>
  <x:c r="T200" i="4"/>
  <x:c r="A201" i="4"/>
  <x:c r="E201" i="4"/>
  <x:c r="F201" i="4"/>
  <x:c r="T201" i="4"/>
  <x:c r="A202" i="4"/>
  <x:c r="E202" i="4"/>
  <x:c r="F202" i="4"/>
  <x:c r="T202" i="4"/>
  <x:c r="A203" i="4"/>
  <x:c r="E203" i="4"/>
  <x:c r="F203" i="4"/>
  <x:c r="T203" i="4"/>
  <x:c r="A204" i="4"/>
  <x:c r="E204" i="4"/>
  <x:c r="F204" i="4"/>
  <x:c r="T204" i="4"/>
  <x:c r="A205" i="4"/>
  <x:c r="E205" i="4"/>
  <x:c r="F205" i="4"/>
  <x:c r="T205" i="4"/>
  <x:c r="A206" i="4"/>
  <x:c r="E206" i="4"/>
  <x:c r="F206" i="4"/>
  <x:c r="T206" i="4"/>
  <x:c r="A207" i="4"/>
  <x:c r="E207" i="4"/>
  <x:c r="F207" i="4"/>
  <x:c r="T207" i="4"/>
  <x:c r="A208" i="4"/>
  <x:c r="E208" i="4"/>
  <x:c r="F208" i="4"/>
  <x:c r="T208" i="4"/>
  <x:c r="A209" i="4"/>
  <x:c r="E209" i="4"/>
  <x:c r="F209" i="4"/>
  <x:c r="T209" i="4"/>
  <x:c r="A210" i="4"/>
  <x:c r="E210" i="4"/>
  <x:c r="F210" i="4"/>
  <x:c r="T210" i="4"/>
  <x:c r="A211" i="4"/>
  <x:c r="E211" i="4"/>
  <x:c r="F211" i="4"/>
  <x:c r="T211" i="4"/>
  <x:c r="A212" i="4"/>
  <x:c r="E212" i="4"/>
  <x:c r="F212" i="4"/>
  <x:c r="T212" i="4"/>
  <x:c r="A213" i="4"/>
  <x:c r="E213" i="4"/>
  <x:c r="F213" i="4"/>
  <x:c r="T213" i="4"/>
  <x:c r="A214" i="4"/>
  <x:c r="E214" i="4"/>
  <x:c r="F214" i="4"/>
  <x:c r="T214" i="4"/>
  <x:c r="A215" i="4"/>
  <x:c r="E215" i="4"/>
  <x:c r="F215" i="4"/>
  <x:c r="T215" i="4"/>
  <x:c r="A216" i="4"/>
  <x:c r="E216" i="4"/>
  <x:c r="F216" i="4"/>
  <x:c r="T216" i="4"/>
  <x:c r="A217" i="4"/>
  <x:c r="E217" i="4"/>
  <x:c r="F217" i="4"/>
  <x:c r="T217" i="4"/>
  <x:c r="A218" i="4"/>
  <x:c r="E218" i="4"/>
  <x:c r="F218" i="4"/>
  <x:c r="T218" i="4"/>
  <x:c r="A219" i="4"/>
  <x:c r="E219" i="4"/>
  <x:c r="F219" i="4"/>
  <x:c r="T219" i="4"/>
  <x:c r="A220" i="4"/>
  <x:c r="E220" i="4"/>
  <x:c r="F220" i="4"/>
  <x:c r="T220" i="4"/>
  <x:c r="A221" i="4"/>
  <x:c r="E221" i="4"/>
  <x:c r="F221" i="4"/>
  <x:c r="T221" i="4"/>
  <x:c r="A222" i="4"/>
  <x:c r="E222" i="4"/>
  <x:c r="F222" i="4"/>
  <x:c r="T222" i="4"/>
  <x:c r="A223" i="4"/>
  <x:c r="E223" i="4"/>
  <x:c r="F223" i="4"/>
  <x:c r="T223" i="4"/>
  <x:c r="A224" i="4"/>
  <x:c r="E224" i="4"/>
  <x:c r="F224" i="4"/>
  <x:c r="T224" i="4"/>
  <x:c r="A225" i="4"/>
  <x:c r="E225" i="4"/>
  <x:c r="F225" i="4"/>
  <x:c r="T225" i="4"/>
  <x:c r="A226" i="4"/>
  <x:c r="E226" i="4"/>
  <x:c r="F226" i="4"/>
  <x:c r="T226" i="4"/>
  <x:c r="A227" i="4"/>
  <x:c r="E227" i="4"/>
  <x:c r="F227" i="4"/>
  <x:c r="T227" i="4"/>
  <x:c r="A228" i="4"/>
  <x:c r="E228" i="4"/>
  <x:c r="F228" i="4"/>
  <x:c r="T228" i="4"/>
  <x:c r="A229" i="4"/>
  <x:c r="E229" i="4"/>
  <x:c r="F229" i="4"/>
  <x:c r="T229" i="4"/>
  <x:c r="A230" i="4"/>
  <x:c r="E230" i="4"/>
  <x:c r="F230" i="4"/>
  <x:c r="T230" i="4"/>
  <x:c r="A231" i="4"/>
  <x:c r="E231" i="4"/>
  <x:c r="F231" i="4"/>
  <x:c r="T231" i="4"/>
  <x:c r="A232" i="4"/>
  <x:c r="E232" i="4"/>
  <x:c r="F232" i="4"/>
  <x:c r="T232" i="4"/>
  <x:c r="A233" i="4"/>
  <x:c r="E233" i="4"/>
  <x:c r="F233" i="4"/>
  <x:c r="T233" i="4"/>
  <x:c r="A234" i="4"/>
  <x:c r="E234" i="4"/>
  <x:c r="F234" i="4"/>
  <x:c r="T234" i="4"/>
  <x:c r="A235" i="4"/>
  <x:c r="E235" i="4"/>
  <x:c r="F235" i="4"/>
  <x:c r="T235" i="4"/>
  <x:c r="A236" i="4"/>
  <x:c r="E236" i="4"/>
  <x:c r="F236" i="4"/>
  <x:c r="T236" i="4"/>
  <x:c r="A237" i="4"/>
  <x:c r="E237" i="4"/>
  <x:c r="F237" i="4"/>
  <x:c r="T237" i="4"/>
  <x:c r="A238" i="4"/>
  <x:c r="E238" i="4"/>
  <x:c r="F238" i="4"/>
  <x:c r="T238" i="4"/>
  <x:c r="A239" i="4"/>
  <x:c r="E239" i="4"/>
  <x:c r="F239" i="4"/>
  <x:c r="T239" i="4"/>
  <x:c r="A240" i="4"/>
  <x:c r="E240" i="4"/>
  <x:c r="F240" i="4"/>
  <x:c r="T240" i="4"/>
  <x:c r="A241" i="4"/>
  <x:c r="E241" i="4"/>
  <x:c r="F241" i="4"/>
  <x:c r="T241" i="4"/>
  <x:c r="A242" i="4"/>
  <x:c r="E242" i="4"/>
  <x:c r="F242" i="4"/>
  <x:c r="T242" i="4"/>
  <x:c r="A243" i="4"/>
  <x:c r="E243" i="4"/>
  <x:c r="F243" i="4"/>
  <x:c r="T243" i="4"/>
  <x:c r="A244" i="4"/>
  <x:c r="E244" i="4"/>
  <x:c r="F244" i="4"/>
  <x:c r="T244" i="4"/>
  <x:c r="A245" i="4"/>
  <x:c r="E245" i="4"/>
  <x:c r="F245" i="4"/>
  <x:c r="T245" i="4"/>
  <x:c r="A246" i="4"/>
  <x:c r="E246" i="4"/>
  <x:c r="F246" i="4"/>
  <x:c r="T246" i="4"/>
  <x:c r="A247" i="4"/>
  <x:c r="E247" i="4"/>
  <x:c r="F247" i="4"/>
  <x:c r="T247" i="4"/>
  <x:c r="A248" i="4"/>
  <x:c r="E248" i="4"/>
  <x:c r="F248" i="4"/>
  <x:c r="T248" i="4"/>
  <x:c r="A249" i="4"/>
  <x:c r="E249" i="4"/>
  <x:c r="F249" i="4"/>
  <x:c r="T249" i="4"/>
  <x:c r="A250" i="4"/>
  <x:c r="E250" i="4"/>
  <x:c r="F250" i="4"/>
  <x:c r="T250" i="4"/>
  <x:c r="A251" i="4"/>
  <x:c r="E251" i="4"/>
  <x:c r="F251" i="4"/>
  <x:c r="T251" i="4"/>
  <x:c r="A252" i="4"/>
  <x:c r="E252" i="4"/>
  <x:c r="F252" i="4"/>
  <x:c r="T252" i="4"/>
  <x:c r="A253" i="4"/>
  <x:c r="E253" i="4"/>
  <x:c r="F253" i="4"/>
  <x:c r="T253" i="4"/>
  <x:c r="A254" i="4"/>
  <x:c r="E254" i="4"/>
  <x:c r="F254" i="4"/>
  <x:c r="T254" i="4"/>
  <x:c r="A255" i="4"/>
  <x:c r="E255" i="4"/>
  <x:c r="F255" i="4"/>
  <x:c r="T255" i="4"/>
  <x:c r="A256" i="4"/>
  <x:c r="E256" i="4"/>
  <x:c r="F256" i="4"/>
  <x:c r="T256" i="4"/>
  <x:c r="A257" i="4"/>
  <x:c r="E257" i="4"/>
  <x:c r="F257" i="4"/>
  <x:c r="T257" i="4"/>
  <x:c r="A258" i="4"/>
  <x:c r="E258" i="4"/>
  <x:c r="F258" i="4"/>
  <x:c r="T258" i="4"/>
  <x:c r="A259" i="4"/>
  <x:c r="E259" i="4"/>
  <x:c r="F259" i="4"/>
  <x:c r="T259" i="4"/>
  <x:c r="A260" i="4"/>
  <x:c r="E260" i="4"/>
  <x:c r="F260" i="4"/>
  <x:c r="T260" i="4"/>
  <x:c r="A261" i="4"/>
  <x:c r="E261" i="4"/>
  <x:c r="F261" i="4"/>
  <x:c r="T261" i="4"/>
  <x:c r="A262" i="4"/>
  <x:c r="E262" i="4"/>
  <x:c r="F262" i="4"/>
  <x:c r="T262" i="4"/>
  <x:c r="A263" i="4"/>
  <x:c r="E263" i="4"/>
  <x:c r="F263" i="4"/>
  <x:c r="T263" i="4"/>
  <x:c r="A264" i="4"/>
  <x:c r="E264" i="4"/>
  <x:c r="F264" i="4"/>
  <x:c r="T264" i="4"/>
  <x:c r="A265" i="4"/>
  <x:c r="E265" i="4"/>
  <x:c r="F265" i="4"/>
  <x:c r="T265" i="4"/>
  <x:c r="A266" i="4"/>
  <x:c r="E266" i="4"/>
  <x:c r="F266" i="4"/>
  <x:c r="T266" i="4"/>
  <x:c r="A267" i="4"/>
  <x:c r="E267" i="4"/>
  <x:c r="F267" i="4"/>
  <x:c r="T267" i="4"/>
  <x:c r="A268" i="4"/>
  <x:c r="E268" i="4"/>
  <x:c r="F268" i="4"/>
  <x:c r="T268" i="4"/>
  <x:c r="A269" i="4"/>
  <x:c r="E269" i="4"/>
  <x:c r="F269" i="4"/>
  <x:c r="T269" i="4"/>
  <x:c r="A270" i="4"/>
  <x:c r="E270" i="4"/>
  <x:c r="F270" i="4"/>
  <x:c r="T270" i="4"/>
  <x:c r="A271" i="4"/>
  <x:c r="E271" i="4"/>
  <x:c r="F271" i="4"/>
  <x:c r="T271" i="4"/>
  <x:c r="A272" i="4"/>
  <x:c r="E272" i="4"/>
  <x:c r="F272" i="4"/>
  <x:c r="T272" i="4"/>
  <x:c r="A273" i="4"/>
  <x:c r="E273" i="4"/>
  <x:c r="F273" i="4"/>
  <x:c r="T273" i="4"/>
  <x:c r="A274" i="4"/>
  <x:c r="E274" i="4"/>
  <x:c r="F274" i="4"/>
  <x:c r="T274" i="4"/>
  <x:c r="A275" i="4"/>
  <x:c r="E275" i="4"/>
  <x:c r="F275" i="4"/>
  <x:c r="T275" i="4"/>
  <x:c r="A276" i="4"/>
  <x:c r="E276" i="4"/>
  <x:c r="F276" i="4"/>
  <x:c r="T276" i="4"/>
  <x:c r="A277" i="4"/>
  <x:c r="E277" i="4"/>
  <x:c r="F277" i="4"/>
  <x:c r="T277" i="4"/>
  <x:c r="A278" i="4"/>
  <x:c r="E278" i="4"/>
  <x:c r="F278" i="4"/>
  <x:c r="T278" i="4"/>
  <x:c r="A279" i="4"/>
  <x:c r="E279" i="4"/>
  <x:c r="F279" i="4"/>
  <x:c r="T279" i="4"/>
  <x:c r="A280" i="4"/>
  <x:c r="E280" i="4"/>
  <x:c r="F280" i="4"/>
  <x:c r="T280" i="4"/>
  <x:c r="A281" i="4"/>
  <x:c r="E281" i="4"/>
  <x:c r="F281" i="4"/>
  <x:c r="T281" i="4"/>
  <x:c r="A282" i="4"/>
  <x:c r="E282" i="4"/>
  <x:c r="F282" i="4"/>
  <x:c r="T282" i="4"/>
  <x:c r="A283" i="4"/>
  <x:c r="E283" i="4"/>
  <x:c r="F283" i="4"/>
  <x:c r="T283" i="4"/>
  <x:c r="A284" i="4"/>
  <x:c r="E284" i="4"/>
  <x:c r="F284" i="4"/>
  <x:c r="T284" i="4"/>
  <x:c r="A285" i="4"/>
  <x:c r="E285" i="4"/>
  <x:c r="F285" i="4"/>
  <x:c r="T285" i="4"/>
  <x:c r="A286" i="4"/>
  <x:c r="E286" i="4"/>
  <x:c r="F286" i="4"/>
  <x:c r="T286" i="4"/>
  <x:c r="A287" i="4"/>
  <x:c r="E287" i="4"/>
  <x:c r="F287" i="4"/>
  <x:c r="T287" i="4"/>
  <x:c r="A288" i="4"/>
  <x:c r="E288" i="4"/>
  <x:c r="F288" i="4"/>
  <x:c r="T288" i="4"/>
  <x:c r="A289" i="4"/>
  <x:c r="E289" i="4"/>
  <x:c r="F289" i="4"/>
  <x:c r="T289" i="4"/>
  <x:c r="A290" i="4"/>
  <x:c r="E290" i="4"/>
  <x:c r="F290" i="4"/>
  <x:c r="T290" i="4"/>
  <x:c r="A291" i="4"/>
  <x:c r="E291" i="4"/>
  <x:c r="F291" i="4"/>
  <x:c r="T291" i="4"/>
  <x:c r="A292" i="4"/>
  <x:c r="E292" i="4"/>
  <x:c r="F292" i="4"/>
  <x:c r="T292" i="4"/>
  <x:c r="A293" i="4"/>
  <x:c r="E293" i="4"/>
  <x:c r="F293" i="4"/>
  <x:c r="T293" i="4"/>
  <x:c r="A294" i="4"/>
  <x:c r="E294" i="4"/>
  <x:c r="F294" i="4"/>
  <x:c r="T294" i="4"/>
  <x:c r="A295" i="4"/>
  <x:c r="E295" i="4"/>
  <x:c r="F295" i="4"/>
  <x:c r="T295" i="4"/>
  <x:c r="A296" i="4"/>
  <x:c r="E296" i="4"/>
  <x:c r="F296" i="4"/>
  <x:c r="T296" i="4"/>
  <x:c r="A297" i="4"/>
  <x:c r="E297" i="4"/>
  <x:c r="F297" i="4"/>
  <x:c r="T297" i="4"/>
  <x:c r="A298" i="4"/>
  <x:c r="E298" i="4"/>
  <x:c r="F298" i="4"/>
  <x:c r="T298" i="4"/>
  <x:c r="A299" i="4"/>
  <x:c r="E299" i="4"/>
  <x:c r="F299" i="4"/>
  <x:c r="T299" i="4"/>
  <x:c r="A300" i="4"/>
  <x:c r="E300" i="4"/>
  <x:c r="F300" i="4"/>
  <x:c r="T300" i="4"/>
  <x:c r="A301" i="4"/>
  <x:c r="E301" i="4"/>
  <x:c r="F301" i="4"/>
  <x:c r="T301" i="4"/>
  <x:c r="A302" i="4"/>
  <x:c r="E302" i="4"/>
  <x:c r="F302" i="4"/>
  <x:c r="T302" i="4"/>
  <x:c r="A303" i="4"/>
  <x:c r="E303" i="4"/>
  <x:c r="F303" i="4"/>
  <x:c r="T303" i="4"/>
  <x:c r="A304" i="4"/>
  <x:c r="E304" i="4"/>
  <x:c r="F304" i="4"/>
  <x:c r="T304" i="4"/>
  <x:c r="A305" i="4"/>
  <x:c r="E305" i="4"/>
  <x:c r="F305" i="4"/>
  <x:c r="T305" i="4"/>
  <x:c r="A306" i="4"/>
  <x:c r="E306" i="4"/>
  <x:c r="F306" i="4"/>
  <x:c r="T306" i="4"/>
  <x:c r="A307" i="4"/>
  <x:c r="E307" i="4"/>
  <x:c r="F307" i="4"/>
  <x:c r="T307" i="4"/>
  <x:c r="A308" i="4"/>
  <x:c r="E308" i="4"/>
  <x:c r="F308" i="4"/>
  <x:c r="T308" i="4"/>
  <x:c r="A309" i="4"/>
  <x:c r="E309" i="4"/>
  <x:c r="F309" i="4"/>
  <x:c r="T309" i="4"/>
  <x:c r="A310" i="4"/>
  <x:c r="E310" i="4"/>
  <x:c r="F310" i="4"/>
  <x:c r="T310" i="4"/>
  <x:c r="A311" i="4"/>
  <x:c r="E311" i="4"/>
  <x:c r="F311" i="4"/>
  <x:c r="T311" i="4"/>
  <x:c r="A312" i="4"/>
  <x:c r="E312" i="4"/>
  <x:c r="F312" i="4"/>
  <x:c r="T312" i="4"/>
  <x:c r="A313" i="4"/>
  <x:c r="E313" i="4"/>
  <x:c r="F313" i="4"/>
  <x:c r="T313" i="4"/>
  <x:c r="A314" i="4"/>
  <x:c r="E314" i="4"/>
  <x:c r="F314" i="4"/>
  <x:c r="T314" i="4"/>
  <x:c r="A315" i="4"/>
  <x:c r="E315" i="4"/>
  <x:c r="F315" i="4"/>
  <x:c r="T315" i="4"/>
  <x:c r="A316" i="4"/>
  <x:c r="E316" i="4"/>
  <x:c r="F316" i="4"/>
  <x:c r="T316" i="4"/>
  <x:c r="A317" i="4"/>
  <x:c r="E317" i="4"/>
  <x:c r="F317" i="4"/>
  <x:c r="T317" i="4"/>
  <x:c r="A318" i="4"/>
  <x:c r="E318" i="4"/>
  <x:c r="F318" i="4"/>
  <x:c r="T318" i="4"/>
  <x:c r="A319" i="4"/>
  <x:c r="E319" i="4"/>
  <x:c r="F319" i="4"/>
  <x:c r="T319" i="4"/>
  <x:c r="A320" i="4"/>
  <x:c r="E320" i="4"/>
  <x:c r="F320" i="4"/>
  <x:c r="T320" i="4"/>
  <x:c r="A321" i="4"/>
  <x:c r="E321" i="4"/>
  <x:c r="F321" i="4"/>
  <x:c r="T321" i="4"/>
  <x:c r="A322" i="4"/>
  <x:c r="E322" i="4"/>
  <x:c r="F322" i="4"/>
  <x:c r="T322" i="4"/>
  <x:c r="A323" i="4"/>
  <x:c r="E323" i="4"/>
  <x:c r="F323" i="4"/>
  <x:c r="T323" i="4"/>
  <x:c r="A324" i="4"/>
  <x:c r="E324" i="4"/>
  <x:c r="F324" i="4"/>
  <x:c r="T324" i="4"/>
  <x:c r="A325" i="4"/>
  <x:c r="E325" i="4"/>
  <x:c r="F325" i="4"/>
  <x:c r="T325" i="4"/>
  <x:c r="A326" i="4"/>
  <x:c r="E326" i="4"/>
  <x:c r="F326" i="4"/>
  <x:c r="T326" i="4"/>
  <x:c r="A327" i="4"/>
  <x:c r="E327" i="4"/>
  <x:c r="F327" i="4"/>
  <x:c r="T327" i="4"/>
  <x:c r="A328" i="4"/>
  <x:c r="E328" i="4"/>
  <x:c r="F328" i="4"/>
  <x:c r="T328" i="4"/>
  <x:c r="A329" i="4"/>
  <x:c r="E329" i="4"/>
  <x:c r="F329" i="4"/>
  <x:c r="T329" i="4"/>
  <x:c r="A330" i="4"/>
  <x:c r="E330" i="4"/>
  <x:c r="F330" i="4"/>
  <x:c r="T330" i="4"/>
  <x:c r="A331" i="4"/>
  <x:c r="E331" i="4"/>
  <x:c r="F331" i="4"/>
  <x:c r="T331" i="4"/>
  <x:c r="A332" i="4"/>
  <x:c r="E332" i="4"/>
  <x:c r="F332" i="4"/>
  <x:c r="T332" i="4"/>
  <x:c r="A333" i="4"/>
  <x:c r="E333" i="4"/>
  <x:c r="F333" i="4"/>
  <x:c r="T333" i="4"/>
  <x:c r="A334" i="4"/>
  <x:c r="E334" i="4"/>
  <x:c r="F334" i="4"/>
  <x:c r="T334" i="4"/>
  <x:c r="A335" i="4"/>
  <x:c r="E335" i="4"/>
  <x:c r="F335" i="4"/>
  <x:c r="T335" i="4"/>
  <x:c r="A336" i="4"/>
  <x:c r="E336" i="4"/>
  <x:c r="F336" i="4"/>
  <x:c r="T336" i="4"/>
  <x:c r="A337" i="4"/>
  <x:c r="E337" i="4"/>
  <x:c r="F337" i="4"/>
  <x:c r="T337" i="4"/>
  <x:c r="A338" i="4"/>
  <x:c r="E338" i="4"/>
  <x:c r="F338" i="4"/>
  <x:c r="T338" i="4"/>
  <x:c r="A339" i="4"/>
  <x:c r="E339" i="4"/>
  <x:c r="F339" i="4"/>
  <x:c r="T339" i="4"/>
  <x:c r="A340" i="4"/>
  <x:c r="E340" i="4"/>
  <x:c r="F340" i="4"/>
  <x:c r="T340" i="4"/>
  <x:c r="A341" i="4"/>
  <x:c r="E341" i="4"/>
  <x:c r="F341" i="4"/>
  <x:c r="T341" i="4"/>
  <x:c r="A342" i="4"/>
  <x:c r="E342" i="4"/>
  <x:c r="F342" i="4"/>
  <x:c r="T342" i="4"/>
  <x:c r="A343" i="4"/>
  <x:c r="E343" i="4"/>
  <x:c r="F343" i="4"/>
  <x:c r="T343" i="4"/>
  <x:c r="A344" i="4"/>
  <x:c r="E344" i="4"/>
  <x:c r="F344" i="4"/>
  <x:c r="T344" i="4"/>
  <x:c r="A345" i="4"/>
  <x:c r="E345" i="4"/>
  <x:c r="F345" i="4"/>
  <x:c r="T345" i="4"/>
  <x:c r="A346" i="4"/>
  <x:c r="E346" i="4"/>
  <x:c r="F346" i="4"/>
  <x:c r="T346" i="4"/>
  <x:c r="A347" i="4"/>
  <x:c r="E347" i="4"/>
  <x:c r="F347" i="4"/>
  <x:c r="T347" i="4"/>
  <x:c r="A348" i="4"/>
  <x:c r="E348" i="4"/>
  <x:c r="F348" i="4"/>
  <x:c r="T348" i="4"/>
  <x:c r="A349" i="4"/>
  <x:c r="E349" i="4"/>
  <x:c r="F349" i="4"/>
  <x:c r="T349" i="4"/>
  <x:c r="A350" i="4"/>
  <x:c r="E350" i="4"/>
  <x:c r="F350" i="4"/>
  <x:c r="T350" i="4"/>
  <x:c r="A351" i="4"/>
  <x:c r="E351" i="4"/>
  <x:c r="F351" i="4"/>
  <x:c r="T351" i="4"/>
  <x:c r="A352" i="4"/>
  <x:c r="E352" i="4"/>
  <x:c r="F352" i="4"/>
  <x:c r="T352" i="4"/>
  <x:c r="A353" i="4"/>
  <x:c r="E353" i="4"/>
  <x:c r="F353" i="4"/>
  <x:c r="T353" i="4"/>
  <x:c r="A354" i="4"/>
  <x:c r="E354" i="4"/>
  <x:c r="F354" i="4"/>
  <x:c r="T354" i="4"/>
  <x:c r="A355" i="4"/>
  <x:c r="E355" i="4"/>
  <x:c r="F355" i="4"/>
  <x:c r="T355" i="4"/>
  <x:c r="A356" i="4"/>
  <x:c r="E356" i="4"/>
  <x:c r="F356" i="4"/>
  <x:c r="T356" i="4"/>
  <x:c r="A357" i="4"/>
  <x:c r="E357" i="4"/>
  <x:c r="F357" i="4"/>
  <x:c r="T357" i="4"/>
  <x:c r="A358" i="4"/>
  <x:c r="E358" i="4"/>
  <x:c r="F358" i="4"/>
  <x:c r="T358" i="4"/>
  <x:c r="A359" i="4"/>
  <x:c r="E359" i="4"/>
  <x:c r="F359" i="4"/>
  <x:c r="T359" i="4"/>
  <x:c r="A360" i="4"/>
  <x:c r="E360" i="4"/>
  <x:c r="F360" i="4"/>
  <x:c r="T360" i="4"/>
  <x:c r="A361" i="4"/>
  <x:c r="E361" i="4"/>
  <x:c r="F361" i="4"/>
  <x:c r="T361" i="4"/>
  <x:c r="A362" i="4"/>
  <x:c r="E362" i="4"/>
  <x:c r="F362" i="4"/>
  <x:c r="T362" i="4"/>
  <x:c r="A363" i="4"/>
  <x:c r="E363" i="4"/>
  <x:c r="F363" i="4"/>
  <x:c r="T363" i="4"/>
  <x:c r="A364" i="4"/>
  <x:c r="E364" i="4"/>
  <x:c r="F364" i="4"/>
  <x:c r="T364" i="4"/>
  <x:c r="A365" i="4"/>
  <x:c r="E365" i="4"/>
  <x:c r="F365" i="4"/>
  <x:c r="T365" i="4"/>
  <x:c r="A366" i="4"/>
  <x:c r="E366" i="4"/>
  <x:c r="F366" i="4"/>
  <x:c r="T366" i="4"/>
  <x:c r="A367" i="4"/>
  <x:c r="E367" i="4"/>
  <x:c r="F367" i="4"/>
  <x:c r="T367" i="4"/>
  <x:c r="A368" i="4"/>
  <x:c r="E368" i="4"/>
  <x:c r="F368" i="4"/>
  <x:c r="T368" i="4"/>
  <x:c r="A369" i="4"/>
  <x:c r="E369" i="4"/>
  <x:c r="F369" i="4"/>
  <x:c r="T369" i="4"/>
  <x:c r="A370" i="4"/>
  <x:c r="E370" i="4"/>
  <x:c r="F370" i="4"/>
  <x:c r="T370" i="4"/>
  <x:c r="A371" i="4"/>
  <x:c r="E371" i="4"/>
  <x:c r="F371" i="4"/>
  <x:c r="T371" i="4"/>
  <x:c r="A372" i="4"/>
  <x:c r="E372" i="4"/>
  <x:c r="F372" i="4"/>
  <x:c r="T372" i="4"/>
  <x:c r="A373" i="4"/>
  <x:c r="E373" i="4"/>
  <x:c r="F373" i="4"/>
  <x:c r="T373" i="4"/>
  <x:c r="A374" i="4"/>
  <x:c r="E374" i="4"/>
  <x:c r="F374" i="4"/>
  <x:c r="T374" i="4"/>
  <x:c r="A375" i="4"/>
  <x:c r="E375" i="4"/>
  <x:c r="F375" i="4"/>
  <x:c r="T375" i="4"/>
  <x:c r="A376" i="4"/>
  <x:c r="E376" i="4"/>
  <x:c r="F376" i="4"/>
  <x:c r="T376" i="4"/>
  <x:c r="A377" i="4"/>
  <x:c r="E377" i="4"/>
  <x:c r="F377" i="4"/>
  <x:c r="T377" i="4"/>
  <x:c r="A378" i="4"/>
  <x:c r="E378" i="4"/>
  <x:c r="F378" i="4"/>
  <x:c r="T378" i="4"/>
  <x:c r="A379" i="4"/>
  <x:c r="E379" i="4"/>
  <x:c r="F379" i="4"/>
  <x:c r="T379" i="4"/>
  <x:c r="A380" i="4"/>
  <x:c r="E380" i="4"/>
  <x:c r="F380" i="4"/>
  <x:c r="T380" i="4"/>
  <x:c r="A381" i="4"/>
  <x:c r="E381" i="4"/>
  <x:c r="F381" i="4"/>
  <x:c r="T381" i="4"/>
  <x:c r="A382" i="4"/>
  <x:c r="E382" i="4"/>
  <x:c r="F382" i="4"/>
  <x:c r="T382" i="4"/>
  <x:c r="A383" i="4"/>
  <x:c r="E383" i="4"/>
  <x:c r="F383" i="4"/>
  <x:c r="T383" i="4"/>
  <x:c r="A384" i="4"/>
  <x:c r="E384" i="4"/>
  <x:c r="F384" i="4"/>
  <x:c r="T384" i="4"/>
  <x:c r="A385" i="4"/>
  <x:c r="E385" i="4"/>
  <x:c r="F385" i="4"/>
  <x:c r="T385" i="4"/>
  <x:c r="A386" i="4"/>
  <x:c r="E386" i="4"/>
  <x:c r="F386" i="4"/>
  <x:c r="T386" i="4"/>
  <x:c r="A387" i="4"/>
  <x:c r="E387" i="4"/>
  <x:c r="F387" i="4"/>
  <x:c r="T387" i="4"/>
  <x:c r="A388" i="4"/>
  <x:c r="E388" i="4"/>
  <x:c r="F388" i="4"/>
  <x:c r="T388" i="4"/>
  <x:c r="A389" i="4"/>
  <x:c r="E389" i="4"/>
  <x:c r="F389" i="4"/>
  <x:c r="T389" i="4"/>
  <x:c r="A390" i="4"/>
  <x:c r="E390" i="4"/>
  <x:c r="F390" i="4"/>
  <x:c r="T390" i="4"/>
  <x:c r="A391" i="4"/>
  <x:c r="E391" i="4"/>
  <x:c r="F391" i="4"/>
  <x:c r="T391" i="4"/>
  <x:c r="A392" i="4"/>
  <x:c r="E392" i="4"/>
  <x:c r="F392" i="4"/>
  <x:c r="T392" i="4"/>
  <x:c r="A393" i="4"/>
  <x:c r="E393" i="4"/>
  <x:c r="F393" i="4"/>
  <x:c r="T393" i="4"/>
  <x:c r="A394" i="4"/>
  <x:c r="E394" i="4"/>
  <x:c r="F394" i="4"/>
  <x:c r="T394" i="4"/>
  <x:c r="A395" i="4"/>
  <x:c r="E395" i="4"/>
  <x:c r="F395" i="4"/>
  <x:c r="T395" i="4"/>
  <x:c r="A396" i="4"/>
  <x:c r="E396" i="4"/>
  <x:c r="F396" i="4"/>
  <x:c r="T396" i="4"/>
  <x:c r="A397" i="4"/>
  <x:c r="E397" i="4"/>
  <x:c r="F397" i="4"/>
  <x:c r="T397" i="4"/>
  <x:c r="A398" i="4"/>
  <x:c r="E398" i="4"/>
  <x:c r="F398" i="4"/>
  <x:c r="T398" i="4"/>
  <x:c r="A399" i="4"/>
  <x:c r="E399" i="4"/>
  <x:c r="F399" i="4"/>
  <x:c r="T399" i="4"/>
  <x:c r="A400" i="4"/>
  <x:c r="E400" i="4"/>
  <x:c r="F400" i="4"/>
  <x:c r="T400" i="4"/>
  <x:c r="A401" i="4"/>
  <x:c r="E401" i="4"/>
  <x:c r="F401" i="4"/>
  <x:c r="T401" i="4"/>
  <x:c r="A402" i="4"/>
  <x:c r="E402" i="4"/>
  <x:c r="F402" i="4"/>
  <x:c r="T402" i="4"/>
  <x:c r="A403" i="4"/>
  <x:c r="E403" i="4"/>
  <x:c r="F403" i="4"/>
  <x:c r="T403" i="4"/>
  <x:c r="A404" i="4"/>
  <x:c r="E404" i="4"/>
  <x:c r="F404" i="4"/>
  <x:c r="T404" i="4"/>
  <x:c r="A405" i="4"/>
  <x:c r="E405" i="4"/>
  <x:c r="F405" i="4"/>
  <x:c r="T405" i="4"/>
  <x:c r="A406" i="4"/>
  <x:c r="E406" i="4"/>
  <x:c r="F406" i="4"/>
  <x:c r="T406" i="4"/>
  <x:c r="A407" i="4"/>
  <x:c r="E407" i="4"/>
  <x:c r="F407" i="4"/>
  <x:c r="T407" i="4"/>
  <x:c r="A408" i="4"/>
  <x:c r="E408" i="4"/>
  <x:c r="F408" i="4"/>
  <x:c r="T408" i="4"/>
  <x:c r="A409" i="4"/>
  <x:c r="E409" i="4"/>
  <x:c r="F409" i="4"/>
  <x:c r="T409" i="4"/>
  <x:c r="A410" i="4"/>
  <x:c r="E410" i="4"/>
  <x:c r="F410" i="4"/>
  <x:c r="T410" i="4"/>
  <x:c r="A411" i="4"/>
  <x:c r="E411" i="4"/>
  <x:c r="F411" i="4"/>
  <x:c r="T411" i="4"/>
  <x:c r="A412" i="4"/>
  <x:c r="E412" i="4"/>
  <x:c r="F412" i="4"/>
  <x:c r="T412" i="4"/>
  <x:c r="A413" i="4"/>
  <x:c r="E413" i="4"/>
  <x:c r="F413" i="4"/>
  <x:c r="T413" i="4"/>
  <x:c r="A414" i="4"/>
  <x:c r="E414" i="4"/>
  <x:c r="F414" i="4"/>
  <x:c r="T414" i="4"/>
  <x:c r="A415" i="4"/>
  <x:c r="E415" i="4"/>
  <x:c r="F415" i="4"/>
  <x:c r="T415" i="4"/>
  <x:c r="A416" i="4"/>
  <x:c r="E416" i="4"/>
  <x:c r="F416" i="4"/>
  <x:c r="T416" i="4"/>
  <x:c r="A417" i="4"/>
  <x:c r="E417" i="4"/>
  <x:c r="F417" i="4"/>
  <x:c r="T417" i="4"/>
  <x:c r="A418" i="4"/>
  <x:c r="E418" i="4"/>
  <x:c r="F418" i="4"/>
  <x:c r="T418" i="4"/>
  <x:c r="A419" i="4"/>
  <x:c r="E419" i="4"/>
  <x:c r="F419" i="4"/>
  <x:c r="T419" i="4"/>
  <x:c r="A420" i="4"/>
  <x:c r="E420" i="4"/>
  <x:c r="F420" i="4"/>
  <x:c r="T420" i="4"/>
  <x:c r="A421" i="4"/>
  <x:c r="E421" i="4"/>
  <x:c r="F421" i="4"/>
  <x:c r="T421" i="4"/>
  <x:c r="A422" i="4"/>
  <x:c r="E422" i="4"/>
  <x:c r="F422" i="4"/>
  <x:c r="T422" i="4"/>
  <x:c r="A423" i="4"/>
  <x:c r="E423" i="4"/>
  <x:c r="F423" i="4"/>
  <x:c r="T423" i="4"/>
  <x:c r="A424" i="4"/>
  <x:c r="E424" i="4"/>
  <x:c r="F424" i="4"/>
  <x:c r="T424" i="4"/>
  <x:c r="A425" i="4"/>
  <x:c r="E425" i="4"/>
  <x:c r="F425" i="4"/>
  <x:c r="T425" i="4"/>
  <x:c r="A426" i="4"/>
  <x:c r="E426" i="4"/>
  <x:c r="F426" i="4"/>
  <x:c r="T426" i="4"/>
  <x:c r="A427" i="4"/>
  <x:c r="E427" i="4"/>
  <x:c r="F427" i="4"/>
  <x:c r="T427" i="4"/>
  <x:c r="A428" i="4"/>
  <x:c r="E428" i="4"/>
  <x:c r="F428" i="4"/>
  <x:c r="T428" i="4"/>
  <x:c r="A429" i="4"/>
  <x:c r="E429" i="4"/>
  <x:c r="F429" i="4"/>
  <x:c r="T429" i="4"/>
  <x:c r="A430" i="4"/>
  <x:c r="E430" i="4"/>
  <x:c r="F430" i="4"/>
  <x:c r="T430" i="4"/>
  <x:c r="A431" i="4"/>
  <x:c r="E431" i="4"/>
  <x:c r="F431" i="4"/>
  <x:c r="T431" i="4"/>
  <x:c r="A432" i="4"/>
  <x:c r="E432" i="4"/>
  <x:c r="F432" i="4"/>
  <x:c r="T432" i="4"/>
  <x:c r="A433" i="4"/>
  <x:c r="E433" i="4"/>
  <x:c r="F433" i="4"/>
  <x:c r="T433" i="4"/>
  <x:c r="A434" i="4"/>
  <x:c r="E434" i="4"/>
  <x:c r="F434" i="4"/>
  <x:c r="T434" i="4"/>
  <x:c r="A435" i="4"/>
  <x:c r="E435" i="4"/>
  <x:c r="F435" i="4"/>
  <x:c r="T435" i="4"/>
  <x:c r="A436" i="4"/>
  <x:c r="E436" i="4"/>
  <x:c r="F436" i="4"/>
  <x:c r="T436" i="4"/>
  <x:c r="A437" i="4"/>
  <x:c r="E437" i="4"/>
  <x:c r="F437" i="4"/>
  <x:c r="T437" i="4"/>
  <x:c r="A438" i="4"/>
  <x:c r="E438" i="4"/>
  <x:c r="F438" i="4"/>
  <x:c r="T438" i="4"/>
  <x:c r="A439" i="4"/>
  <x:c r="E439" i="4"/>
  <x:c r="F439" i="4"/>
  <x:c r="T439" i="4"/>
  <x:c r="A440" i="4"/>
  <x:c r="E440" i="4"/>
  <x:c r="F440" i="4"/>
  <x:c r="T440" i="4"/>
  <x:c r="A441" i="4"/>
  <x:c r="E441" i="4"/>
  <x:c r="F441" i="4"/>
  <x:c r="T441" i="4"/>
  <x:c r="A442" i="4"/>
  <x:c r="E442" i="4"/>
  <x:c r="F442" i="4"/>
  <x:c r="T442" i="4"/>
  <x:c r="A443" i="4"/>
  <x:c r="E443" i="4"/>
  <x:c r="F443" i="4"/>
  <x:c r="T443" i="4"/>
  <x:c r="A444" i="4"/>
  <x:c r="E444" i="4"/>
  <x:c r="F444" i="4"/>
  <x:c r="T444" i="4"/>
  <x:c r="A445" i="4"/>
  <x:c r="E445" i="4"/>
  <x:c r="F445" i="4"/>
  <x:c r="T445" i="4"/>
  <x:c r="A446" i="4"/>
  <x:c r="E446" i="4"/>
  <x:c r="F446" i="4"/>
  <x:c r="T446" i="4"/>
  <x:c r="A447" i="4"/>
  <x:c r="E447" i="4"/>
  <x:c r="F447" i="4"/>
  <x:c r="T447" i="4"/>
  <x:c r="A448" i="4"/>
  <x:c r="E448" i="4"/>
  <x:c r="F448" i="4"/>
  <x:c r="T448" i="4"/>
  <x:c r="A449" i="4"/>
  <x:c r="E449" i="4"/>
  <x:c r="F449" i="4"/>
  <x:c r="T449" i="4"/>
  <x:c r="A450" i="4"/>
  <x:c r="E450" i="4"/>
  <x:c r="F450" i="4"/>
  <x:c r="T450" i="4"/>
  <x:c r="A451" i="4"/>
  <x:c r="E451" i="4"/>
  <x:c r="F451" i="4"/>
  <x:c r="T451" i="4"/>
  <x:c r="A452" i="4"/>
  <x:c r="E452" i="4"/>
  <x:c r="F452" i="4"/>
  <x:c r="T452" i="4"/>
  <x:c r="A453" i="4"/>
  <x:c r="E453" i="4"/>
  <x:c r="F453" i="4"/>
  <x:c r="T453" i="4"/>
  <x:c r="A454" i="4"/>
  <x:c r="E454" i="4"/>
  <x:c r="F454" i="4"/>
  <x:c r="T454" i="4"/>
  <x:c r="A455" i="4"/>
  <x:c r="E455" i="4"/>
  <x:c r="F455" i="4"/>
  <x:c r="T455" i="4"/>
  <x:c r="A456" i="4"/>
  <x:c r="E456" i="4"/>
  <x:c r="F456" i="4"/>
  <x:c r="T456" i="4"/>
  <x:c r="A457" i="4"/>
  <x:c r="E457" i="4"/>
  <x:c r="F457" i="4"/>
  <x:c r="T457" i="4"/>
  <x:c r="A458" i="4"/>
  <x:c r="E458" i="4"/>
  <x:c r="F458" i="4"/>
  <x:c r="T458" i="4"/>
  <x:c r="A459" i="4"/>
  <x:c r="E459" i="4"/>
  <x:c r="F459" i="4"/>
  <x:c r="T459" i="4"/>
  <x:c r="A460" i="4"/>
  <x:c r="E460" i="4"/>
  <x:c r="F460" i="4"/>
  <x:c r="T460" i="4"/>
  <x:c r="A461" i="4"/>
  <x:c r="E461" i="4"/>
  <x:c r="F461" i="4"/>
  <x:c r="T461" i="4"/>
  <x:c r="A462" i="4"/>
  <x:c r="E462" i="4"/>
  <x:c r="F462" i="4"/>
  <x:c r="T462" i="4"/>
  <x:c r="A463" i="4"/>
  <x:c r="E463" i="4"/>
  <x:c r="F463" i="4"/>
  <x:c r="T463" i="4"/>
  <x:c r="A464" i="4"/>
  <x:c r="E464" i="4"/>
  <x:c r="F464" i="4"/>
  <x:c r="T464" i="4"/>
  <x:c r="A465" i="4"/>
  <x:c r="E465" i="4"/>
  <x:c r="F465" i="4"/>
  <x:c r="T465" i="4"/>
  <x:c r="A466" i="4"/>
  <x:c r="E466" i="4"/>
  <x:c r="F466" i="4"/>
  <x:c r="T466" i="4"/>
  <x:c r="A467" i="4"/>
  <x:c r="E467" i="4"/>
  <x:c r="F467" i="4"/>
  <x:c r="T467" i="4"/>
  <x:c r="A468" i="4"/>
  <x:c r="E468" i="4"/>
  <x:c r="F468" i="4"/>
  <x:c r="T468" i="4"/>
  <x:c r="A469" i="4"/>
  <x:c r="E469" i="4"/>
  <x:c r="F469" i="4"/>
  <x:c r="T469" i="4"/>
  <x:c r="A470" i="4"/>
  <x:c r="E470" i="4"/>
  <x:c r="F470" i="4"/>
  <x:c r="T470" i="4"/>
  <x:c r="A471" i="4"/>
  <x:c r="E471" i="4"/>
  <x:c r="F471" i="4"/>
  <x:c r="T471" i="4"/>
  <x:c r="A472" i="4"/>
  <x:c r="E472" i="4"/>
  <x:c r="F472" i="4"/>
  <x:c r="T472" i="4"/>
  <x:c r="A473" i="4"/>
  <x:c r="E473" i="4"/>
  <x:c r="F473" i="4"/>
  <x:c r="T473" i="4"/>
  <x:c r="A474" i="4"/>
  <x:c r="E474" i="4"/>
  <x:c r="F474" i="4"/>
  <x:c r="T474" i="4"/>
  <x:c r="A475" i="4"/>
  <x:c r="E475" i="4"/>
  <x:c r="F475" i="4"/>
  <x:c r="T475" i="4"/>
  <x:c r="A476" i="4"/>
  <x:c r="E476" i="4"/>
  <x:c r="F476" i="4"/>
  <x:c r="T476" i="4"/>
  <x:c r="A477" i="4"/>
  <x:c r="E477" i="4"/>
  <x:c r="F477" i="4"/>
  <x:c r="T477" i="4"/>
  <x:c r="A478" i="4"/>
  <x:c r="E478" i="4"/>
  <x:c r="F478" i="4"/>
  <x:c r="T478" i="4"/>
  <x:c r="A479" i="4"/>
  <x:c r="E479" i="4"/>
  <x:c r="F479" i="4"/>
  <x:c r="T479" i="4"/>
  <x:c r="A480" i="4"/>
  <x:c r="E480" i="4"/>
  <x:c r="F480" i="4"/>
  <x:c r="T480" i="4"/>
  <x:c r="A481" i="4"/>
  <x:c r="E481" i="4"/>
  <x:c r="F481" i="4"/>
  <x:c r="T481" i="4"/>
  <x:c r="A482" i="4"/>
  <x:c r="E482" i="4"/>
  <x:c r="F482" i="4"/>
  <x:c r="T482" i="4"/>
  <x:c r="A483" i="4"/>
  <x:c r="E483" i="4"/>
  <x:c r="F483" i="4"/>
  <x:c r="T483" i="4"/>
  <x:c r="A484" i="4"/>
  <x:c r="E484" i="4"/>
  <x:c r="F484" i="4"/>
  <x:c r="T484" i="4"/>
  <x:c r="A485" i="4"/>
  <x:c r="E485" i="4"/>
  <x:c r="F485" i="4"/>
  <x:c r="T485" i="4"/>
  <x:c r="A486" i="4"/>
  <x:c r="E486" i="4"/>
  <x:c r="F486" i="4"/>
  <x:c r="T486" i="4"/>
  <x:c r="A487" i="4"/>
  <x:c r="E487" i="4"/>
  <x:c r="F487" i="4"/>
  <x:c r="T487" i="4"/>
  <x:c r="A488" i="4"/>
  <x:c r="E488" i="4"/>
  <x:c r="F488" i="4"/>
  <x:c r="T488" i="4"/>
  <x:c r="A489" i="4"/>
  <x:c r="E489" i="4"/>
  <x:c r="F489" i="4"/>
  <x:c r="T489" i="4"/>
  <x:c r="A490" i="4"/>
  <x:c r="E490" i="4"/>
  <x:c r="F490" i="4"/>
  <x:c r="T490" i="4"/>
  <x:c r="A491" i="4"/>
  <x:c r="E491" i="4"/>
  <x:c r="F491" i="4"/>
  <x:c r="T491" i="4"/>
  <x:c r="A492" i="4"/>
  <x:c r="E492" i="4"/>
  <x:c r="F492" i="4"/>
  <x:c r="T492" i="4"/>
  <x:c r="A493" i="4"/>
  <x:c r="E493" i="4"/>
  <x:c r="F493" i="4"/>
  <x:c r="T493" i="4"/>
  <x:c r="A494" i="4"/>
  <x:c r="E494" i="4"/>
  <x:c r="F494" i="4"/>
  <x:c r="T494" i="4"/>
  <x:c r="A495" i="4"/>
  <x:c r="E495" i="4"/>
  <x:c r="F495" i="4"/>
  <x:c r="T495" i="4"/>
  <x:c r="A496" i="4"/>
  <x:c r="E496" i="4"/>
  <x:c r="F496" i="4"/>
  <x:c r="T496" i="4"/>
  <x:c r="A497" i="4"/>
  <x:c r="E497" i="4"/>
  <x:c r="F497" i="4"/>
  <x:c r="T497" i="4"/>
  <x:c r="A498" i="4"/>
  <x:c r="E498" i="4"/>
  <x:c r="F498" i="4"/>
  <x:c r="T498" i="4"/>
  <x:c r="A499" i="4"/>
  <x:c r="E499" i="4"/>
  <x:c r="F499" i="4"/>
  <x:c r="T499" i="4"/>
  <x:c r="A500" i="4"/>
  <x:c r="E500" i="4"/>
  <x:c r="F500" i="4"/>
  <x:c r="T500" i="4"/>
  <x:c r="A501" i="4"/>
  <x:c r="E501" i="4"/>
  <x:c r="F501" i="4"/>
  <x:c r="T501" i="4"/>
  <x:c r="A502" i="4"/>
  <x:c r="E502" i="4"/>
  <x:c r="F502" i="4"/>
  <x:c r="T502" i="4"/>
  <x:c r="A503" i="4"/>
  <x:c r="E503" i="4"/>
  <x:c r="F503" i="4"/>
  <x:c r="T503" i="4"/>
  <x:c r="A504" i="4"/>
  <x:c r="E504" i="4"/>
  <x:c r="F504" i="4"/>
  <x:c r="T504" i="4"/>
  <x:c r="A505" i="4"/>
  <x:c r="E505" i="4"/>
  <x:c r="F505" i="4"/>
  <x:c r="T505" i="4"/>
  <x:c r="A506" i="4"/>
  <x:c r="E506" i="4"/>
  <x:c r="F506" i="4"/>
  <x:c r="T506" i="4"/>
  <x:c r="A507" i="4"/>
  <x:c r="E507" i="4"/>
  <x:c r="F507" i="4"/>
  <x:c r="T507" i="4"/>
  <x:c r="A508" i="4"/>
  <x:c r="E508" i="4"/>
  <x:c r="F508" i="4"/>
  <x:c r="T508" i="4"/>
  <x:c r="A509" i="4"/>
  <x:c r="E509" i="4"/>
  <x:c r="F509" i="4"/>
  <x:c r="T509" i="4"/>
  <x:c r="A510" i="4"/>
  <x:c r="E510" i="4"/>
  <x:c r="F510" i="4"/>
  <x:c r="T510" i="4"/>
  <x:c r="A511" i="4"/>
  <x:c r="E511" i="4"/>
  <x:c r="F511" i="4"/>
  <x:c r="T511" i="4"/>
  <x:c r="A512" i="4"/>
  <x:c r="E512" i="4"/>
  <x:c r="F512" i="4"/>
  <x:c r="T512" i="4"/>
  <x:c r="A513" i="4"/>
  <x:c r="E513" i="4"/>
  <x:c r="F513" i="4"/>
  <x:c r="T513" i="4"/>
  <x:c r="A514" i="4"/>
  <x:c r="E514" i="4"/>
  <x:c r="F514" i="4"/>
  <x:c r="T514" i="4"/>
  <x:c r="A515" i="4"/>
  <x:c r="E515" i="4"/>
  <x:c r="F515" i="4"/>
  <x:c r="T515" i="4"/>
  <x:c r="A516" i="4"/>
  <x:c r="E516" i="4"/>
  <x:c r="F516" i="4"/>
  <x:c r="T516" i="4"/>
  <x:c r="A517" i="4"/>
  <x:c r="E517" i="4"/>
  <x:c r="F517" i="4"/>
  <x:c r="T517" i="4"/>
  <x:c r="A518" i="4"/>
  <x:c r="E518" i="4"/>
  <x:c r="F518" i="4"/>
  <x:c r="T518" i="4"/>
  <x:c r="A519" i="4"/>
  <x:c r="E519" i="4"/>
  <x:c r="F519" i="4"/>
  <x:c r="T519" i="4"/>
  <x:c r="A520" i="4"/>
  <x:c r="E520" i="4"/>
  <x:c r="F520" i="4"/>
  <x:c r="T520" i="4"/>
  <x:c r="A521" i="4"/>
  <x:c r="E521" i="4"/>
  <x:c r="F521" i="4"/>
  <x:c r="T521" i="4"/>
  <x:c r="A522" i="4"/>
  <x:c r="E522" i="4"/>
  <x:c r="F522" i="4"/>
  <x:c r="T522" i="4"/>
  <x:c r="A523" i="4"/>
  <x:c r="E523" i="4"/>
  <x:c r="F523" i="4"/>
  <x:c r="T523" i="4"/>
  <x:c r="A524" i="4"/>
  <x:c r="E524" i="4"/>
  <x:c r="F524" i="4"/>
  <x:c r="T524" i="4"/>
  <x:c r="A525" i="4"/>
  <x:c r="E525" i="4"/>
  <x:c r="F525" i="4"/>
  <x:c r="T525" i="4"/>
  <x:c r="A526" i="4"/>
  <x:c r="E526" i="4"/>
  <x:c r="F526" i="4"/>
  <x:c r="T526" i="4"/>
  <x:c r="A527" i="4"/>
  <x:c r="E527" i="4"/>
  <x:c r="F527" i="4"/>
  <x:c r="T527" i="4"/>
  <x:c r="A528" i="4"/>
  <x:c r="E528" i="4"/>
  <x:c r="F528" i="4"/>
  <x:c r="T528" i="4"/>
  <x:c r="A529" i="4"/>
  <x:c r="E529" i="4"/>
  <x:c r="F529" i="4"/>
  <x:c r="T529" i="4"/>
  <x:c r="A530" i="4"/>
  <x:c r="E530" i="4"/>
  <x:c r="F530" i="4"/>
  <x:c r="T530" i="4"/>
  <x:c r="A531" i="4"/>
  <x:c r="E531" i="4"/>
  <x:c r="F531" i="4"/>
  <x:c r="T531" i="4"/>
  <x:c r="A532" i="4"/>
  <x:c r="E532" i="4"/>
  <x:c r="F532" i="4"/>
  <x:c r="T532" i="4"/>
  <x:c r="A533" i="4"/>
  <x:c r="E533" i="4"/>
  <x:c r="F533" i="4"/>
  <x:c r="T533" i="4"/>
  <x:c r="A534" i="4"/>
  <x:c r="E534" i="4"/>
  <x:c r="F534" i="4"/>
  <x:c r="T534" i="4"/>
  <x:c r="A535" i="4"/>
  <x:c r="E535" i="4"/>
  <x:c r="F535" i="4"/>
  <x:c r="T535" i="4"/>
  <x:c r="A536" i="4"/>
  <x:c r="E536" i="4"/>
  <x:c r="F536" i="4"/>
  <x:c r="T536" i="4"/>
  <x:c r="A537" i="4"/>
  <x:c r="E537" i="4"/>
  <x:c r="F537" i="4"/>
  <x:c r="T537" i="4"/>
  <x:c r="A538" i="4"/>
  <x:c r="E538" i="4"/>
  <x:c r="F538" i="4"/>
  <x:c r="T538" i="4"/>
  <x:c r="A539" i="4"/>
  <x:c r="E539" i="4"/>
  <x:c r="F539" i="4"/>
  <x:c r="T539" i="4"/>
  <x:c r="A540" i="4"/>
  <x:c r="E540" i="4"/>
  <x:c r="F540" i="4"/>
  <x:c r="T540" i="4"/>
  <x:c r="A541" i="4"/>
  <x:c r="E541" i="4"/>
  <x:c r="F541" i="4"/>
  <x:c r="T541" i="4"/>
  <x:c r="A542" i="4"/>
  <x:c r="E542" i="4"/>
  <x:c r="F542" i="4"/>
  <x:c r="T542" i="4"/>
  <x:c r="A543" i="4"/>
  <x:c r="E543" i="4"/>
  <x:c r="F543" i="4"/>
  <x:c r="T543" i="4"/>
  <x:c r="A544" i="4"/>
  <x:c r="E544" i="4"/>
  <x:c r="F544" i="4"/>
  <x:c r="T544" i="4"/>
  <x:c r="A545" i="4"/>
  <x:c r="E545" i="4"/>
  <x:c r="F545" i="4"/>
  <x:c r="T545" i="4"/>
  <x:c r="A546" i="4"/>
  <x:c r="E546" i="4"/>
  <x:c r="F546" i="4"/>
  <x:c r="T546" i="4"/>
  <x:c r="A547" i="4"/>
  <x:c r="E547" i="4"/>
  <x:c r="F547" i="4"/>
  <x:c r="T547" i="4"/>
  <x:c r="A548" i="4"/>
  <x:c r="E548" i="4"/>
  <x:c r="F548" i="4"/>
  <x:c r="T548" i="4"/>
  <x:c r="A549" i="4"/>
  <x:c r="E549" i="4"/>
  <x:c r="F549" i="4"/>
  <x:c r="T549" i="4"/>
  <x:c r="A550" i="4"/>
  <x:c r="E550" i="4"/>
  <x:c r="F550" i="4"/>
  <x:c r="T550" i="4"/>
  <x:c r="A551" i="4"/>
  <x:c r="E551" i="4"/>
  <x:c r="F551" i="4"/>
  <x:c r="T551" i="4"/>
  <x:c r="A552" i="4"/>
  <x:c r="E552" i="4"/>
  <x:c r="F552" i="4"/>
  <x:c r="T552" i="4"/>
  <x:c r="A553" i="4"/>
  <x:c r="E553" i="4"/>
  <x:c r="F553" i="4"/>
  <x:c r="T553" i="4"/>
  <x:c r="A554" i="4"/>
  <x:c r="E554" i="4"/>
  <x:c r="F554" i="4"/>
  <x:c r="T554" i="4"/>
  <x:c r="A555" i="4"/>
  <x:c r="E555" i="4"/>
  <x:c r="F555" i="4"/>
  <x:c r="T555" i="4"/>
  <x:c r="A556" i="4"/>
  <x:c r="E556" i="4"/>
  <x:c r="F556" i="4"/>
  <x:c r="T556" i="4"/>
  <x:c r="A557" i="4"/>
  <x:c r="E557" i="4"/>
  <x:c r="F557" i="4"/>
  <x:c r="T557" i="4"/>
  <x:c r="A558" i="4"/>
  <x:c r="E558" i="4"/>
  <x:c r="F558" i="4"/>
  <x:c r="T558" i="4"/>
  <x:c r="A559" i="4"/>
  <x:c r="E559" i="4"/>
  <x:c r="F559" i="4"/>
  <x:c r="T559" i="4"/>
  <x:c r="A560" i="4"/>
  <x:c r="E560" i="4"/>
  <x:c r="F560" i="4"/>
  <x:c r="T560" i="4"/>
  <x:c r="A561" i="4"/>
  <x:c r="E561" i="4"/>
  <x:c r="F561" i="4"/>
  <x:c r="T561" i="4"/>
  <x:c r="A562" i="4"/>
  <x:c r="E562" i="4"/>
  <x:c r="F562" i="4"/>
  <x:c r="T562" i="4"/>
  <x:c r="A563" i="4"/>
  <x:c r="E563" i="4"/>
  <x:c r="F563" i="4"/>
  <x:c r="T563" i="4"/>
  <x:c r="A564" i="4"/>
  <x:c r="E564" i="4"/>
  <x:c r="F564" i="4"/>
  <x:c r="T564" i="4"/>
  <x:c r="A565" i="4"/>
  <x:c r="E565" i="4"/>
  <x:c r="F565" i="4"/>
  <x:c r="T565" i="4"/>
  <x:c r="A566" i="4"/>
  <x:c r="E566" i="4"/>
  <x:c r="F566" i="4"/>
  <x:c r="T566" i="4"/>
  <x:c r="A567" i="4"/>
  <x:c r="E567" i="4"/>
  <x:c r="F567" i="4"/>
  <x:c r="T567" i="4"/>
  <x:c r="A568" i="4"/>
  <x:c r="E568" i="4"/>
  <x:c r="F568" i="4"/>
  <x:c r="T568" i="4"/>
  <x:c r="A569" i="4"/>
  <x:c r="E569" i="4"/>
  <x:c r="F569" i="4"/>
  <x:c r="T569" i="4"/>
  <x:c r="A570" i="4"/>
  <x:c r="E570" i="4"/>
  <x:c r="F570" i="4"/>
  <x:c r="T570" i="4"/>
  <x:c r="A571" i="4"/>
  <x:c r="E571" i="4"/>
  <x:c r="F571" i="4"/>
  <x:c r="T571" i="4"/>
  <x:c r="A572" i="4"/>
  <x:c r="E572" i="4"/>
  <x:c r="F572" i="4"/>
  <x:c r="T572" i="4"/>
  <x:c r="A573" i="4"/>
  <x:c r="E573" i="4"/>
  <x:c r="F573" i="4"/>
  <x:c r="T573" i="4"/>
  <x:c r="A574" i="4"/>
  <x:c r="E574" i="4"/>
  <x:c r="F574" i="4"/>
  <x:c r="T574" i="4"/>
  <x:c r="A575" i="4"/>
  <x:c r="E575" i="4"/>
  <x:c r="F575" i="4"/>
  <x:c r="T575" i="4"/>
  <x:c r="A576" i="4"/>
  <x:c r="E576" i="4"/>
  <x:c r="F576" i="4"/>
  <x:c r="T576" i="4"/>
  <x:c r="A577" i="4"/>
  <x:c r="E577" i="4"/>
  <x:c r="F577" i="4"/>
  <x:c r="T577" i="4"/>
  <x:c r="A578" i="4"/>
  <x:c r="E578" i="4"/>
  <x:c r="F578" i="4"/>
  <x:c r="T578" i="4"/>
  <x:c r="A579" i="4"/>
  <x:c r="E579" i="4"/>
  <x:c r="F579" i="4"/>
  <x:c r="T579" i="4"/>
  <x:c r="A580" i="4"/>
  <x:c r="E580" i="4"/>
  <x:c r="F580" i="4"/>
  <x:c r="T580" i="4"/>
  <x:c r="A581" i="4"/>
  <x:c r="E581" i="4"/>
  <x:c r="F581" i="4"/>
  <x:c r="T581" i="4"/>
  <x:c r="A582" i="4"/>
  <x:c r="E582" i="4"/>
  <x:c r="F582" i="4"/>
  <x:c r="T582" i="4"/>
  <x:c r="A583" i="4"/>
  <x:c r="E583" i="4"/>
  <x:c r="F583" i="4"/>
  <x:c r="T583" i="4"/>
  <x:c r="A584" i="4"/>
  <x:c r="E584" i="4"/>
  <x:c r="F584" i="4"/>
  <x:c r="T584" i="4"/>
  <x:c r="A585" i="4"/>
  <x:c r="E585" i="4"/>
  <x:c r="F585" i="4"/>
  <x:c r="T585" i="4"/>
  <x:c r="A586" i="4"/>
  <x:c r="E586" i="4"/>
  <x:c r="F586" i="4"/>
  <x:c r="T586" i="4"/>
  <x:c r="A587" i="4"/>
  <x:c r="E587" i="4"/>
  <x:c r="F587" i="4"/>
  <x:c r="T587" i="4"/>
  <x:c r="A588" i="4"/>
  <x:c r="E588" i="4"/>
  <x:c r="F588" i="4"/>
  <x:c r="T588" i="4"/>
  <x:c r="A589" i="4"/>
  <x:c r="E589" i="4"/>
  <x:c r="F589" i="4"/>
  <x:c r="T589" i="4"/>
  <x:c r="A590" i="4"/>
  <x:c r="E590" i="4"/>
  <x:c r="F590" i="4"/>
  <x:c r="T590" i="4"/>
  <x:c r="A591" i="4"/>
  <x:c r="E591" i="4"/>
  <x:c r="F591" i="4"/>
  <x:c r="T591" i="4"/>
  <x:c r="A592" i="4"/>
  <x:c r="E592" i="4"/>
  <x:c r="F592" i="4"/>
  <x:c r="T592" i="4"/>
  <x:c r="A593" i="4"/>
  <x:c r="E593" i="4"/>
  <x:c r="F593" i="4"/>
  <x:c r="T593" i="4"/>
  <x:c r="A594" i="4"/>
  <x:c r="E594" i="4"/>
  <x:c r="F594" i="4"/>
  <x:c r="T594" i="4"/>
  <x:c r="A595" i="4"/>
  <x:c r="E595" i="4"/>
  <x:c r="F595" i="4"/>
  <x:c r="T595" i="4"/>
  <x:c r="A596" i="4"/>
  <x:c r="E596" i="4"/>
  <x:c r="F596" i="4"/>
  <x:c r="T596" i="4"/>
  <x:c r="A597" i="4"/>
  <x:c r="E597" i="4"/>
  <x:c r="F597" i="4"/>
  <x:c r="T597" i="4"/>
  <x:c r="A598" i="4"/>
  <x:c r="E598" i="4"/>
  <x:c r="F598" i="4"/>
  <x:c r="T598" i="4"/>
  <x:c r="A599" i="4"/>
  <x:c r="E599" i="4"/>
  <x:c r="F599" i="4"/>
  <x:c r="T599" i="4"/>
  <x:c r="A600" i="4"/>
  <x:c r="E600" i="4"/>
  <x:c r="F600" i="4"/>
  <x:c r="T600" i="4"/>
  <x:c r="A601" i="4"/>
  <x:c r="E601" i="4"/>
  <x:c r="F601" i="4"/>
  <x:c r="T601" i="4"/>
  <x:c r="A602" i="4"/>
  <x:c r="E602" i="4"/>
  <x:c r="F602" i="4"/>
  <x:c r="T602" i="4"/>
  <x:c r="A603" i="4"/>
  <x:c r="E603" i="4"/>
  <x:c r="F603" i="4"/>
  <x:c r="T603" i="4"/>
  <x:c r="A604" i="4"/>
  <x:c r="E604" i="4"/>
  <x:c r="F604" i="4"/>
  <x:c r="T604" i="4"/>
  <x:c r="A605" i="4"/>
  <x:c r="E605" i="4"/>
  <x:c r="F605" i="4"/>
  <x:c r="T605" i="4"/>
  <x:c r="A606" i="4"/>
  <x:c r="E606" i="4"/>
  <x:c r="F606" i="4"/>
  <x:c r="T606" i="4"/>
  <x:c r="A607" i="4"/>
  <x:c r="E607" i="4"/>
  <x:c r="F607" i="4"/>
  <x:c r="T607" i="4"/>
  <x:c r="A608" i="4"/>
  <x:c r="E608" i="4"/>
  <x:c r="F608" i="4"/>
  <x:c r="T608" i="4"/>
  <x:c r="A609" i="4"/>
  <x:c r="E609" i="4"/>
  <x:c r="F609" i="4"/>
  <x:c r="T609" i="4"/>
  <x:c r="A610" i="4"/>
  <x:c r="E610" i="4"/>
  <x:c r="F610" i="4"/>
  <x:c r="T610" i="4"/>
  <x:c r="A611" i="4"/>
  <x:c r="E611" i="4"/>
  <x:c r="F611" i="4"/>
  <x:c r="T611" i="4"/>
  <x:c r="A612" i="4"/>
  <x:c r="E612" i="4"/>
  <x:c r="F612" i="4"/>
  <x:c r="T612" i="4"/>
  <x:c r="A613" i="4"/>
  <x:c r="E613" i="4"/>
  <x:c r="F613" i="4"/>
  <x:c r="T613" i="4"/>
  <x:c r="A614" i="4"/>
  <x:c r="E614" i="4"/>
  <x:c r="F614" i="4"/>
  <x:c r="T614" i="4"/>
  <x:c r="A615" i="4"/>
  <x:c r="E615" i="4"/>
  <x:c r="F615" i="4"/>
  <x:c r="T615" i="4"/>
  <x:c r="A616" i="4"/>
  <x:c r="E616" i="4"/>
  <x:c r="F616" i="4"/>
  <x:c r="T616" i="4"/>
  <x:c r="A617" i="4"/>
  <x:c r="E617" i="4"/>
  <x:c r="F617" i="4"/>
  <x:c r="T617" i="4"/>
  <x:c r="A618" i="4"/>
  <x:c r="E618" i="4"/>
  <x:c r="F618" i="4"/>
  <x:c r="T618" i="4"/>
  <x:c r="A619" i="4"/>
  <x:c r="E619" i="4"/>
  <x:c r="F619" i="4"/>
  <x:c r="T619" i="4"/>
  <x:c r="A620" i="4"/>
  <x:c r="E620" i="4"/>
  <x:c r="F620" i="4"/>
  <x:c r="T620" i="4"/>
  <x:c r="A621" i="4"/>
  <x:c r="E621" i="4"/>
  <x:c r="F621" i="4"/>
  <x:c r="T621" i="4"/>
  <x:c r="A622" i="4"/>
  <x:c r="E622" i="4"/>
  <x:c r="F622" i="4"/>
  <x:c r="T622" i="4"/>
  <x:c r="A623" i="4"/>
  <x:c r="E623" i="4"/>
  <x:c r="F623" i="4"/>
  <x:c r="T623" i="4"/>
  <x:c r="A624" i="4"/>
  <x:c r="E624" i="4"/>
  <x:c r="F624" i="4"/>
  <x:c r="T624" i="4"/>
  <x:c r="A625" i="4"/>
  <x:c r="E625" i="4"/>
  <x:c r="F625" i="4"/>
  <x:c r="T625" i="4"/>
  <x:c r="A626" i="4"/>
  <x:c r="E626" i="4"/>
  <x:c r="F626" i="4"/>
  <x:c r="T626" i="4"/>
  <x:c r="A627" i="4"/>
  <x:c r="E627" i="4"/>
  <x:c r="F627" i="4"/>
  <x:c r="T627" i="4"/>
  <x:c r="A628" i="4"/>
  <x:c r="E628" i="4"/>
  <x:c r="F628" i="4"/>
  <x:c r="T628" i="4"/>
  <x:c r="A629" i="4"/>
  <x:c r="E629" i="4"/>
  <x:c r="F629" i="4"/>
  <x:c r="T629" i="4"/>
  <x:c r="A630" i="4"/>
  <x:c r="E630" i="4"/>
  <x:c r="F630" i="4"/>
  <x:c r="T630" i="4"/>
  <x:c r="A631" i="4"/>
  <x:c r="E631" i="4"/>
  <x:c r="F631" i="4"/>
  <x:c r="T631" i="4"/>
  <x:c r="A632" i="4"/>
  <x:c r="E632" i="4"/>
  <x:c r="F632" i="4"/>
  <x:c r="T632" i="4"/>
  <x:c r="A633" i="4"/>
  <x:c r="E633" i="4"/>
  <x:c r="F633" i="4"/>
  <x:c r="T633" i="4"/>
  <x:c r="A634" i="4"/>
  <x:c r="E634" i="4"/>
  <x:c r="F634" i="4"/>
  <x:c r="T634" i="4"/>
  <x:c r="A635" i="4"/>
  <x:c r="E635" i="4"/>
  <x:c r="F635" i="4"/>
  <x:c r="T635" i="4"/>
  <x:c r="A636" i="4"/>
  <x:c r="E636" i="4"/>
  <x:c r="F636" i="4"/>
  <x:c r="T636" i="4"/>
  <x:c r="A637" i="4"/>
  <x:c r="E637" i="4"/>
  <x:c r="F637" i="4"/>
  <x:c r="T637" i="4"/>
  <x:c r="A638" i="4"/>
  <x:c r="E638" i="4"/>
  <x:c r="F638" i="4"/>
  <x:c r="T638" i="4"/>
  <x:c r="A639" i="4"/>
  <x:c r="E639" i="4"/>
  <x:c r="F639" i="4"/>
  <x:c r="T639" i="4"/>
  <x:c r="A640" i="4"/>
  <x:c r="E640" i="4"/>
  <x:c r="F640" i="4"/>
  <x:c r="T640" i="4"/>
  <x:c r="A641" i="4"/>
  <x:c r="E641" i="4"/>
  <x:c r="F641" i="4"/>
  <x:c r="T641" i="4"/>
  <x:c r="A642" i="4"/>
  <x:c r="E642" i="4"/>
  <x:c r="F642" i="4"/>
  <x:c r="T642" i="4"/>
  <x:c r="A643" i="4"/>
  <x:c r="E643" i="4"/>
  <x:c r="F643" i="4"/>
  <x:c r="T643" i="4"/>
  <x:c r="A644" i="4"/>
  <x:c r="E644" i="4"/>
  <x:c r="F644" i="4"/>
  <x:c r="T644" i="4"/>
  <x:c r="A645" i="4"/>
  <x:c r="E645" i="4"/>
  <x:c r="F645" i="4"/>
  <x:c r="T645" i="4"/>
  <x:c r="A646" i="4"/>
  <x:c r="E646" i="4"/>
  <x:c r="F646" i="4"/>
  <x:c r="T646" i="4"/>
  <x:c r="A647" i="4"/>
  <x:c r="E647" i="4"/>
  <x:c r="F647" i="4"/>
  <x:c r="T647" i="4"/>
  <x:c r="A648" i="4"/>
  <x:c r="E648" i="4"/>
  <x:c r="F648" i="4"/>
  <x:c r="T648" i="4"/>
  <x:c r="A649" i="4"/>
  <x:c r="E649" i="4"/>
  <x:c r="F649" i="4"/>
  <x:c r="T649" i="4"/>
  <x:c r="A650" i="4"/>
  <x:c r="E650" i="4"/>
  <x:c r="F650" i="4"/>
  <x:c r="T650" i="4"/>
  <x:c r="A651" i="4"/>
  <x:c r="E651" i="4"/>
  <x:c r="F651" i="4"/>
  <x:c r="T651" i="4"/>
  <x:c r="A652" i="4"/>
  <x:c r="E652" i="4"/>
  <x:c r="F652" i="4"/>
  <x:c r="T652" i="4"/>
  <x:c r="A653" i="4"/>
  <x:c r="E653" i="4"/>
  <x:c r="F653" i="4"/>
  <x:c r="T653" i="4"/>
  <x:c r="A654" i="4"/>
  <x:c r="E654" i="4"/>
  <x:c r="F654" i="4"/>
  <x:c r="T654" i="4"/>
  <x:c r="A655" i="4"/>
  <x:c r="E655" i="4"/>
  <x:c r="F655" i="4"/>
  <x:c r="T655" i="4"/>
  <x:c r="A656" i="4"/>
  <x:c r="E656" i="4"/>
  <x:c r="F656" i="4"/>
  <x:c r="T656" i="4"/>
  <x:c r="A657" i="4"/>
  <x:c r="E657" i="4"/>
  <x:c r="F657" i="4"/>
  <x:c r="T657" i="4"/>
  <x:c r="A658" i="4"/>
  <x:c r="E658" i="4"/>
  <x:c r="F658" i="4"/>
  <x:c r="T658" i="4"/>
  <x:c r="A659" i="4"/>
  <x:c r="E659" i="4"/>
  <x:c r="F659" i="4"/>
  <x:c r="T659" i="4"/>
  <x:c r="A660" i="4"/>
  <x:c r="E660" i="4"/>
  <x:c r="F660" i="4"/>
  <x:c r="T660" i="4"/>
  <x:c r="A661" i="4"/>
  <x:c r="E661" i="4"/>
  <x:c r="F661" i="4"/>
  <x:c r="T661" i="4"/>
  <x:c r="A662" i="4"/>
  <x:c r="E662" i="4"/>
  <x:c r="F662" i="4"/>
  <x:c r="T662" i="4"/>
  <x:c r="A663" i="4"/>
  <x:c r="E663" i="4"/>
  <x:c r="F663" i="4"/>
  <x:c r="T663" i="4"/>
  <x:c r="A664" i="4"/>
  <x:c r="E664" i="4"/>
  <x:c r="F664" i="4"/>
  <x:c r="T664" i="4"/>
  <x:c r="A665" i="4"/>
  <x:c r="E665" i="4"/>
  <x:c r="F665" i="4"/>
  <x:c r="T665" i="4"/>
  <x:c r="A666" i="4"/>
  <x:c r="E666" i="4"/>
  <x:c r="F666" i="4"/>
  <x:c r="T666" i="4"/>
  <x:c r="A667" i="4"/>
  <x:c r="E667" i="4"/>
  <x:c r="F667" i="4"/>
  <x:c r="T667" i="4"/>
  <x:c r="A668" i="4"/>
  <x:c r="E668" i="4"/>
  <x:c r="F668" i="4"/>
  <x:c r="T668" i="4"/>
  <x:c r="A669" i="4"/>
  <x:c r="E669" i="4"/>
  <x:c r="F669" i="4"/>
  <x:c r="T669" i="4"/>
  <x:c r="A670" i="4"/>
  <x:c r="E670" i="4"/>
  <x:c r="F670" i="4"/>
  <x:c r="T670" i="4"/>
  <x:c r="A671" i="4"/>
  <x:c r="E671" i="4"/>
  <x:c r="F671" i="4"/>
  <x:c r="T671" i="4"/>
  <x:c r="A672" i="4"/>
  <x:c r="E672" i="4"/>
  <x:c r="F672" i="4"/>
  <x:c r="T672" i="4"/>
  <x:c r="A673" i="4"/>
  <x:c r="E673" i="4"/>
  <x:c r="F673" i="4"/>
  <x:c r="T673" i="4"/>
  <x:c r="A674" i="4"/>
  <x:c r="E674" i="4"/>
  <x:c r="F674" i="4"/>
  <x:c r="T674" i="4"/>
  <x:c r="A675" i="4"/>
  <x:c r="E675" i="4"/>
  <x:c r="F675" i="4"/>
  <x:c r="T675" i="4"/>
  <x:c r="A676" i="4"/>
  <x:c r="E676" i="4"/>
  <x:c r="F676" i="4"/>
  <x:c r="T676" i="4"/>
  <x:c r="A677" i="4"/>
  <x:c r="E677" i="4"/>
  <x:c r="F677" i="4"/>
  <x:c r="T677" i="4"/>
  <x:c r="A678" i="4"/>
  <x:c r="E678" i="4"/>
  <x:c r="F678" i="4"/>
  <x:c r="T678" i="4"/>
  <x:c r="A679" i="4"/>
  <x:c r="E679" i="4"/>
  <x:c r="F679" i="4"/>
  <x:c r="T679" i="4"/>
  <x:c r="A680" i="4"/>
  <x:c r="E680" i="4"/>
  <x:c r="F680" i="4"/>
  <x:c r="T680" i="4"/>
  <x:c r="A681" i="4"/>
  <x:c r="E681" i="4"/>
  <x:c r="F681" i="4"/>
  <x:c r="T681" i="4"/>
  <x:c r="A682" i="4"/>
  <x:c r="E682" i="4"/>
  <x:c r="F682" i="4"/>
  <x:c r="T682" i="4"/>
  <x:c r="A683" i="4"/>
  <x:c r="E683" i="4"/>
  <x:c r="F683" i="4"/>
  <x:c r="T683" i="4"/>
  <x:c r="A684" i="4"/>
  <x:c r="E684" i="4"/>
  <x:c r="F684" i="4"/>
  <x:c r="T684" i="4"/>
  <x:c r="A685" i="4"/>
  <x:c r="E685" i="4"/>
  <x:c r="F685" i="4"/>
  <x:c r="T685" i="4"/>
  <x:c r="A686" i="4"/>
  <x:c r="E686" i="4"/>
  <x:c r="F686" i="4"/>
  <x:c r="T686" i="4"/>
  <x:c r="A687" i="4"/>
  <x:c r="E687" i="4"/>
  <x:c r="F687" i="4"/>
  <x:c r="T687" i="4"/>
  <x:c r="A688" i="4"/>
  <x:c r="E688" i="4"/>
  <x:c r="F688" i="4"/>
  <x:c r="T688" i="4"/>
  <x:c r="A689" i="4"/>
  <x:c r="E689" i="4"/>
  <x:c r="F689" i="4"/>
  <x:c r="T689" i="4"/>
  <x:c r="A690" i="4"/>
  <x:c r="E690" i="4"/>
  <x:c r="F690" i="4"/>
  <x:c r="T690" i="4"/>
  <x:c r="A691" i="4"/>
  <x:c r="E691" i="4"/>
  <x:c r="F691" i="4"/>
  <x:c r="T691" i="4"/>
  <x:c r="A692" i="4"/>
  <x:c r="E692" i="4"/>
  <x:c r="F692" i="4"/>
  <x:c r="T692" i="4"/>
  <x:c r="A693" i="4"/>
  <x:c r="E693" i="4"/>
  <x:c r="F693" i="4"/>
  <x:c r="T693" i="4"/>
  <x:c r="A694" i="4"/>
  <x:c r="E694" i="4"/>
  <x:c r="F694" i="4"/>
  <x:c r="T694" i="4"/>
  <x:c r="A695" i="4"/>
  <x:c r="E695" i="4"/>
  <x:c r="F695" i="4"/>
  <x:c r="T695" i="4"/>
  <x:c r="A696" i="4"/>
  <x:c r="E696" i="4"/>
  <x:c r="F696" i="4"/>
  <x:c r="T696" i="4"/>
  <x:c r="A697" i="4"/>
  <x:c r="E697" i="4"/>
  <x:c r="F697" i="4"/>
  <x:c r="T697" i="4"/>
  <x:c r="A698" i="4"/>
  <x:c r="E698" i="4"/>
  <x:c r="F698" i="4"/>
  <x:c r="T698" i="4"/>
  <x:c r="A699" i="4"/>
  <x:c r="E699" i="4"/>
  <x:c r="F699" i="4"/>
  <x:c r="T699" i="4"/>
  <x:c r="A700" i="4"/>
  <x:c r="E700" i="4"/>
  <x:c r="F700" i="4"/>
  <x:c r="T700" i="4"/>
  <x:c r="A701" i="4"/>
  <x:c r="E701" i="4"/>
  <x:c r="F701" i="4"/>
  <x:c r="T701" i="4"/>
  <x:c r="A702" i="4"/>
  <x:c r="E702" i="4"/>
  <x:c r="F702" i="4"/>
  <x:c r="T702" i="4"/>
  <x:c r="A703" i="4"/>
  <x:c r="E703" i="4"/>
  <x:c r="F703" i="4"/>
  <x:c r="T703" i="4"/>
  <x:c r="A704" i="4"/>
  <x:c r="E704" i="4"/>
  <x:c r="F704" i="4"/>
  <x:c r="T704" i="4"/>
  <x:c r="A705" i="4"/>
  <x:c r="E705" i="4"/>
  <x:c r="F705" i="4"/>
  <x:c r="T705" i="4"/>
  <x:c r="A706" i="4"/>
  <x:c r="E706" i="4"/>
  <x:c r="F706" i="4"/>
  <x:c r="T706" i="4"/>
  <x:c r="A707" i="4"/>
  <x:c r="E707" i="4"/>
  <x:c r="F707" i="4"/>
  <x:c r="T707" i="4"/>
  <x:c r="A708" i="4"/>
  <x:c r="E708" i="4"/>
  <x:c r="F708" i="4"/>
  <x:c r="T708" i="4"/>
  <x:c r="A709" i="4"/>
  <x:c r="E709" i="4"/>
  <x:c r="F709" i="4"/>
  <x:c r="T709" i="4"/>
  <x:c r="A710" i="4"/>
  <x:c r="E710" i="4"/>
  <x:c r="F710" i="4"/>
  <x:c r="T710" i="4"/>
  <x:c r="A711" i="4"/>
  <x:c r="E711" i="4"/>
  <x:c r="F711" i="4"/>
  <x:c r="T711" i="4"/>
  <x:c r="A712" i="4"/>
  <x:c r="E712" i="4"/>
  <x:c r="F712" i="4"/>
  <x:c r="T712" i="4"/>
  <x:c r="A713" i="4"/>
  <x:c r="E713" i="4"/>
  <x:c r="F713" i="4"/>
  <x:c r="T713" i="4"/>
  <x:c r="A714" i="4"/>
  <x:c r="E714" i="4"/>
  <x:c r="F714" i="4"/>
  <x:c r="T714" i="4"/>
  <x:c r="A715" i="4"/>
  <x:c r="E715" i="4"/>
  <x:c r="F715" i="4"/>
  <x:c r="T715" i="4"/>
  <x:c r="A716" i="4"/>
  <x:c r="E716" i="4"/>
  <x:c r="F716" i="4"/>
  <x:c r="T716" i="4"/>
  <x:c r="A717" i="4"/>
  <x:c r="E717" i="4"/>
  <x:c r="F717" i="4"/>
  <x:c r="T717" i="4"/>
  <x:c r="A718" i="4"/>
  <x:c r="E718" i="4"/>
  <x:c r="F718" i="4"/>
  <x:c r="T718" i="4"/>
  <x:c r="A719" i="4"/>
  <x:c r="E719" i="4"/>
  <x:c r="F719" i="4"/>
  <x:c r="T719" i="4"/>
  <x:c r="A720" i="4"/>
  <x:c r="E720" i="4"/>
  <x:c r="F720" i="4"/>
  <x:c r="T720" i="4"/>
  <x:c r="A721" i="4"/>
  <x:c r="E721" i="4"/>
  <x:c r="F721" i="4"/>
  <x:c r="T721" i="4"/>
  <x:c r="A722" i="4"/>
  <x:c r="E722" i="4"/>
  <x:c r="F722" i="4"/>
  <x:c r="T722" i="4"/>
  <x:c r="A723" i="4"/>
  <x:c r="E723" i="4"/>
  <x:c r="F723" i="4"/>
  <x:c r="T723" i="4"/>
  <x:c r="A724" i="4"/>
  <x:c r="E724" i="4"/>
  <x:c r="F724" i="4"/>
  <x:c r="T724" i="4"/>
  <x:c r="A725" i="4"/>
  <x:c r="E725" i="4"/>
  <x:c r="F725" i="4"/>
  <x:c r="T725" i="4"/>
  <x:c r="A726" i="4"/>
  <x:c r="E726" i="4"/>
  <x:c r="F726" i="4"/>
  <x:c r="T726" i="4"/>
  <x:c r="A727" i="4"/>
  <x:c r="E727" i="4"/>
  <x:c r="F727" i="4"/>
  <x:c r="T727" i="4"/>
  <x:c r="A728" i="4"/>
  <x:c r="E728" i="4"/>
  <x:c r="F728" i="4"/>
  <x:c r="T728" i="4"/>
  <x:c r="A729" i="4"/>
  <x:c r="E729" i="4"/>
  <x:c r="F729" i="4"/>
  <x:c r="T729" i="4"/>
  <x:c r="A730" i="4"/>
  <x:c r="E730" i="4"/>
  <x:c r="F730" i="4"/>
  <x:c r="T730" i="4"/>
  <x:c r="A731" i="4"/>
  <x:c r="E731" i="4"/>
  <x:c r="F731" i="4"/>
  <x:c r="T731" i="4"/>
  <x:c r="A732" i="4"/>
  <x:c r="E732" i="4"/>
  <x:c r="F732" i="4"/>
  <x:c r="T732" i="4"/>
  <x:c r="A733" i="4"/>
  <x:c r="E733" i="4"/>
  <x:c r="F733" i="4"/>
  <x:c r="T733" i="4"/>
  <x:c r="A734" i="4"/>
  <x:c r="E734" i="4"/>
  <x:c r="F734" i="4"/>
  <x:c r="T734" i="4"/>
  <x:c r="A735" i="4"/>
  <x:c r="E735" i="4"/>
  <x:c r="F735" i="4"/>
  <x:c r="T735" i="4"/>
  <x:c r="A736" i="4"/>
  <x:c r="E736" i="4"/>
  <x:c r="F736" i="4"/>
  <x:c r="T736" i="4"/>
  <x:c r="A737" i="4"/>
  <x:c r="E737" i="4"/>
  <x:c r="F737" i="4"/>
  <x:c r="T737" i="4"/>
  <x:c r="A738" i="4"/>
  <x:c r="E738" i="4"/>
  <x:c r="F738" i="4"/>
  <x:c r="T738" i="4"/>
  <x:c r="A739" i="4"/>
  <x:c r="E739" i="4"/>
  <x:c r="F739" i="4"/>
  <x:c r="T739" i="4"/>
  <x:c r="A740" i="4"/>
  <x:c r="E740" i="4"/>
  <x:c r="F740" i="4"/>
  <x:c r="T740" i="4"/>
  <x:c r="A741" i="4"/>
  <x:c r="E741" i="4"/>
  <x:c r="F741" i="4"/>
  <x:c r="T741" i="4"/>
  <x:c r="A742" i="4"/>
  <x:c r="E742" i="4"/>
  <x:c r="F742" i="4"/>
  <x:c r="T742" i="4"/>
  <x:c r="A743" i="4"/>
  <x:c r="E743" i="4"/>
  <x:c r="F743" i="4"/>
  <x:c r="T743" i="4"/>
  <x:c r="A744" i="4"/>
  <x:c r="E744" i="4"/>
  <x:c r="F744" i="4"/>
  <x:c r="T744" i="4"/>
  <x:c r="A745" i="4"/>
  <x:c r="E745" i="4"/>
  <x:c r="F745" i="4"/>
  <x:c r="T745" i="4"/>
  <x:c r="A746" i="4"/>
  <x:c r="E746" i="4"/>
  <x:c r="F746" i="4"/>
  <x:c r="T746" i="4"/>
  <x:c r="A747" i="4"/>
  <x:c r="E747" i="4"/>
  <x:c r="F747" i="4"/>
  <x:c r="T747" i="4"/>
  <x:c r="A748" i="4"/>
  <x:c r="E748" i="4"/>
  <x:c r="F748" i="4"/>
  <x:c r="T748" i="4"/>
  <x:c r="A749" i="4"/>
  <x:c r="E749" i="4"/>
  <x:c r="F749" i="4"/>
  <x:c r="T749" i="4"/>
  <x:c r="A750" i="4"/>
  <x:c r="E750" i="4"/>
  <x:c r="F750" i="4"/>
  <x:c r="T750" i="4"/>
  <x:c r="A751" i="4"/>
  <x:c r="E751" i="4"/>
  <x:c r="F751" i="4"/>
  <x:c r="T751" i="4"/>
  <x:c r="A752" i="4"/>
  <x:c r="E752" i="4"/>
  <x:c r="F752" i="4"/>
  <x:c r="T752" i="4"/>
  <x:c r="A753" i="4"/>
  <x:c r="E753" i="4"/>
  <x:c r="F753" i="4"/>
  <x:c r="T753" i="4"/>
  <x:c r="A754" i="4"/>
  <x:c r="E754" i="4"/>
  <x:c r="F754" i="4"/>
  <x:c r="T754" i="4"/>
  <x:c r="A755" i="4"/>
  <x:c r="E755" i="4"/>
  <x:c r="F755" i="4"/>
  <x:c r="T755" i="4"/>
  <x:c r="A756" i="4"/>
  <x:c r="E756" i="4"/>
  <x:c r="F756" i="4"/>
  <x:c r="T756" i="4"/>
  <x:c r="A757" i="4"/>
  <x:c r="E757" i="4"/>
  <x:c r="F757" i="4"/>
  <x:c r="T757" i="4"/>
  <x:c r="A758" i="4"/>
  <x:c r="E758" i="4"/>
  <x:c r="F758" i="4"/>
  <x:c r="T758" i="4"/>
  <x:c r="A759" i="4"/>
  <x:c r="E759" i="4"/>
  <x:c r="F759" i="4"/>
  <x:c r="T759" i="4"/>
  <x:c r="A760" i="4"/>
  <x:c r="E760" i="4"/>
  <x:c r="F760" i="4"/>
  <x:c r="T760" i="4"/>
  <x:c r="A761" i="4"/>
  <x:c r="E761" i="4"/>
  <x:c r="F761" i="4"/>
  <x:c r="T761" i="4"/>
  <x:c r="A762" i="4"/>
  <x:c r="E762" i="4"/>
  <x:c r="F762" i="4"/>
  <x:c r="T762" i="4"/>
  <x:c r="A763" i="4"/>
  <x:c r="E763" i="4"/>
  <x:c r="F763" i="4"/>
  <x:c r="T763" i="4"/>
  <x:c r="A764" i="4"/>
  <x:c r="E764" i="4"/>
  <x:c r="F764" i="4"/>
  <x:c r="T764" i="4"/>
  <x:c r="A765" i="4"/>
  <x:c r="E765" i="4"/>
  <x:c r="F765" i="4"/>
  <x:c r="T765" i="4"/>
  <x:c r="A766" i="4"/>
  <x:c r="E766" i="4"/>
  <x:c r="F766" i="4"/>
  <x:c r="T766" i="4"/>
  <x:c r="A767" i="4"/>
  <x:c r="E767" i="4"/>
  <x:c r="F767" i="4"/>
  <x:c r="T767" i="4"/>
  <x:c r="A768" i="4"/>
  <x:c r="E768" i="4"/>
  <x:c r="F768" i="4"/>
  <x:c r="T768" i="4"/>
  <x:c r="A769" i="4"/>
  <x:c r="E769" i="4"/>
  <x:c r="F769" i="4"/>
  <x:c r="T769" i="4"/>
  <x:c r="A770" i="4"/>
  <x:c r="E770" i="4"/>
  <x:c r="F770" i="4"/>
  <x:c r="T770" i="4"/>
  <x:c r="A771" i="4"/>
  <x:c r="E771" i="4"/>
  <x:c r="F771" i="4"/>
  <x:c r="T771" i="4"/>
  <x:c r="A772" i="4"/>
  <x:c r="E772" i="4"/>
  <x:c r="F772" i="4"/>
  <x:c r="T772" i="4"/>
  <x:c r="A773" i="4"/>
  <x:c r="E773" i="4"/>
  <x:c r="F773" i="4"/>
  <x:c r="T773" i="4"/>
  <x:c r="A774" i="4"/>
  <x:c r="E774" i="4"/>
  <x:c r="F774" i="4"/>
  <x:c r="T774" i="4"/>
  <x:c r="A775" i="4"/>
  <x:c r="E775" i="4"/>
  <x:c r="F775" i="4"/>
  <x:c r="T775" i="4"/>
  <x:c r="A776" i="4"/>
  <x:c r="E776" i="4"/>
  <x:c r="F776" i="4"/>
  <x:c r="T776" i="4"/>
  <x:c r="A777" i="4"/>
  <x:c r="E777" i="4"/>
  <x:c r="F777" i="4"/>
  <x:c r="T777" i="4"/>
  <x:c r="A778" i="4"/>
  <x:c r="E778" i="4"/>
  <x:c r="F778" i="4"/>
  <x:c r="T778" i="4"/>
  <x:c r="A779" i="4"/>
  <x:c r="E779" i="4"/>
  <x:c r="F779" i="4"/>
  <x:c r="T779" i="4"/>
  <x:c r="A780" i="4"/>
  <x:c r="E780" i="4"/>
  <x:c r="F780" i="4"/>
  <x:c r="T780" i="4"/>
  <x:c r="A781" i="4"/>
  <x:c r="E781" i="4"/>
  <x:c r="F781" i="4"/>
  <x:c r="T781" i="4"/>
  <x:c r="A782" i="4"/>
  <x:c r="E782" i="4"/>
  <x:c r="F782" i="4"/>
  <x:c r="T782" i="4"/>
  <x:c r="A783" i="4"/>
  <x:c r="E783" i="4"/>
  <x:c r="F783" i="4"/>
  <x:c r="T783" i="4"/>
  <x:c r="A784" i="4"/>
  <x:c r="E784" i="4"/>
  <x:c r="F784" i="4"/>
  <x:c r="T784" i="4"/>
  <x:c r="A785" i="4"/>
  <x:c r="E785" i="4"/>
  <x:c r="F785" i="4"/>
  <x:c r="T785" i="4"/>
  <x:c r="A786" i="4"/>
  <x:c r="E786" i="4"/>
  <x:c r="F786" i="4"/>
  <x:c r="T786" i="4"/>
  <x:c r="A787" i="4"/>
  <x:c r="E787" i="4"/>
  <x:c r="F787" i="4"/>
  <x:c r="T787" i="4"/>
  <x:c r="A788" i="4"/>
  <x:c r="E788" i="4"/>
  <x:c r="F788" i="4"/>
  <x:c r="T788" i="4"/>
  <x:c r="A789" i="4"/>
  <x:c r="E789" i="4"/>
  <x:c r="F789" i="4"/>
  <x:c r="T789" i="4"/>
  <x:c r="A790" i="4"/>
  <x:c r="E790" i="4"/>
  <x:c r="F790" i="4"/>
  <x:c r="T790" i="4"/>
  <x:c r="A791" i="4"/>
  <x:c r="E791" i="4"/>
  <x:c r="F791" i="4"/>
  <x:c r="T791" i="4"/>
  <x:c r="A792" i="4"/>
  <x:c r="E792" i="4"/>
  <x:c r="F792" i="4"/>
  <x:c r="T792" i="4"/>
  <x:c r="A793" i="4"/>
  <x:c r="E793" i="4"/>
  <x:c r="F793" i="4"/>
  <x:c r="T793" i="4"/>
  <x:c r="A794" i="4"/>
  <x:c r="E794" i="4"/>
  <x:c r="F794" i="4"/>
  <x:c r="T794" i="4"/>
  <x:c r="A795" i="4"/>
  <x:c r="E795" i="4"/>
  <x:c r="F795" i="4"/>
  <x:c r="T795" i="4"/>
  <x:c r="A796" i="4"/>
  <x:c r="E796" i="4"/>
  <x:c r="F796" i="4"/>
  <x:c r="T796" i="4"/>
  <x:c r="A797" i="4"/>
  <x:c r="E797" i="4"/>
  <x:c r="F797" i="4"/>
  <x:c r="T797" i="4"/>
  <x:c r="A798" i="4"/>
  <x:c r="E798" i="4"/>
  <x:c r="F798" i="4"/>
  <x:c r="T798" i="4"/>
  <x:c r="A799" i="4"/>
  <x:c r="E799" i="4"/>
  <x:c r="F799" i="4"/>
  <x:c r="T799" i="4"/>
  <x:c r="A800" i="4"/>
  <x:c r="E800" i="4"/>
  <x:c r="F800" i="4"/>
  <x:c r="T800" i="4"/>
  <x:c r="A801" i="4"/>
  <x:c r="E801" i="4"/>
  <x:c r="F801" i="4"/>
  <x:c r="T801" i="4"/>
  <x:c r="A802" i="4"/>
  <x:c r="E802" i="4"/>
  <x:c r="F802" i="4"/>
  <x:c r="T802" i="4"/>
  <x:c r="A803" i="4"/>
  <x:c r="E803" i="4"/>
  <x:c r="F803" i="4"/>
  <x:c r="T803" i="4"/>
  <x:c r="A804" i="4"/>
  <x:c r="E804" i="4"/>
  <x:c r="F804" i="4"/>
  <x:c r="T804" i="4"/>
  <x:c r="A805" i="4"/>
  <x:c r="E805" i="4"/>
  <x:c r="F805" i="4"/>
  <x:c r="T805" i="4"/>
  <x:c r="A806" i="4"/>
  <x:c r="E806" i="4"/>
  <x:c r="F806" i="4"/>
  <x:c r="T806" i="4"/>
  <x:c r="A807" i="4"/>
  <x:c r="E807" i="4"/>
  <x:c r="F807" i="4"/>
  <x:c r="T807" i="4"/>
  <x:c r="A808" i="4"/>
  <x:c r="E808" i="4"/>
  <x:c r="F808" i="4"/>
  <x:c r="T808" i="4"/>
  <x:c r="A809" i="4"/>
  <x:c r="E809" i="4"/>
  <x:c r="F809" i="4"/>
  <x:c r="T809" i="4"/>
  <x:c r="A810" i="4"/>
  <x:c r="E810" i="4"/>
  <x:c r="F810" i="4"/>
  <x:c r="T810" i="4"/>
  <x:c r="A811" i="4"/>
  <x:c r="E811" i="4"/>
  <x:c r="F811" i="4"/>
  <x:c r="T811" i="4"/>
  <x:c r="A812" i="4"/>
  <x:c r="E812" i="4"/>
  <x:c r="F812" i="4"/>
  <x:c r="T812" i="4"/>
  <x:c r="A813" i="4"/>
  <x:c r="E813" i="4"/>
  <x:c r="F813" i="4"/>
  <x:c r="T813" i="4"/>
  <x:c r="A814" i="4"/>
  <x:c r="E814" i="4"/>
  <x:c r="F814" i="4"/>
  <x:c r="T814" i="4"/>
  <x:c r="A815" i="4"/>
  <x:c r="E815" i="4"/>
  <x:c r="F815" i="4"/>
  <x:c r="T815" i="4"/>
  <x:c r="A816" i="4"/>
  <x:c r="E816" i="4"/>
  <x:c r="F816" i="4"/>
  <x:c r="T816" i="4"/>
  <x:c r="A817" i="4"/>
  <x:c r="E817" i="4"/>
  <x:c r="F817" i="4"/>
  <x:c r="T817" i="4"/>
  <x:c r="A818" i="4"/>
  <x:c r="E818" i="4"/>
  <x:c r="F818" i="4"/>
  <x:c r="T818" i="4"/>
  <x:c r="A819" i="4"/>
  <x:c r="E819" i="4"/>
  <x:c r="F819" i="4"/>
  <x:c r="T819" i="4"/>
  <x:c r="A820" i="4"/>
  <x:c r="E820" i="4"/>
  <x:c r="F820" i="4"/>
  <x:c r="T820" i="4"/>
  <x:c r="A821" i="4"/>
  <x:c r="E821" i="4"/>
  <x:c r="F821" i="4"/>
  <x:c r="T821" i="4"/>
  <x:c r="A822" i="4"/>
  <x:c r="E822" i="4"/>
  <x:c r="F822" i="4"/>
  <x:c r="T822" i="4"/>
  <x:c r="A823" i="4"/>
  <x:c r="E823" i="4"/>
  <x:c r="F823" i="4"/>
  <x:c r="T823" i="4"/>
  <x:c r="A824" i="4"/>
  <x:c r="E824" i="4"/>
  <x:c r="F824" i="4"/>
  <x:c r="T824" i="4"/>
  <x:c r="A825" i="4"/>
  <x:c r="E825" i="4"/>
  <x:c r="F825" i="4"/>
  <x:c r="T825" i="4"/>
  <x:c r="A826" i="4"/>
  <x:c r="E826" i="4"/>
  <x:c r="F826" i="4"/>
  <x:c r="T826" i="4"/>
  <x:c r="A827" i="4"/>
  <x:c r="E827" i="4"/>
  <x:c r="F827" i="4"/>
  <x:c r="T827" i="4"/>
  <x:c r="A828" i="4"/>
  <x:c r="E828" i="4"/>
  <x:c r="F828" i="4"/>
  <x:c r="T828" i="4"/>
  <x:c r="A829" i="4"/>
  <x:c r="E829" i="4"/>
  <x:c r="F829" i="4"/>
  <x:c r="T829" i="4"/>
  <x:c r="A830" i="4"/>
  <x:c r="E830" i="4"/>
  <x:c r="F830" i="4"/>
  <x:c r="T830" i="4"/>
  <x:c r="A831" i="4"/>
  <x:c r="E831" i="4"/>
  <x:c r="F831" i="4"/>
  <x:c r="T831" i="4"/>
  <x:c r="A832" i="4"/>
  <x:c r="E832" i="4"/>
  <x:c r="F832" i="4"/>
  <x:c r="T832" i="4"/>
  <x:c r="A833" i="4"/>
  <x:c r="E833" i="4"/>
  <x:c r="F833" i="4"/>
  <x:c r="T833" i="4"/>
  <x:c r="A834" i="4"/>
  <x:c r="E834" i="4"/>
  <x:c r="F834" i="4"/>
  <x:c r="T834" i="4"/>
  <x:c r="A835" i="4"/>
  <x:c r="E835" i="4"/>
  <x:c r="F835" i="4"/>
  <x:c r="T835" i="4"/>
  <x:c r="A836" i="4"/>
  <x:c r="E836" i="4"/>
  <x:c r="F836" i="4"/>
  <x:c r="T836" i="4"/>
  <x:c r="A837" i="4"/>
  <x:c r="E837" i="4"/>
  <x:c r="F837" i="4"/>
  <x:c r="T837" i="4"/>
  <x:c r="A838" i="4"/>
  <x:c r="E838" i="4"/>
  <x:c r="F838" i="4"/>
  <x:c r="T838" i="4"/>
  <x:c r="A839" i="4"/>
  <x:c r="E839" i="4"/>
  <x:c r="F839" i="4"/>
  <x:c r="T839" i="4"/>
  <x:c r="A840" i="4"/>
  <x:c r="E840" i="4"/>
  <x:c r="F840" i="4"/>
  <x:c r="T840" i="4"/>
  <x:c r="A841" i="4"/>
  <x:c r="E841" i="4"/>
  <x:c r="F841" i="4"/>
  <x:c r="T841" i="4"/>
  <x:c r="A842" i="4"/>
  <x:c r="E842" i="4"/>
  <x:c r="F842" i="4"/>
  <x:c r="T842" i="4"/>
  <x:c r="A843" i="4"/>
  <x:c r="E843" i="4"/>
  <x:c r="F843" i="4"/>
  <x:c r="T843" i="4"/>
  <x:c r="A844" i="4"/>
  <x:c r="E844" i="4"/>
  <x:c r="F844" i="4"/>
  <x:c r="T844" i="4"/>
  <x:c r="A845" i="4"/>
  <x:c r="E845" i="4"/>
  <x:c r="F845" i="4"/>
  <x:c r="T845" i="4"/>
  <x:c r="A846" i="4"/>
  <x:c r="E846" i="4"/>
  <x:c r="F846" i="4"/>
  <x:c r="T846" i="4"/>
  <x:c r="A847" i="4"/>
  <x:c r="E847" i="4"/>
  <x:c r="F847" i="4"/>
  <x:c r="T847" i="4"/>
  <x:c r="A848" i="4"/>
  <x:c r="E848" i="4"/>
  <x:c r="F848" i="4"/>
  <x:c r="T848" i="4"/>
  <x:c r="A849" i="4"/>
  <x:c r="E849" i="4"/>
  <x:c r="F849" i="4"/>
  <x:c r="T849" i="4"/>
  <x:c r="A850" i="4"/>
  <x:c r="E850" i="4"/>
  <x:c r="F850" i="4"/>
  <x:c r="T850" i="4"/>
  <x:c r="A851" i="4"/>
  <x:c r="E851" i="4"/>
  <x:c r="F851" i="4"/>
  <x:c r="T851" i="4"/>
  <x:c r="A852" i="4"/>
  <x:c r="E852" i="4"/>
  <x:c r="F852" i="4"/>
  <x:c r="T852" i="4"/>
  <x:c r="A853" i="4"/>
  <x:c r="E853" i="4"/>
  <x:c r="F853" i="4"/>
  <x:c r="T853" i="4"/>
  <x:c r="A854" i="4"/>
  <x:c r="E854" i="4"/>
  <x:c r="F854" i="4"/>
  <x:c r="T854" i="4"/>
  <x:c r="A855" i="4"/>
  <x:c r="E855" i="4"/>
  <x:c r="F855" i="4"/>
  <x:c r="T855" i="4"/>
  <x:c r="A856" i="4"/>
  <x:c r="E856" i="4"/>
  <x:c r="F856" i="4"/>
  <x:c r="T856" i="4"/>
  <x:c r="A857" i="4"/>
  <x:c r="E857" i="4"/>
  <x:c r="F857" i="4"/>
  <x:c r="T857" i="4"/>
  <x:c r="A858" i="4"/>
  <x:c r="E858" i="4"/>
  <x:c r="F858" i="4"/>
  <x:c r="T858" i="4"/>
  <x:c r="A859" i="4"/>
  <x:c r="E859" i="4"/>
  <x:c r="F859" i="4"/>
  <x:c r="T859" i="4"/>
  <x:c r="A860" i="4"/>
  <x:c r="E860" i="4"/>
  <x:c r="F860" i="4"/>
  <x:c r="T860" i="4"/>
  <x:c r="A861" i="4"/>
  <x:c r="E861" i="4"/>
  <x:c r="F861" i="4"/>
  <x:c r="T861" i="4"/>
  <x:c r="A862" i="4"/>
  <x:c r="E862" i="4"/>
  <x:c r="F862" i="4"/>
  <x:c r="T862" i="4"/>
  <x:c r="A863" i="4"/>
  <x:c r="E863" i="4"/>
  <x:c r="F863" i="4"/>
  <x:c r="T863" i="4"/>
  <x:c r="A864" i="4"/>
  <x:c r="E864" i="4"/>
  <x:c r="F864" i="4"/>
  <x:c r="T864" i="4"/>
  <x:c r="A865" i="4"/>
  <x:c r="E865" i="4"/>
  <x:c r="F865" i="4"/>
  <x:c r="T865" i="4"/>
  <x:c r="A866" i="4"/>
  <x:c r="E866" i="4"/>
  <x:c r="F866" i="4"/>
  <x:c r="T866" i="4"/>
  <x:c r="A867" i="4"/>
  <x:c r="E867" i="4"/>
  <x:c r="F867" i="4"/>
  <x:c r="T867" i="4"/>
  <x:c r="A868" i="4"/>
  <x:c r="E868" i="4"/>
  <x:c r="F868" i="4"/>
  <x:c r="T868" i="4"/>
  <x:c r="A869" i="4"/>
  <x:c r="E869" i="4"/>
  <x:c r="F869" i="4"/>
  <x:c r="T869" i="4"/>
  <x:c r="A870" i="4"/>
  <x:c r="E870" i="4"/>
  <x:c r="F870" i="4"/>
  <x:c r="T870" i="4"/>
  <x:c r="A871" i="4"/>
  <x:c r="E871" i="4"/>
  <x:c r="F871" i="4"/>
  <x:c r="T871" i="4"/>
  <x:c r="A872" i="4"/>
  <x:c r="E872" i="4"/>
  <x:c r="F872" i="4"/>
  <x:c r="T872" i="4"/>
  <x:c r="A873" i="4"/>
  <x:c r="E873" i="4"/>
  <x:c r="F873" i="4"/>
  <x:c r="T873" i="4"/>
  <x:c r="A874" i="4"/>
  <x:c r="E874" i="4"/>
  <x:c r="F874" i="4"/>
  <x:c r="T874" i="4"/>
  <x:c r="A875" i="4"/>
  <x:c r="E875" i="4"/>
  <x:c r="F875" i="4"/>
  <x:c r="T875" i="4"/>
  <x:c r="A876" i="4"/>
  <x:c r="E876" i="4"/>
  <x:c r="F876" i="4"/>
  <x:c r="T876" i="4"/>
  <x:c r="A877" i="4"/>
  <x:c r="E877" i="4"/>
  <x:c r="F877" i="4"/>
  <x:c r="T877" i="4"/>
  <x:c r="A878" i="4"/>
  <x:c r="E878" i="4"/>
  <x:c r="F878" i="4"/>
  <x:c r="T878" i="4"/>
  <x:c r="A879" i="4"/>
  <x:c r="E879" i="4"/>
  <x:c r="F879" i="4"/>
  <x:c r="T879" i="4"/>
  <x:c r="A880" i="4"/>
  <x:c r="E880" i="4"/>
  <x:c r="F880" i="4"/>
  <x:c r="T880" i="4"/>
  <x:c r="A881" i="4"/>
  <x:c r="E881" i="4"/>
  <x:c r="F881" i="4"/>
  <x:c r="T881" i="4"/>
  <x:c r="A882" i="4"/>
  <x:c r="E882" i="4"/>
  <x:c r="F882" i="4"/>
  <x:c r="T882" i="4"/>
  <x:c r="A883" i="4"/>
  <x:c r="E883" i="4"/>
  <x:c r="F883" i="4"/>
  <x:c r="T883" i="4"/>
  <x:c r="A884" i="4"/>
  <x:c r="E884" i="4"/>
  <x:c r="F884" i="4"/>
  <x:c r="T884" i="4"/>
  <x:c r="A885" i="4"/>
  <x:c r="E885" i="4"/>
  <x:c r="F885" i="4"/>
  <x:c r="T885" i="4"/>
  <x:c r="A886" i="4"/>
  <x:c r="E886" i="4"/>
  <x:c r="F886" i="4"/>
  <x:c r="T886" i="4"/>
  <x:c r="A887" i="4"/>
  <x:c r="E887" i="4"/>
  <x:c r="F887" i="4"/>
  <x:c r="T887" i="4"/>
  <x:c r="A888" i="4"/>
  <x:c r="E888" i="4"/>
  <x:c r="F888" i="4"/>
  <x:c r="T888" i="4"/>
  <x:c r="A889" i="4"/>
  <x:c r="E889" i="4"/>
  <x:c r="F889" i="4"/>
  <x:c r="T889" i="4"/>
  <x:c r="A890" i="4"/>
  <x:c r="E890" i="4"/>
  <x:c r="F890" i="4"/>
  <x:c r="T890" i="4"/>
  <x:c r="A891" i="4"/>
  <x:c r="E891" i="4"/>
  <x:c r="F891" i="4"/>
  <x:c r="T891" i="4"/>
  <x:c r="A892" i="4"/>
  <x:c r="E892" i="4"/>
  <x:c r="F892" i="4"/>
  <x:c r="T892" i="4"/>
  <x:c r="A893" i="4"/>
  <x:c r="E893" i="4"/>
  <x:c r="F893" i="4"/>
  <x:c r="T893" i="4"/>
  <x:c r="A894" i="4"/>
  <x:c r="E894" i="4"/>
  <x:c r="F894" i="4"/>
  <x:c r="T894" i="4"/>
  <x:c r="A895" i="4"/>
  <x:c r="E895" i="4"/>
  <x:c r="F895" i="4"/>
  <x:c r="T895" i="4"/>
  <x:c r="A896" i="4"/>
  <x:c r="E896" i="4"/>
  <x:c r="F896" i="4"/>
  <x:c r="T896" i="4"/>
  <x:c r="A897" i="4"/>
  <x:c r="E897" i="4"/>
  <x:c r="F897" i="4"/>
  <x:c r="T897" i="4"/>
  <x:c r="A898" i="4"/>
  <x:c r="E898" i="4"/>
  <x:c r="F898" i="4"/>
  <x:c r="T898" i="4"/>
  <x:c r="A899" i="4"/>
  <x:c r="E899" i="4"/>
  <x:c r="F899" i="4"/>
  <x:c r="T899" i="4"/>
  <x:c r="A900" i="4"/>
  <x:c r="E900" i="4"/>
  <x:c r="F900" i="4"/>
  <x:c r="T900" i="4"/>
  <x:c r="A901" i="4"/>
  <x:c r="E901" i="4"/>
  <x:c r="F901" i="4"/>
  <x:c r="T901" i="4"/>
  <x:c r="A902" i="4"/>
  <x:c r="E902" i="4"/>
  <x:c r="F902" i="4"/>
  <x:c r="T902" i="4"/>
  <x:c r="A903" i="4"/>
  <x:c r="E903" i="4"/>
  <x:c r="F903" i="4"/>
  <x:c r="T903" i="4"/>
  <x:c r="A904" i="4"/>
  <x:c r="E904" i="4"/>
  <x:c r="F904" i="4"/>
  <x:c r="T904" i="4"/>
  <x:c r="A905" i="4"/>
  <x:c r="E905" i="4"/>
  <x:c r="F905" i="4"/>
  <x:c r="T905" i="4"/>
  <x:c r="A906" i="4"/>
  <x:c r="E906" i="4"/>
  <x:c r="F906" i="4"/>
  <x:c r="T906" i="4"/>
  <x:c r="A907" i="4"/>
  <x:c r="E907" i="4"/>
  <x:c r="F907" i="4"/>
  <x:c r="T907" i="4"/>
  <x:c r="A908" i="4"/>
  <x:c r="E908" i="4"/>
  <x:c r="F908" i="4"/>
  <x:c r="T908" i="4"/>
  <x:c r="A909" i="4"/>
  <x:c r="E909" i="4"/>
  <x:c r="F909" i="4"/>
  <x:c r="T909" i="4"/>
  <x:c r="A910" i="4"/>
  <x:c r="E910" i="4"/>
  <x:c r="F910" i="4"/>
  <x:c r="T910" i="4"/>
  <x:c r="A911" i="4"/>
  <x:c r="E911" i="4"/>
  <x:c r="F911" i="4"/>
  <x:c r="T911" i="4"/>
  <x:c r="A912" i="4"/>
  <x:c r="E912" i="4"/>
  <x:c r="F912" i="4"/>
  <x:c r="T912" i="4"/>
  <x:c r="A913" i="4"/>
  <x:c r="E913" i="4"/>
  <x:c r="F913" i="4"/>
  <x:c r="T913" i="4"/>
  <x:c r="A914" i="4"/>
  <x:c r="E914" i="4"/>
  <x:c r="F914" i="4"/>
  <x:c r="T914" i="4"/>
  <x:c r="A915" i="4"/>
  <x:c r="E915" i="4"/>
  <x:c r="F915" i="4"/>
  <x:c r="T915" i="4"/>
  <x:c r="A916" i="4"/>
  <x:c r="E916" i="4"/>
  <x:c r="F916" i="4"/>
  <x:c r="T916" i="4"/>
  <x:c r="A917" i="4"/>
  <x:c r="E917" i="4"/>
  <x:c r="F917" i="4"/>
  <x:c r="T917" i="4"/>
  <x:c r="A918" i="4"/>
  <x:c r="E918" i="4"/>
  <x:c r="F918" i="4"/>
  <x:c r="T918" i="4"/>
  <x:c r="A919" i="4"/>
  <x:c r="E919" i="4"/>
  <x:c r="F919" i="4"/>
  <x:c r="T919" i="4"/>
  <x:c r="A920" i="4"/>
  <x:c r="E920" i="4"/>
  <x:c r="F920" i="4"/>
  <x:c r="T920" i="4"/>
  <x:c r="A921" i="4"/>
  <x:c r="E921" i="4"/>
  <x:c r="F921" i="4"/>
  <x:c r="T921" i="4"/>
  <x:c r="A922" i="4"/>
  <x:c r="E922" i="4"/>
  <x:c r="F922" i="4"/>
  <x:c r="T922" i="4"/>
  <x:c r="A923" i="4"/>
  <x:c r="E923" i="4"/>
  <x:c r="F923" i="4"/>
  <x:c r="T923" i="4"/>
  <x:c r="A924" i="4"/>
  <x:c r="E924" i="4"/>
  <x:c r="F924" i="4"/>
  <x:c r="T924" i="4"/>
  <x:c r="A925" i="4"/>
  <x:c r="E925" i="4"/>
  <x:c r="F925" i="4"/>
  <x:c r="T925" i="4"/>
  <x:c r="A926" i="4"/>
  <x:c r="E926" i="4"/>
  <x:c r="F926" i="4"/>
  <x:c r="T926" i="4"/>
  <x:c r="A927" i="4"/>
  <x:c r="E927" i="4"/>
  <x:c r="F927" i="4"/>
  <x:c r="T927" i="4"/>
  <x:c r="A928" i="4"/>
  <x:c r="E928" i="4"/>
  <x:c r="F928" i="4"/>
  <x:c r="T928" i="4"/>
  <x:c r="A929" i="4"/>
  <x:c r="E929" i="4"/>
  <x:c r="F929" i="4"/>
  <x:c r="T929" i="4"/>
  <x:c r="A930" i="4"/>
  <x:c r="E930" i="4"/>
  <x:c r="F930" i="4"/>
  <x:c r="T930" i="4"/>
  <x:c r="A931" i="4"/>
  <x:c r="E931" i="4"/>
  <x:c r="F931" i="4"/>
  <x:c r="T931" i="4"/>
  <x:c r="A932" i="4"/>
  <x:c r="E932" i="4"/>
  <x:c r="F932" i="4"/>
  <x:c r="T932" i="4"/>
  <x:c r="A933" i="4"/>
  <x:c r="E933" i="4"/>
  <x:c r="F933" i="4"/>
  <x:c r="T933" i="4"/>
  <x:c r="A934" i="4"/>
  <x:c r="E934" i="4"/>
  <x:c r="F934" i="4"/>
  <x:c r="T934" i="4"/>
  <x:c r="A935" i="4"/>
  <x:c r="E935" i="4"/>
  <x:c r="F935" i="4"/>
  <x:c r="T935" i="4"/>
  <x:c r="A936" i="4"/>
  <x:c r="E936" i="4"/>
  <x:c r="F936" i="4"/>
  <x:c r="T936" i="4"/>
  <x:c r="A937" i="4"/>
  <x:c r="E937" i="4"/>
  <x:c r="F937" i="4"/>
  <x:c r="T937" i="4"/>
  <x:c r="A938" i="4"/>
  <x:c r="E938" i="4"/>
  <x:c r="F938" i="4"/>
  <x:c r="T938" i="4"/>
  <x:c r="A939" i="4"/>
  <x:c r="E939" i="4"/>
  <x:c r="F939" i="4"/>
  <x:c r="T939" i="4"/>
  <x:c r="A940" i="4"/>
  <x:c r="E940" i="4"/>
  <x:c r="F940" i="4"/>
  <x:c r="T940" i="4"/>
  <x:c r="A941" i="4"/>
  <x:c r="E941" i="4"/>
  <x:c r="F941" i="4"/>
  <x:c r="T941" i="4"/>
  <x:c r="A942" i="4"/>
  <x:c r="E942" i="4"/>
  <x:c r="F942" i="4"/>
  <x:c r="T942" i="4"/>
  <x:c r="A943" i="4"/>
  <x:c r="E943" i="4"/>
  <x:c r="F943" i="4"/>
  <x:c r="T943" i="4"/>
  <x:c r="A944" i="4"/>
  <x:c r="E944" i="4"/>
  <x:c r="F944" i="4"/>
  <x:c r="T944" i="4"/>
  <x:c r="A945" i="4"/>
  <x:c r="E945" i="4"/>
  <x:c r="F945" i="4"/>
  <x:c r="T945" i="4"/>
  <x:c r="A946" i="4"/>
  <x:c r="E946" i="4"/>
  <x:c r="F946" i="4"/>
  <x:c r="T946" i="4"/>
  <x:c r="A947" i="4"/>
  <x:c r="E947" i="4"/>
  <x:c r="F947" i="4"/>
  <x:c r="T947" i="4"/>
  <x:c r="A948" i="4"/>
  <x:c r="E948" i="4"/>
  <x:c r="F948" i="4"/>
  <x:c r="T948" i="4"/>
  <x:c r="A949" i="4"/>
  <x:c r="E949" i="4"/>
  <x:c r="F949" i="4"/>
  <x:c r="T949" i="4"/>
  <x:c r="A950" i="4"/>
  <x:c r="E950" i="4"/>
  <x:c r="F950" i="4"/>
  <x:c r="T950" i="4"/>
  <x:c r="A951" i="4"/>
  <x:c r="E951" i="4"/>
  <x:c r="F951" i="4"/>
  <x:c r="T951" i="4"/>
  <x:c r="A952" i="4"/>
  <x:c r="E952" i="4"/>
  <x:c r="F952" i="4"/>
  <x:c r="T952" i="4"/>
  <x:c r="A953" i="4"/>
  <x:c r="E953" i="4"/>
  <x:c r="F953" i="4"/>
  <x:c r="T953" i="4"/>
  <x:c r="A954" i="4"/>
  <x:c r="E954" i="4"/>
  <x:c r="F954" i="4"/>
  <x:c r="T954" i="4"/>
  <x:c r="A955" i="4"/>
  <x:c r="E955" i="4"/>
  <x:c r="F955" i="4"/>
  <x:c r="T955" i="4"/>
  <x:c r="A956" i="4"/>
  <x:c r="E956" i="4"/>
  <x:c r="F956" i="4"/>
  <x:c r="T956" i="4"/>
  <x:c r="A957" i="4"/>
  <x:c r="E957" i="4"/>
  <x:c r="F957" i="4"/>
  <x:c r="T957" i="4"/>
  <x:c r="A958" i="4"/>
  <x:c r="E958" i="4"/>
  <x:c r="F958" i="4"/>
  <x:c r="T958" i="4"/>
  <x:c r="A959" i="4"/>
  <x:c r="E959" i="4"/>
  <x:c r="F959" i="4"/>
  <x:c r="T959" i="4"/>
  <x:c r="A960" i="4"/>
  <x:c r="E960" i="4"/>
  <x:c r="F960" i="4"/>
  <x:c r="T960" i="4"/>
  <x:c r="A961" i="4"/>
  <x:c r="E961" i="4"/>
  <x:c r="F961" i="4"/>
  <x:c r="T961" i="4"/>
  <x:c r="A962" i="4"/>
  <x:c r="E962" i="4"/>
  <x:c r="F962" i="4"/>
  <x:c r="T962" i="4"/>
  <x:c r="A963" i="4"/>
  <x:c r="E963" i="4"/>
  <x:c r="F963" i="4"/>
  <x:c r="T963" i="4"/>
  <x:c r="A964" i="4"/>
  <x:c r="E964" i="4"/>
  <x:c r="F964" i="4"/>
  <x:c r="T964" i="4"/>
  <x:c r="A965" i="4"/>
  <x:c r="E965" i="4"/>
  <x:c r="F965" i="4"/>
  <x:c r="T965" i="4"/>
  <x:c r="A966" i="4"/>
  <x:c r="E966" i="4"/>
  <x:c r="F966" i="4"/>
  <x:c r="T966" i="4"/>
  <x:c r="A967" i="4"/>
  <x:c r="E967" i="4"/>
  <x:c r="F967" i="4"/>
  <x:c r="T967" i="4"/>
  <x:c r="A968" i="4"/>
  <x:c r="E968" i="4"/>
  <x:c r="F968" i="4"/>
  <x:c r="T968" i="4"/>
  <x:c r="A969" i="4"/>
  <x:c r="E969" i="4"/>
  <x:c r="F969" i="4"/>
  <x:c r="T969" i="4"/>
  <x:c r="A970" i="4"/>
  <x:c r="E970" i="4"/>
  <x:c r="F970" i="4"/>
  <x:c r="T970" i="4"/>
  <x:c r="A971" i="4"/>
  <x:c r="E971" i="4"/>
  <x:c r="F971" i="4"/>
  <x:c r="T971" i="4"/>
  <x:c r="A972" i="4"/>
  <x:c r="E972" i="4"/>
  <x:c r="F972" i="4"/>
  <x:c r="T972" i="4"/>
  <x:c r="A973" i="4"/>
  <x:c r="E973" i="4"/>
  <x:c r="F973" i="4"/>
  <x:c r="T973" i="4"/>
  <x:c r="A974" i="4"/>
  <x:c r="E974" i="4"/>
  <x:c r="F974" i="4"/>
  <x:c r="T974" i="4"/>
  <x:c r="A975" i="4"/>
  <x:c r="E975" i="4"/>
  <x:c r="F975" i="4"/>
  <x:c r="T975" i="4"/>
  <x:c r="A976" i="4"/>
  <x:c r="E976" i="4"/>
  <x:c r="F976" i="4"/>
  <x:c r="T976" i="4"/>
  <x:c r="A977" i="4"/>
  <x:c r="E977" i="4"/>
  <x:c r="F977" i="4"/>
  <x:c r="T977" i="4"/>
  <x:c r="A978" i="4"/>
  <x:c r="E978" i="4"/>
  <x:c r="F978" i="4"/>
  <x:c r="T978" i="4"/>
  <x:c r="A979" i="4"/>
  <x:c r="E979" i="4"/>
  <x:c r="F979" i="4"/>
  <x:c r="T979" i="4"/>
  <x:c r="A980" i="4"/>
  <x:c r="E980" i="4"/>
  <x:c r="F980" i="4"/>
  <x:c r="T980" i="4"/>
  <x:c r="A981" i="4"/>
  <x:c r="E981" i="4"/>
  <x:c r="F981" i="4"/>
  <x:c r="T981" i="4"/>
  <x:c r="A982" i="4"/>
  <x:c r="E982" i="4"/>
  <x:c r="F982" i="4"/>
  <x:c r="T982" i="4"/>
  <x:c r="A983" i="4"/>
  <x:c r="E983" i="4"/>
  <x:c r="F983" i="4"/>
  <x:c r="T983" i="4"/>
  <x:c r="A984" i="4"/>
  <x:c r="E984" i="4"/>
  <x:c r="F984" i="4"/>
  <x:c r="T984" i="4"/>
  <x:c r="A985" i="4"/>
  <x:c r="E985" i="4"/>
  <x:c r="F985" i="4"/>
  <x:c r="T985" i="4"/>
  <x:c r="A986" i="4"/>
  <x:c r="E986" i="4"/>
  <x:c r="F986" i="4"/>
  <x:c r="T986" i="4"/>
  <x:c r="A987" i="4"/>
  <x:c r="E987" i="4"/>
  <x:c r="F987" i="4"/>
  <x:c r="T987" i="4"/>
  <x:c r="A988" i="4"/>
  <x:c r="E988" i="4"/>
  <x:c r="F988" i="4"/>
  <x:c r="T988" i="4"/>
  <x:c r="A989" i="4"/>
  <x:c r="E989" i="4"/>
  <x:c r="F989" i="4"/>
  <x:c r="T989" i="4"/>
  <x:c r="A990" i="4"/>
  <x:c r="E990" i="4"/>
  <x:c r="F990" i="4"/>
  <x:c r="T990" i="4"/>
  <x:c r="A991" i="4"/>
  <x:c r="E991" i="4"/>
  <x:c r="F991" i="4"/>
  <x:c r="T991" i="4"/>
  <x:c r="A992" i="4"/>
  <x:c r="E992" i="4"/>
  <x:c r="F992" i="4"/>
  <x:c r="T992" i="4"/>
  <x:c r="A993" i="4"/>
  <x:c r="E993" i="4"/>
  <x:c r="F993" i="4"/>
  <x:c r="T993" i="4"/>
  <x:c r="A994" i="4"/>
  <x:c r="E994" i="4"/>
  <x:c r="F994" i="4"/>
  <x:c r="T994" i="4"/>
  <x:c r="A995" i="4"/>
  <x:c r="E995" i="4"/>
  <x:c r="F995" i="4"/>
  <x:c r="T995" i="4"/>
  <x:c r="A996" i="4"/>
  <x:c r="E996" i="4"/>
  <x:c r="F996" i="4"/>
  <x:c r="T996" i="4"/>
  <x:c r="A997" i="4"/>
  <x:c r="E997" i="4"/>
  <x:c r="F997" i="4"/>
  <x:c r="T997" i="4"/>
  <x:c r="A998" i="4"/>
  <x:c r="E998" i="4"/>
  <x:c r="F998" i="4"/>
  <x:c r="T998" i="4"/>
  <x:c r="A999" i="4"/>
  <x:c r="E999" i="4"/>
  <x:c r="F999" i="4"/>
  <x:c r="T999" i="4"/>
  <x:c r="A1000" i="4"/>
  <x:c r="E1000" i="4"/>
  <x:c r="F1000" i="4"/>
  <x:c r="T1000" i="4"/>
  <x:c r="A1001" i="4"/>
  <x:c r="E1001" i="4"/>
  <x:c r="F1001" i="4"/>
  <x:c r="T1001" i="4"/>
  <x:c r="A1002" i="4"/>
  <x:c r="E1002" i="4"/>
  <x:c r="F1002" i="4"/>
  <x:c r="T1002" i="4"/>
  <x:c r="A1003" i="4"/>
  <x:c r="E1003" i="4"/>
  <x:c r="F1003" i="4"/>
  <x:c r="T1003" i="4"/>
  <x:c r="A1004" i="4"/>
  <x:c r="E1004" i="4"/>
  <x:c r="F1004" i="4"/>
  <x:c r="T1004" i="4"/>
  <x:c r="A1005" i="4"/>
  <x:c r="E1005" i="4"/>
  <x:c r="F1005" i="4"/>
  <x:c r="T1005" i="4"/>
  <x:c r="A1006" i="4"/>
  <x:c r="E1006" i="4"/>
  <x:c r="F1006" i="4"/>
  <x:c r="T1006" i="4"/>
  <x:c r="A1007" i="4"/>
  <x:c r="E1007" i="4"/>
  <x:c r="F1007" i="4"/>
  <x:c r="T1007" i="4"/>
  <x:c r="A1008" i="4"/>
  <x:c r="E1008" i="4"/>
  <x:c r="F1008" i="4"/>
  <x:c r="T1008" i="4"/>
  <x:c r="A1009" i="4"/>
  <x:c r="E1009" i="4"/>
  <x:c r="F1009" i="4"/>
  <x:c r="T1009" i="4"/>
  <x:c r="A1010" i="4"/>
  <x:c r="E1010" i="4"/>
  <x:c r="F1010" i="4"/>
  <x:c r="T1010" i="4"/>
  <x:c r="A1011" i="4"/>
  <x:c r="E1011" i="4"/>
  <x:c r="F1011" i="4"/>
  <x:c r="T1011" i="4"/>
  <x:c r="A1012" i="4"/>
  <x:c r="E1012" i="4"/>
  <x:c r="F1012" i="4"/>
  <x:c r="T1012" i="4"/>
  <x:c r="A1013" i="4"/>
  <x:c r="E1013" i="4"/>
  <x:c r="F1013" i="4"/>
  <x:c r="T1013" i="4"/>
  <x:c r="A1014" i="4"/>
  <x:c r="E1014" i="4"/>
  <x:c r="F1014" i="4"/>
  <x:c r="T1014" i="4"/>
  <x:c r="A1015" i="4"/>
  <x:c r="E1015" i="4"/>
  <x:c r="F1015" i="4"/>
  <x:c r="T1015" i="4"/>
  <x:c r="A1016" i="4"/>
  <x:c r="E1016" i="4"/>
  <x:c r="F1016" i="4"/>
  <x:c r="T1016" i="4"/>
  <x:c r="A1017" i="4"/>
  <x:c r="E1017" i="4"/>
  <x:c r="F1017" i="4"/>
  <x:c r="T1017" i="4"/>
  <x:c r="A1018" i="4"/>
  <x:c r="E1018" i="4"/>
  <x:c r="F1018" i="4"/>
  <x:c r="T1018" i="4"/>
  <x:c r="A1019" i="4"/>
  <x:c r="E1019" i="4"/>
  <x:c r="F1019" i="4"/>
  <x:c r="T1019" i="4"/>
  <x:c r="A1020" i="4"/>
  <x:c r="E1020" i="4"/>
  <x:c r="F1020" i="4"/>
  <x:c r="T1020" i="4"/>
  <x:c r="A1021" i="4"/>
  <x:c r="E1021" i="4"/>
  <x:c r="F1021" i="4"/>
  <x:c r="T1021" i="4"/>
  <x:c r="A1022" i="4"/>
  <x:c r="E1022" i="4"/>
  <x:c r="F1022" i="4"/>
  <x:c r="T1022" i="4"/>
  <x:c r="A1023" i="4"/>
  <x:c r="E1023" i="4"/>
  <x:c r="F1023" i="4"/>
  <x:c r="T1023" i="4"/>
  <x:c r="A1024" i="4"/>
  <x:c r="E1024" i="4"/>
  <x:c r="F1024" i="4"/>
  <x:c r="T1024" i="4"/>
  <x:c r="A1025" i="4"/>
  <x:c r="E1025" i="4"/>
  <x:c r="F1025" i="4"/>
  <x:c r="T1025" i="4"/>
  <x:c r="A1026" i="4"/>
  <x:c r="E1026" i="4"/>
  <x:c r="F1026" i="4"/>
  <x:c r="T1026" i="4"/>
  <x:c r="A1027" i="4"/>
  <x:c r="E1027" i="4"/>
  <x:c r="F1027" i="4"/>
  <x:c r="T1027" i="4"/>
  <x:c r="A1028" i="4"/>
  <x:c r="E1028" i="4"/>
  <x:c r="F1028" i="4"/>
  <x:c r="T1028" i="4"/>
  <x:c r="A1029" i="4"/>
  <x:c r="E1029" i="4"/>
  <x:c r="F1029" i="4"/>
  <x:c r="T1029" i="4"/>
  <x:c r="A1030" i="4"/>
  <x:c r="E1030" i="4"/>
  <x:c r="F1030" i="4"/>
  <x:c r="T1030" i="4"/>
  <x:c r="A1031" i="4"/>
  <x:c r="E1031" i="4"/>
  <x:c r="F1031" i="4"/>
  <x:c r="T1031" i="4"/>
  <x:c r="A1032" i="4"/>
  <x:c r="E1032" i="4"/>
  <x:c r="F1032" i="4"/>
  <x:c r="T1032" i="4"/>
  <x:c r="A1033" i="4"/>
  <x:c r="E1033" i="4"/>
  <x:c r="F1033" i="4"/>
  <x:c r="T1033" i="4"/>
  <x:c r="A1034" i="4"/>
  <x:c r="E1034" i="4"/>
  <x:c r="F1034" i="4"/>
  <x:c r="T1034" i="4"/>
  <x:c r="A1035" i="4"/>
  <x:c r="E1035" i="4"/>
  <x:c r="F1035" i="4"/>
  <x:c r="T1035" i="4"/>
  <x:c r="A1036" i="4"/>
  <x:c r="E1036" i="4"/>
  <x:c r="F1036" i="4"/>
  <x:c r="T1036" i="4"/>
  <x:c r="A1037" i="4"/>
  <x:c r="E1037" i="4"/>
  <x:c r="F1037" i="4"/>
  <x:c r="T1037" i="4"/>
  <x:c r="A1038" i="4"/>
  <x:c r="E1038" i="4"/>
  <x:c r="F1038" i="4"/>
  <x:c r="T1038" i="4"/>
  <x:c r="A1039" i="4"/>
  <x:c r="E1039" i="4"/>
  <x:c r="F1039" i="4"/>
  <x:c r="T1039" i="4"/>
  <x:c r="A1040" i="4"/>
  <x:c r="E1040" i="4"/>
  <x:c r="F1040" i="4"/>
  <x:c r="T1040" i="4"/>
  <x:c r="A1041" i="4"/>
  <x:c r="E1041" i="4"/>
  <x:c r="F1041" i="4"/>
  <x:c r="T1041" i="4"/>
  <x:c r="A1042" i="4"/>
  <x:c r="E1042" i="4"/>
  <x:c r="F1042" i="4"/>
  <x:c r="T1042" i="4"/>
  <x:c r="A1043" i="4"/>
  <x:c r="E1043" i="4"/>
  <x:c r="F1043" i="4"/>
  <x:c r="T1043" i="4"/>
  <x:c r="A1044" i="4"/>
  <x:c r="E1044" i="4"/>
  <x:c r="F1044" i="4"/>
  <x:c r="T1044" i="4"/>
  <x:c r="A1045" i="4"/>
  <x:c r="E1045" i="4"/>
  <x:c r="F1045" i="4"/>
  <x:c r="T1045" i="4"/>
  <x:c r="A1046" i="4"/>
  <x:c r="E1046" i="4"/>
  <x:c r="F1046" i="4"/>
  <x:c r="T1046" i="4"/>
  <x:c r="A1047" i="4"/>
  <x:c r="E1047" i="4"/>
  <x:c r="F1047" i="4"/>
  <x:c r="T1047" i="4"/>
  <x:c r="A1048" i="4"/>
  <x:c r="E1048" i="4"/>
  <x:c r="F1048" i="4"/>
  <x:c r="T1048" i="4"/>
  <x:c r="A1049" i="4"/>
  <x:c r="E1049" i="4"/>
  <x:c r="F1049" i="4"/>
  <x:c r="T1049" i="4"/>
  <x:c r="A1050" i="4"/>
  <x:c r="E1050" i="4"/>
  <x:c r="F1050" i="4"/>
  <x:c r="T1050" i="4"/>
  <x:c r="A1051" i="4"/>
  <x:c r="E1051" i="4"/>
  <x:c r="F1051" i="4"/>
  <x:c r="T1051" i="4"/>
  <x:c r="A1052" i="4"/>
  <x:c r="E1052" i="4"/>
  <x:c r="F1052" i="4"/>
  <x:c r="T1052" i="4"/>
  <x:c r="A1053" i="4"/>
  <x:c r="E1053" i="4"/>
  <x:c r="F1053" i="4"/>
  <x:c r="T1053" i="4"/>
  <x:c r="A1054" i="4"/>
  <x:c r="E1054" i="4"/>
  <x:c r="F1054" i="4"/>
  <x:c r="T1054" i="4"/>
  <x:c r="A1055" i="4"/>
  <x:c r="E1055" i="4"/>
  <x:c r="F1055" i="4"/>
  <x:c r="T1055" i="4"/>
  <x:c r="A1056" i="4"/>
  <x:c r="E1056" i="4"/>
  <x:c r="F1056" i="4"/>
  <x:c r="T1056" i="4"/>
  <x:c r="A1057" i="4"/>
  <x:c r="E1057" i="4"/>
  <x:c r="F1057" i="4"/>
  <x:c r="T1057" i="4"/>
  <x:c r="A1058" i="4"/>
  <x:c r="E1058" i="4"/>
  <x:c r="F1058" i="4"/>
  <x:c r="T1058" i="4"/>
  <x:c r="A1059" i="4"/>
  <x:c r="E1059" i="4"/>
  <x:c r="F1059" i="4"/>
  <x:c r="T1059" i="4"/>
  <x:c r="A1060" i="4"/>
  <x:c r="E1060" i="4"/>
  <x:c r="F1060" i="4"/>
  <x:c r="T1060" i="4"/>
  <x:c r="A1061" i="4"/>
  <x:c r="E1061" i="4"/>
  <x:c r="F1061" i="4"/>
  <x:c r="T1061" i="4"/>
  <x:c r="A1062" i="4"/>
  <x:c r="E1062" i="4"/>
  <x:c r="F1062" i="4"/>
  <x:c r="T1062" i="4"/>
  <x:c r="A1063" i="4"/>
  <x:c r="E1063" i="4"/>
  <x:c r="F1063" i="4"/>
  <x:c r="T1063" i="4"/>
  <x:c r="A1064" i="4"/>
  <x:c r="E1064" i="4"/>
  <x:c r="F1064" i="4"/>
  <x:c r="T1064" i="4"/>
  <x:c r="A1065" i="4"/>
  <x:c r="E1065" i="4"/>
  <x:c r="F1065" i="4"/>
  <x:c r="T1065" i="4"/>
  <x:c r="A1066" i="4"/>
  <x:c r="E1066" i="4"/>
  <x:c r="F1066" i="4"/>
  <x:c r="T1066" i="4"/>
  <x:c r="A1067" i="4"/>
  <x:c r="E1067" i="4"/>
  <x:c r="F1067" i="4"/>
  <x:c r="T1067" i="4"/>
  <x:c r="A1068" i="4"/>
  <x:c r="E1068" i="4"/>
  <x:c r="F1068" i="4"/>
  <x:c r="T1068" i="4"/>
  <x:c r="A1069" i="4"/>
  <x:c r="E1069" i="4"/>
  <x:c r="F1069" i="4"/>
  <x:c r="T1069" i="4"/>
  <x:c r="A1070" i="4"/>
  <x:c r="E1070" i="4"/>
  <x:c r="F1070" i="4"/>
  <x:c r="T1070" i="4"/>
  <x:c r="A1071" i="4"/>
  <x:c r="E1071" i="4"/>
  <x:c r="F1071" i="4"/>
  <x:c r="T1071" i="4"/>
  <x:c r="A1072" i="4"/>
  <x:c r="E1072" i="4"/>
  <x:c r="F1072" i="4"/>
  <x:c r="T1072" i="4"/>
  <x:c r="A1073" i="4"/>
  <x:c r="E1073" i="4"/>
  <x:c r="F1073" i="4"/>
  <x:c r="T1073" i="4"/>
  <x:c r="A1074" i="4"/>
  <x:c r="E1074" i="4"/>
  <x:c r="F1074" i="4"/>
  <x:c r="T1074" i="4"/>
  <x:c r="A1075" i="4"/>
  <x:c r="E1075" i="4"/>
  <x:c r="F1075" i="4"/>
  <x:c r="T1075" i="4"/>
  <x:c r="A1076" i="4"/>
  <x:c r="E1076" i="4"/>
  <x:c r="F1076" i="4"/>
  <x:c r="T1076" i="4"/>
  <x:c r="A1077" i="4"/>
  <x:c r="E1077" i="4"/>
  <x:c r="F1077" i="4"/>
  <x:c r="T1077" i="4"/>
  <x:c r="A1078" i="4"/>
  <x:c r="E1078" i="4"/>
  <x:c r="F1078" i="4"/>
  <x:c r="T1078" i="4"/>
  <x:c r="A1079" i="4"/>
  <x:c r="E1079" i="4"/>
  <x:c r="F1079" i="4"/>
  <x:c r="T1079" i="4"/>
  <x:c r="A1080" i="4"/>
  <x:c r="E1080" i="4"/>
  <x:c r="F1080" i="4"/>
  <x:c r="T1080" i="4"/>
  <x:c r="A1081" i="4"/>
  <x:c r="E1081" i="4"/>
  <x:c r="F1081" i="4"/>
  <x:c r="T1081" i="4"/>
  <x:c r="A1082" i="4"/>
  <x:c r="E1082" i="4"/>
  <x:c r="F1082" i="4"/>
  <x:c r="T1082" i="4"/>
  <x:c r="A1083" i="4"/>
  <x:c r="E1083" i="4"/>
  <x:c r="F1083" i="4"/>
  <x:c r="T1083" i="4"/>
  <x:c r="A1084" i="4"/>
  <x:c r="E1084" i="4"/>
  <x:c r="F1084" i="4"/>
  <x:c r="T1084" i="4"/>
  <x:c r="A1085" i="4"/>
  <x:c r="E1085" i="4"/>
  <x:c r="F1085" i="4"/>
  <x:c r="T1085" i="4"/>
  <x:c r="A1086" i="4"/>
  <x:c r="E1086" i="4"/>
  <x:c r="F1086" i="4"/>
  <x:c r="T1086" i="4"/>
  <x:c r="A1087" i="4"/>
  <x:c r="E1087" i="4"/>
  <x:c r="F1087" i="4"/>
  <x:c r="T1087" i="4"/>
  <x:c r="A1088" i="4"/>
  <x:c r="E1088" i="4"/>
  <x:c r="F1088" i="4"/>
  <x:c r="T1088" i="4"/>
  <x:c r="A1089" i="4"/>
  <x:c r="E1089" i="4"/>
  <x:c r="F1089" i="4"/>
  <x:c r="T1089" i="4"/>
  <x:c r="A1090" i="4"/>
  <x:c r="E1090" i="4"/>
  <x:c r="F1090" i="4"/>
  <x:c r="T1090" i="4"/>
  <x:c r="A1091" i="4"/>
  <x:c r="E1091" i="4"/>
  <x:c r="F1091" i="4"/>
  <x:c r="T1091" i="4"/>
  <x:c r="A1092" i="4"/>
  <x:c r="E1092" i="4"/>
  <x:c r="F1092" i="4"/>
  <x:c r="T1092" i="4"/>
  <x:c r="A1093" i="4"/>
  <x:c r="E1093" i="4"/>
  <x:c r="F1093" i="4"/>
  <x:c r="T1093" i="4"/>
  <x:c r="A1094" i="4"/>
  <x:c r="E1094" i="4"/>
  <x:c r="F1094" i="4"/>
  <x:c r="T1094" i="4"/>
  <x:c r="A1095" i="4"/>
  <x:c r="E1095" i="4"/>
  <x:c r="F1095" i="4"/>
  <x:c r="T1095" i="4"/>
  <x:c r="A1096" i="4"/>
  <x:c r="E1096" i="4"/>
  <x:c r="F1096" i="4"/>
  <x:c r="T1096" i="4"/>
  <x:c r="A1097" i="4"/>
  <x:c r="E1097" i="4"/>
  <x:c r="F1097" i="4"/>
  <x:c r="T1097" i="4"/>
  <x:c r="A1098" i="4"/>
  <x:c r="E1098" i="4"/>
  <x:c r="F1098" i="4"/>
  <x:c r="T1098" i="4"/>
  <x:c r="A1099" i="4"/>
  <x:c r="E1099" i="4"/>
  <x:c r="F1099" i="4"/>
  <x:c r="T1099" i="4"/>
  <x:c r="A1100" i="4"/>
  <x:c r="E1100" i="4"/>
  <x:c r="F1100" i="4"/>
  <x:c r="T1100" i="4"/>
  <x:c r="A1101" i="4"/>
  <x:c r="E1101" i="4"/>
  <x:c r="F1101" i="4"/>
  <x:c r="T1101" i="4"/>
  <x:c r="A1102" i="4"/>
  <x:c r="E1102" i="4"/>
  <x:c r="F1102" i="4"/>
  <x:c r="T1102" i="4"/>
  <x:c r="A1103" i="4"/>
  <x:c r="E1103" i="4"/>
  <x:c r="F1103" i="4"/>
  <x:c r="T1103" i="4"/>
  <x:c r="A1104" i="4"/>
  <x:c r="E1104" i="4"/>
  <x:c r="F1104" i="4"/>
  <x:c r="T1104" i="4"/>
  <x:c r="A1105" i="4"/>
  <x:c r="E1105" i="4"/>
  <x:c r="F1105" i="4"/>
  <x:c r="T1105" i="4"/>
  <x:c r="A1106" i="4"/>
  <x:c r="E1106" i="4"/>
  <x:c r="F1106" i="4"/>
  <x:c r="T1106" i="4"/>
  <x:c r="A1107" i="4"/>
  <x:c r="E1107" i="4"/>
  <x:c r="F1107" i="4"/>
  <x:c r="T1107" i="4"/>
  <x:c r="A1108" i="4"/>
  <x:c r="E1108" i="4"/>
  <x:c r="F1108" i="4"/>
  <x:c r="T1108" i="4"/>
  <x:c r="A1109" i="4"/>
  <x:c r="E1109" i="4"/>
  <x:c r="F1109" i="4"/>
  <x:c r="T1109" i="4"/>
  <x:c r="A1110" i="4"/>
  <x:c r="E1110" i="4"/>
  <x:c r="F1110" i="4"/>
  <x:c r="T1110" i="4"/>
  <x:c r="A1111" i="4"/>
  <x:c r="E1111" i="4"/>
  <x:c r="F1111" i="4"/>
  <x:c r="T1111" i="4"/>
  <x:c r="A1112" i="4"/>
  <x:c r="E1112" i="4"/>
  <x:c r="F1112" i="4"/>
  <x:c r="T1112" i="4"/>
  <x:c r="A1113" i="4"/>
  <x:c r="E1113" i="4"/>
  <x:c r="F1113" i="4"/>
  <x:c r="T1113" i="4"/>
  <x:c r="A1114" i="4"/>
  <x:c r="E1114" i="4"/>
  <x:c r="F1114" i="4"/>
  <x:c r="T1114" i="4"/>
  <x:c r="A1115" i="4"/>
  <x:c r="E1115" i="4"/>
  <x:c r="F1115" i="4"/>
  <x:c r="T1115" i="4"/>
  <x:c r="A1116" i="4"/>
  <x:c r="E1116" i="4"/>
  <x:c r="F1116" i="4"/>
  <x:c r="T1116" i="4"/>
  <x:c r="A1117" i="4"/>
  <x:c r="E1117" i="4"/>
  <x:c r="F1117" i="4"/>
  <x:c r="T1117" i="4"/>
  <x:c r="A1118" i="4"/>
  <x:c r="E1118" i="4"/>
  <x:c r="F1118" i="4"/>
  <x:c r="T1118" i="4"/>
  <x:c r="A1119" i="4"/>
  <x:c r="E1119" i="4"/>
  <x:c r="F1119" i="4"/>
  <x:c r="T1119" i="4"/>
  <x:c r="A1120" i="4"/>
  <x:c r="E1120" i="4"/>
  <x:c r="F1120" i="4"/>
  <x:c r="T1120" i="4"/>
  <x:c r="A1121" i="4"/>
  <x:c r="E1121" i="4"/>
  <x:c r="F1121" i="4"/>
  <x:c r="T1121" i="4"/>
  <x:c r="A1122" i="4"/>
  <x:c r="E1122" i="4"/>
  <x:c r="F1122" i="4"/>
  <x:c r="T1122" i="4"/>
  <x:c r="A1123" i="4"/>
  <x:c r="E1123" i="4"/>
  <x:c r="F1123" i="4"/>
  <x:c r="T1123" i="4"/>
  <x:c r="A1124" i="4"/>
  <x:c r="E1124" i="4"/>
  <x:c r="F1124" i="4"/>
  <x:c r="T1124" i="4"/>
  <x:c r="A1125" i="4"/>
  <x:c r="E1125" i="4"/>
  <x:c r="F1125" i="4"/>
  <x:c r="T1125" i="4"/>
  <x:c r="A1126" i="4"/>
  <x:c r="E1126" i="4"/>
  <x:c r="F1126" i="4"/>
  <x:c r="T1126" i="4"/>
  <x:c r="A1127" i="4"/>
  <x:c r="E1127" i="4"/>
  <x:c r="F1127" i="4"/>
  <x:c r="T1127" i="4"/>
  <x:c r="A1128" i="4"/>
  <x:c r="E1128" i="4"/>
  <x:c r="F1128" i="4"/>
  <x:c r="T1128" i="4"/>
  <x:c r="A1129" i="4"/>
  <x:c r="E1129" i="4"/>
  <x:c r="F1129" i="4"/>
  <x:c r="T1129" i="4"/>
  <x:c r="A1130" i="4"/>
  <x:c r="E1130" i="4"/>
  <x:c r="F1130" i="4"/>
  <x:c r="T1130" i="4"/>
  <x:c r="A1131" i="4"/>
  <x:c r="E1131" i="4"/>
  <x:c r="F1131" i="4"/>
  <x:c r="T1131" i="4"/>
  <x:c r="A1132" i="4"/>
  <x:c r="E1132" i="4"/>
  <x:c r="F1132" i="4"/>
  <x:c r="T1132" i="4"/>
  <x:c r="A1133" i="4"/>
  <x:c r="E1133" i="4"/>
  <x:c r="F1133" i="4"/>
  <x:c r="T1133" i="4"/>
  <x:c r="A1134" i="4"/>
  <x:c r="E1134" i="4"/>
  <x:c r="F1134" i="4"/>
  <x:c r="T1134" i="4"/>
  <x:c r="A1135" i="4"/>
  <x:c r="E1135" i="4"/>
  <x:c r="F1135" i="4"/>
  <x:c r="T1135" i="4"/>
  <x:c r="A1136" i="4"/>
  <x:c r="E1136" i="4"/>
  <x:c r="F1136" i="4"/>
  <x:c r="T1136" i="4"/>
  <x:c r="A1137" i="4"/>
  <x:c r="E1137" i="4"/>
  <x:c r="F1137" i="4"/>
  <x:c r="T1137" i="4"/>
  <x:c r="A1138" i="4"/>
  <x:c r="E1138" i="4"/>
  <x:c r="F1138" i="4"/>
  <x:c r="T1138" i="4"/>
  <x:c r="A1139" i="4"/>
  <x:c r="E1139" i="4"/>
  <x:c r="F1139" i="4"/>
  <x:c r="T1139" i="4"/>
  <x:c r="A1140" i="4"/>
  <x:c r="E1140" i="4"/>
  <x:c r="F1140" i="4"/>
  <x:c r="T1140" i="4"/>
  <x:c r="A1141" i="4"/>
  <x:c r="E1141" i="4"/>
  <x:c r="F1141" i="4"/>
  <x:c r="T1141" i="4"/>
  <x:c r="A1142" i="4"/>
  <x:c r="E1142" i="4"/>
  <x:c r="F1142" i="4"/>
  <x:c r="T1142" i="4"/>
  <x:c r="A1143" i="4"/>
  <x:c r="E1143" i="4"/>
  <x:c r="F1143" i="4"/>
  <x:c r="T1143" i="4"/>
  <x:c r="A1144" i="4"/>
  <x:c r="E1144" i="4"/>
  <x:c r="F1144" i="4"/>
  <x:c r="T1144" i="4"/>
  <x:c r="A1145" i="4"/>
  <x:c r="E1145" i="4"/>
  <x:c r="F1145" i="4"/>
  <x:c r="T1145" i="4"/>
  <x:c r="A1146" i="4"/>
  <x:c r="E1146" i="4"/>
  <x:c r="F1146" i="4"/>
  <x:c r="T1146" i="4"/>
  <x:c r="A1147" i="4"/>
  <x:c r="E1147" i="4"/>
  <x:c r="F1147" i="4"/>
  <x:c r="T1147" i="4"/>
  <x:c r="A1148" i="4"/>
  <x:c r="E1148" i="4"/>
  <x:c r="F1148" i="4"/>
  <x:c r="T1148" i="4"/>
  <x:c r="A1149" i="4"/>
  <x:c r="E1149" i="4"/>
  <x:c r="F1149" i="4"/>
  <x:c r="T1149" i="4"/>
  <x:c r="A1150" i="4"/>
  <x:c r="E1150" i="4"/>
  <x:c r="F1150" i="4"/>
  <x:c r="T1150" i="4"/>
  <x:c r="A1151" i="4"/>
  <x:c r="E1151" i="4"/>
  <x:c r="F1151" i="4"/>
  <x:c r="T1151" i="4"/>
  <x:c r="A1152" i="4"/>
  <x:c r="E1152" i="4"/>
  <x:c r="F1152" i="4"/>
  <x:c r="T1152" i="4"/>
  <x:c r="A1153" i="4"/>
  <x:c r="E1153" i="4"/>
  <x:c r="F1153" i="4"/>
  <x:c r="T1153" i="4"/>
  <x:c r="A1154" i="4"/>
  <x:c r="E1154" i="4"/>
  <x:c r="F1154" i="4"/>
  <x:c r="T1154" i="4"/>
  <x:c r="A1155" i="4"/>
  <x:c r="E1155" i="4"/>
  <x:c r="F1155" i="4"/>
  <x:c r="T1155" i="4"/>
  <x:c r="A1156" i="4"/>
  <x:c r="E1156" i="4"/>
  <x:c r="F1156" i="4"/>
  <x:c r="T1156" i="4"/>
  <x:c r="A1157" i="4"/>
  <x:c r="E1157" i="4"/>
  <x:c r="F1157" i="4"/>
  <x:c r="T1157" i="4"/>
  <x:c r="A1158" i="4"/>
  <x:c r="E1158" i="4"/>
  <x:c r="F1158" i="4"/>
  <x:c r="T1158" i="4"/>
  <x:c r="A1159" i="4"/>
  <x:c r="E1159" i="4"/>
  <x:c r="F1159" i="4"/>
  <x:c r="T1159" i="4"/>
  <x:c r="A1160" i="4"/>
  <x:c r="E1160" i="4"/>
  <x:c r="F1160" i="4"/>
  <x:c r="T1160" i="4"/>
  <x:c r="A1161" i="4"/>
  <x:c r="E1161" i="4"/>
  <x:c r="F1161" i="4"/>
  <x:c r="T1161" i="4"/>
  <x:c r="A1162" i="4"/>
  <x:c r="E1162" i="4"/>
  <x:c r="F1162" i="4"/>
  <x:c r="T1162" i="4"/>
  <x:c r="A1163" i="4"/>
  <x:c r="E1163" i="4"/>
  <x:c r="F1163" i="4"/>
  <x:c r="T1163" i="4"/>
  <x:c r="A1164" i="4"/>
  <x:c r="E1164" i="4"/>
  <x:c r="F1164" i="4"/>
  <x:c r="T1164" i="4"/>
  <x:c r="A1165" i="4"/>
  <x:c r="E1165" i="4"/>
  <x:c r="F1165" i="4"/>
  <x:c r="T1165" i="4"/>
  <x:c r="A1166" i="4"/>
  <x:c r="E1166" i="4"/>
  <x:c r="F1166" i="4"/>
  <x:c r="T1166" i="4"/>
  <x:c r="A1167" i="4"/>
  <x:c r="E1167" i="4"/>
  <x:c r="F1167" i="4"/>
  <x:c r="T1167" i="4"/>
  <x:c r="A1168" i="4"/>
  <x:c r="E1168" i="4"/>
  <x:c r="F1168" i="4"/>
  <x:c r="T1168" i="4"/>
  <x:c r="A1169" i="4"/>
  <x:c r="E1169" i="4"/>
  <x:c r="F1169" i="4"/>
  <x:c r="T1169" i="4"/>
  <x:c r="A1170" i="4"/>
  <x:c r="E1170" i="4"/>
  <x:c r="F1170" i="4"/>
  <x:c r="T1170" i="4"/>
  <x:c r="A1171" i="4"/>
  <x:c r="E1171" i="4"/>
  <x:c r="F1171" i="4"/>
  <x:c r="T1171" i="4"/>
  <x:c r="A1172" i="4"/>
  <x:c r="E1172" i="4"/>
  <x:c r="F1172" i="4"/>
  <x:c r="T1172" i="4"/>
  <x:c r="A1173" i="4"/>
  <x:c r="E1173" i="4"/>
  <x:c r="F1173" i="4"/>
  <x:c r="T1173" i="4"/>
  <x:c r="A1174" i="4"/>
  <x:c r="E1174" i="4"/>
  <x:c r="F1174" i="4"/>
  <x:c r="T1174" i="4"/>
  <x:c r="A1175" i="4"/>
  <x:c r="E1175" i="4"/>
  <x:c r="F1175" i="4"/>
  <x:c r="T1175" i="4"/>
  <x:c r="A1176" i="4"/>
  <x:c r="E1176" i="4"/>
  <x:c r="F1176" i="4"/>
  <x:c r="T1176" i="4"/>
  <x:c r="A1177" i="4"/>
  <x:c r="E1177" i="4"/>
  <x:c r="F1177" i="4"/>
  <x:c r="T1177" i="4"/>
  <x:c r="A1178" i="4"/>
  <x:c r="E1178" i="4"/>
  <x:c r="F1178" i="4"/>
  <x:c r="T1178" i="4"/>
  <x:c r="A1179" i="4"/>
  <x:c r="E1179" i="4"/>
  <x:c r="F1179" i="4"/>
  <x:c r="T1179" i="4"/>
  <x:c r="A1180" i="4"/>
  <x:c r="E1180" i="4"/>
  <x:c r="F1180" i="4"/>
  <x:c r="T1180" i="4"/>
  <x:c r="A1181" i="4"/>
  <x:c r="E1181" i="4"/>
  <x:c r="F1181" i="4"/>
  <x:c r="T1181" i="4"/>
  <x:c r="A1182" i="4"/>
  <x:c r="E1182" i="4"/>
  <x:c r="F1182" i="4"/>
  <x:c r="T1182" i="4"/>
  <x:c r="A1183" i="4"/>
  <x:c r="E1183" i="4"/>
  <x:c r="F1183" i="4"/>
  <x:c r="T1183" i="4"/>
  <x:c r="A1184" i="4"/>
  <x:c r="E1184" i="4"/>
  <x:c r="F1184" i="4"/>
  <x:c r="T1184" i="4"/>
  <x:c r="A1185" i="4"/>
  <x:c r="E1185" i="4"/>
  <x:c r="F1185" i="4"/>
  <x:c r="T1185" i="4"/>
  <x:c r="A1186" i="4"/>
  <x:c r="E1186" i="4"/>
  <x:c r="F1186" i="4"/>
  <x:c r="T1186" i="4"/>
  <x:c r="A1187" i="4"/>
  <x:c r="E1187" i="4"/>
  <x:c r="F1187" i="4"/>
  <x:c r="T1187" i="4"/>
  <x:c r="A1188" i="4"/>
  <x:c r="E1188" i="4"/>
  <x:c r="F1188" i="4"/>
  <x:c r="T1188" i="4"/>
  <x:c r="A1189" i="4"/>
  <x:c r="E1189" i="4"/>
  <x:c r="F1189" i="4"/>
  <x:c r="T1189" i="4"/>
  <x:c r="A1190" i="4"/>
  <x:c r="E1190" i="4"/>
  <x:c r="F1190" i="4"/>
  <x:c r="T1190" i="4"/>
  <x:c r="A1191" i="4"/>
  <x:c r="E1191" i="4"/>
  <x:c r="F1191" i="4"/>
  <x:c r="T1191" i="4"/>
  <x:c r="A1192" i="4"/>
  <x:c r="E1192" i="4"/>
  <x:c r="F1192" i="4"/>
  <x:c r="T1192" i="4"/>
  <x:c r="A1193" i="4"/>
  <x:c r="E1193" i="4"/>
  <x:c r="F1193" i="4"/>
  <x:c r="T1193" i="4"/>
  <x:c r="A1194" i="4"/>
  <x:c r="E1194" i="4"/>
  <x:c r="F1194" i="4"/>
  <x:c r="T1194" i="4"/>
  <x:c r="A1195" i="4"/>
  <x:c r="E1195" i="4"/>
  <x:c r="F1195" i="4"/>
  <x:c r="T1195" i="4"/>
  <x:c r="A1196" i="4"/>
  <x:c r="E1196" i="4"/>
  <x:c r="F1196" i="4"/>
  <x:c r="T1196" i="4"/>
  <x:c r="A1197" i="4"/>
  <x:c r="E1197" i="4"/>
  <x:c r="F1197" i="4"/>
  <x:c r="T1197" i="4"/>
  <x:c r="A1198" i="4"/>
  <x:c r="E1198" i="4"/>
  <x:c r="F1198" i="4"/>
  <x:c r="T1198" i="4"/>
  <x:c r="A1199" i="4"/>
  <x:c r="E1199" i="4"/>
  <x:c r="F1199" i="4"/>
  <x:c r="T1199" i="4"/>
  <x:c r="A1200" i="4"/>
  <x:c r="E1200" i="4"/>
  <x:c r="F1200" i="4"/>
  <x:c r="T1200" i="4"/>
  <x:c r="A1201" i="4"/>
  <x:c r="E1201" i="4"/>
  <x:c r="F1201" i="4"/>
  <x:c r="T1201" i="4"/>
  <x:c r="A1202" i="4"/>
  <x:c r="E1202" i="4"/>
  <x:c r="F1202" i="4"/>
  <x:c r="T1202" i="4"/>
  <x:c r="A1203" i="4"/>
  <x:c r="E1203" i="4"/>
  <x:c r="F1203" i="4"/>
  <x:c r="T1203" i="4"/>
  <x:c r="A1204" i="4"/>
  <x:c r="E1204" i="4"/>
  <x:c r="F1204" i="4"/>
  <x:c r="T1204" i="4"/>
  <x:c r="A1205" i="4"/>
  <x:c r="E1205" i="4"/>
  <x:c r="F1205" i="4"/>
  <x:c r="T1205" i="4"/>
  <x:c r="A1206" i="4"/>
  <x:c r="E1206" i="4"/>
  <x:c r="F1206" i="4"/>
  <x:c r="T1206" i="4"/>
  <x:c r="A1207" i="4"/>
  <x:c r="E1207" i="4"/>
  <x:c r="F1207" i="4"/>
  <x:c r="T1207" i="4"/>
  <x:c r="A1208" i="4"/>
  <x:c r="E1208" i="4"/>
  <x:c r="F1208" i="4"/>
  <x:c r="T1208" i="4"/>
  <x:c r="A1209" i="4"/>
  <x:c r="E1209" i="4"/>
  <x:c r="F1209" i="4"/>
  <x:c r="T1209" i="4"/>
  <x:c r="A1210" i="4"/>
  <x:c r="E1210" i="4"/>
  <x:c r="F1210" i="4"/>
  <x:c r="T1210" i="4"/>
  <x:c r="A1211" i="4"/>
  <x:c r="E1211" i="4"/>
  <x:c r="F1211" i="4"/>
  <x:c r="T1211" i="4"/>
  <x:c r="A1212" i="4"/>
  <x:c r="E1212" i="4"/>
  <x:c r="F1212" i="4"/>
  <x:c r="T1212" i="4"/>
  <x:c r="A1213" i="4"/>
  <x:c r="E1213" i="4"/>
  <x:c r="F1213" i="4"/>
  <x:c r="T1213" i="4"/>
  <x:c r="A1214" i="4"/>
  <x:c r="E1214" i="4"/>
  <x:c r="F1214" i="4"/>
  <x:c r="T1214" i="4"/>
  <x:c r="A1215" i="4"/>
  <x:c r="E1215" i="4"/>
  <x:c r="F1215" i="4"/>
  <x:c r="T1215" i="4"/>
  <x:c r="A1216" i="4"/>
  <x:c r="E1216" i="4"/>
  <x:c r="F1216" i="4"/>
  <x:c r="T1216" i="4"/>
  <x:c r="A1217" i="4"/>
  <x:c r="E1217" i="4"/>
  <x:c r="F1217" i="4"/>
  <x:c r="T1217" i="4"/>
  <x:c r="A1218" i="4"/>
  <x:c r="E1218" i="4"/>
  <x:c r="F1218" i="4"/>
  <x:c r="T1218" i="4"/>
  <x:c r="A1219" i="4"/>
  <x:c r="E1219" i="4"/>
  <x:c r="F1219" i="4"/>
  <x:c r="T1219" i="4"/>
  <x:c r="A1220" i="4"/>
  <x:c r="E1220" i="4"/>
  <x:c r="F1220" i="4"/>
  <x:c r="T1220" i="4"/>
  <x:c r="A1221" i="4"/>
  <x:c r="E1221" i="4"/>
  <x:c r="F1221" i="4"/>
  <x:c r="T1221" i="4"/>
  <x:c r="A1222" i="4"/>
  <x:c r="E1222" i="4"/>
  <x:c r="F1222" i="4"/>
  <x:c r="T1222" i="4"/>
  <x:c r="A1223" i="4"/>
  <x:c r="E1223" i="4"/>
  <x:c r="F1223" i="4"/>
  <x:c r="T1223" i="4"/>
  <x:c r="A1224" i="4"/>
  <x:c r="E1224" i="4"/>
  <x:c r="F1224" i="4"/>
  <x:c r="T1224" i="4"/>
  <x:c r="A1225" i="4"/>
  <x:c r="E1225" i="4"/>
  <x:c r="F1225" i="4"/>
  <x:c r="T1225" i="4"/>
  <x:c r="A1226" i="4"/>
  <x:c r="E1226" i="4"/>
  <x:c r="F1226" i="4"/>
  <x:c r="T1226" i="4"/>
  <x:c r="A1227" i="4"/>
  <x:c r="E1227" i="4"/>
  <x:c r="F1227" i="4"/>
  <x:c r="T1227" i="4"/>
  <x:c r="A1228" i="4"/>
  <x:c r="E1228" i="4"/>
  <x:c r="F1228" i="4"/>
  <x:c r="T1228" i="4"/>
  <x:c r="A1229" i="4"/>
  <x:c r="E1229" i="4"/>
  <x:c r="F1229" i="4"/>
  <x:c r="T1229" i="4"/>
  <x:c r="A1230" i="4"/>
  <x:c r="E1230" i="4"/>
  <x:c r="F1230" i="4"/>
  <x:c r="T1230" i="4"/>
  <x:c r="A1231" i="4"/>
  <x:c r="E1231" i="4"/>
  <x:c r="F1231" i="4"/>
  <x:c r="T1231" i="4"/>
  <x:c r="A1232" i="4"/>
  <x:c r="E1232" i="4"/>
  <x:c r="F1232" i="4"/>
  <x:c r="T1232" i="4"/>
  <x:c r="A1233" i="4"/>
  <x:c r="E1233" i="4"/>
  <x:c r="F1233" i="4"/>
  <x:c r="T1233" i="4"/>
  <x:c r="A1234" i="4"/>
  <x:c r="E1234" i="4"/>
  <x:c r="F1234" i="4"/>
  <x:c r="T1234" i="4"/>
  <x:c r="A1235" i="4"/>
  <x:c r="E1235" i="4"/>
  <x:c r="F1235" i="4"/>
  <x:c r="T1235" i="4"/>
  <x:c r="A1236" i="4"/>
  <x:c r="E1236" i="4"/>
  <x:c r="F1236" i="4"/>
  <x:c r="T1236" i="4"/>
  <x:c r="A1237" i="4"/>
  <x:c r="E1237" i="4"/>
  <x:c r="F1237" i="4"/>
  <x:c r="T1237" i="4"/>
  <x:c r="A1238" i="4"/>
  <x:c r="E1238" i="4"/>
  <x:c r="F1238" i="4"/>
  <x:c r="T1238" i="4"/>
  <x:c r="A1239" i="4"/>
  <x:c r="E1239" i="4"/>
  <x:c r="F1239" i="4"/>
  <x:c r="T1239" i="4"/>
  <x:c r="A1240" i="4"/>
  <x:c r="E1240" i="4"/>
  <x:c r="F1240" i="4"/>
  <x:c r="T1240" i="4"/>
  <x:c r="A1241" i="4"/>
  <x:c r="E1241" i="4"/>
  <x:c r="F1241" i="4"/>
  <x:c r="T1241" i="4"/>
  <x:c r="A1242" i="4"/>
  <x:c r="E1242" i="4"/>
  <x:c r="F1242" i="4"/>
  <x:c r="T1242" i="4"/>
  <x:c r="A1243" i="4"/>
  <x:c r="E1243" i="4"/>
  <x:c r="F1243" i="4"/>
  <x:c r="T1243" i="4"/>
  <x:c r="A1244" i="4"/>
  <x:c r="E1244" i="4"/>
  <x:c r="F1244" i="4"/>
  <x:c r="T1244" i="4"/>
  <x:c r="A1245" i="4"/>
  <x:c r="E1245" i="4"/>
  <x:c r="F1245" i="4"/>
  <x:c r="T1245" i="4"/>
  <x:c r="A1246" i="4"/>
  <x:c r="E1246" i="4"/>
  <x:c r="F1246" i="4"/>
  <x:c r="T1246" i="4"/>
  <x:c r="A1247" i="4"/>
  <x:c r="E1247" i="4"/>
  <x:c r="F1247" i="4"/>
  <x:c r="T1247" i="4"/>
  <x:c r="A1248" i="4"/>
  <x:c r="E1248" i="4"/>
  <x:c r="F1248" i="4"/>
  <x:c r="T1248" i="4"/>
  <x:c r="A1249" i="4"/>
  <x:c r="E1249" i="4"/>
  <x:c r="F1249" i="4"/>
  <x:c r="T1249" i="4"/>
  <x:c r="A1250" i="4"/>
  <x:c r="E1250" i="4"/>
  <x:c r="F1250" i="4"/>
  <x:c r="T1250" i="4"/>
  <x:c r="A1251" i="4"/>
  <x:c r="E1251" i="4"/>
  <x:c r="F1251" i="4"/>
  <x:c r="T1251" i="4"/>
  <x:c r="A1252" i="4"/>
  <x:c r="E1252" i="4"/>
  <x:c r="F1252" i="4"/>
  <x:c r="T1252" i="4"/>
  <x:c r="A1253" i="4"/>
  <x:c r="E1253" i="4"/>
  <x:c r="F1253" i="4"/>
  <x:c r="T1253" i="4"/>
  <x:c r="A1254" i="4"/>
  <x:c r="E1254" i="4"/>
  <x:c r="F1254" i="4"/>
  <x:c r="T1254" i="4"/>
  <x:c r="A1255" i="4"/>
  <x:c r="E1255" i="4"/>
  <x:c r="F1255" i="4"/>
  <x:c r="T1255" i="4"/>
  <x:c r="A1256" i="4"/>
  <x:c r="E1256" i="4"/>
  <x:c r="F1256" i="4"/>
  <x:c r="T1256" i="4"/>
  <x:c r="A1257" i="4"/>
  <x:c r="E1257" i="4"/>
  <x:c r="F1257" i="4"/>
  <x:c r="T1257" i="4"/>
  <x:c r="A1258" i="4"/>
  <x:c r="E1258" i="4"/>
  <x:c r="F1258" i="4"/>
  <x:c r="T1258" i="4"/>
  <x:c r="A1259" i="4"/>
  <x:c r="E1259" i="4"/>
  <x:c r="F1259" i="4"/>
  <x:c r="T1259" i="4"/>
  <x:c r="A1260" i="4"/>
  <x:c r="E1260" i="4"/>
  <x:c r="F1260" i="4"/>
  <x:c r="T1260" i="4"/>
  <x:c r="A1261" i="4"/>
  <x:c r="E1261" i="4"/>
  <x:c r="F1261" i="4"/>
  <x:c r="T1261" i="4"/>
  <x:c r="A1262" i="4"/>
  <x:c r="E1262" i="4"/>
  <x:c r="F1262" i="4"/>
  <x:c r="T1262" i="4"/>
  <x:c r="A1263" i="4"/>
  <x:c r="E1263" i="4"/>
  <x:c r="F1263" i="4"/>
  <x:c r="T1263" i="4"/>
  <x:c r="A1264" i="4"/>
  <x:c r="E1264" i="4"/>
  <x:c r="F1264" i="4"/>
  <x:c r="T1264" i="4"/>
  <x:c r="A1265" i="4"/>
  <x:c r="E1265" i="4"/>
  <x:c r="F1265" i="4"/>
  <x:c r="T1265" i="4"/>
  <x:c r="A1266" i="4"/>
  <x:c r="E1266" i="4"/>
  <x:c r="F1266" i="4"/>
  <x:c r="T1266" i="4"/>
  <x:c r="A1267" i="4"/>
  <x:c r="E1267" i="4"/>
  <x:c r="F1267" i="4"/>
  <x:c r="T1267" i="4"/>
  <x:c r="A1268" i="4"/>
  <x:c r="E1268" i="4"/>
  <x:c r="F1268" i="4"/>
  <x:c r="T1268" i="4"/>
  <x:c r="A1269" i="4"/>
  <x:c r="E1269" i="4"/>
  <x:c r="F1269" i="4"/>
  <x:c r="T1269" i="4"/>
  <x:c r="A1270" i="4"/>
  <x:c r="E1270" i="4"/>
  <x:c r="F1270" i="4"/>
  <x:c r="T1270" i="4"/>
  <x:c r="A1271" i="4"/>
  <x:c r="E1271" i="4"/>
  <x:c r="F1271" i="4"/>
  <x:c r="T1271" i="4"/>
  <x:c r="A1272" i="4"/>
  <x:c r="E1272" i="4"/>
  <x:c r="F1272" i="4"/>
  <x:c r="T1272" i="4"/>
  <x:c r="A1273" i="4"/>
  <x:c r="E1273" i="4"/>
  <x:c r="F1273" i="4"/>
  <x:c r="T1273" i="4"/>
  <x:c r="A1274" i="4"/>
  <x:c r="E1274" i="4"/>
  <x:c r="F1274" i="4"/>
  <x:c r="T1274" i="4"/>
  <x:c r="A1275" i="4"/>
  <x:c r="E1275" i="4"/>
  <x:c r="F1275" i="4"/>
  <x:c r="T1275" i="4"/>
  <x:c r="A1276" i="4"/>
  <x:c r="E1276" i="4"/>
  <x:c r="F1276" i="4"/>
  <x:c r="T1276" i="4"/>
  <x:c r="A1277" i="4"/>
  <x:c r="E1277" i="4"/>
  <x:c r="F1277" i="4"/>
  <x:c r="T1277" i="4"/>
  <x:c r="A1278" i="4"/>
  <x:c r="E1278" i="4"/>
  <x:c r="F1278" i="4"/>
  <x:c r="T1278" i="4"/>
  <x:c r="A1279" i="4"/>
  <x:c r="E1279" i="4"/>
  <x:c r="F1279" i="4"/>
  <x:c r="T1279" i="4"/>
  <x:c r="A1280" i="4"/>
  <x:c r="E1280" i="4"/>
  <x:c r="F1280" i="4"/>
  <x:c r="T1280" i="4"/>
  <x:c r="A1281" i="4"/>
  <x:c r="E1281" i="4"/>
  <x:c r="F1281" i="4"/>
  <x:c r="T1281" i="4"/>
  <x:c r="A1282" i="4"/>
  <x:c r="E1282" i="4"/>
  <x:c r="F1282" i="4"/>
  <x:c r="T1282" i="4"/>
  <x:c r="A4" i="5"/>
  <x:c r="A5" i="5"/>
  <x:c r="A6" i="5"/>
  <x:c r="A7" i="5"/>
  <x:c r="A8" i="5"/>
  <x:c r="A9" i="5"/>
  <x:c r="A10" i="5"/>
  <x:c r="A11" i="5"/>
  <x:c r="A12" i="5"/>
  <x:c r="A13" i="5"/>
  <x:c r="A14" i="5"/>
  <x:c r="A15" i="5"/>
  <x:c r="A16" i="5"/>
  <x:c r="A17" i="5"/>
  <x:c r="A18" i="5"/>
  <x:c r="A4" i="6"/>
  <x:c r="A5" i="6"/>
  <x:c r="A6" i="6"/>
  <x:c r="A7" i="6"/>
  <x:c r="A8" i="6"/>
  <x:c r="A9" i="6"/>
  <x:c r="A10" i="6"/>
  <x:c r="A11" i="6"/>
  <x:c r="A12" i="6"/>
  <x:c r="A13" i="6"/>
  <x:c r="A14" i="6"/>
  <x:c r="A15" i="6"/>
  <x:c r="A16" i="6"/>
  <x:c r="A17" i="6"/>
  <x:c r="A4" i="8"/>
  <x:c r="A5" i="8"/>
  <x:c r="A6" i="8"/>
  <x:c r="A7" i="8"/>
  <x:c r="A8" i="8"/>
  <x:c r="A9" i="8"/>
  <x:c r="A10" i="8"/>
  <x:c r="A11" i="8"/>
  <x:c r="A12" i="8"/>
  <x:c r="A4" i="9"/>
  <x:c r="A5" i="9"/>
  <x:c r="A6" i="9"/>
  <x:c r="A7" i="9"/>
  <x:c r="A8" i="9"/>
  <x:c r="A4" i="10"/>
  <x:c r="H4" i="10"/>
  <x:c r="A5" i="10"/>
  <x:c r="H5" i="10"/>
  <x:c r="A6" i="10"/>
  <x:c r="H6" i="10"/>
  <x:c r="A7" i="10"/>
  <x:c r="H7" i="10"/>
  <x:c r="A8" i="10"/>
  <x:c r="H8" i="10"/>
  <x:c r="A4" i="13"/>
  <x:c r="G4" i="13"/>
  <x:c r="H4" i="13"/>
  <x:c r="I4" i="13"/>
  <x:c r="L4" i="13"/>
  <x:c r="A5" i="13"/>
  <x:c r="F5" i="13"/>
  <x:c r="G5" i="13"/>
  <x:c r="H5" i="13"/>
  <x:c r="I5" i="13"/>
  <x:c r="L5" i="13"/>
  <x:c r="A6" i="13"/>
  <x:c r="F6" i="13"/>
  <x:c r="G6" i="13"/>
  <x:c r="H6" i="13"/>
  <x:c r="I6" i="13"/>
  <x:c r="L6" i="13"/>
  <x:c r="A7" i="13"/>
  <x:c r="F7" i="13"/>
  <x:c r="G7" i="13"/>
  <x:c r="H7" i="13"/>
  <x:c r="I7" i="13"/>
  <x:c r="L7" i="13"/>
  <x:c r="A8" i="13"/>
  <x:c r="F8" i="13"/>
  <x:c r="G8" i="13"/>
  <x:c r="H8" i="13"/>
  <x:c r="I8" i="13"/>
  <x:c r="L8" i="13"/>
  <x:c r="A9" i="13"/>
  <x:c r="F9" i="13"/>
  <x:c r="G9" i="13"/>
  <x:c r="H9" i="13"/>
  <x:c r="I9" i="13"/>
  <x:c r="L9" i="13"/>
  <x:c r="A4" i="11"/>
  <x:c r="F4" i="11"/>
  <x:c r="A5" i="11"/>
  <x:c r="F5" i="11"/>
  <x:c r="A6" i="11"/>
  <x:c r="F6" i="11"/>
  <x:c r="A7" i="11"/>
  <x:c r="F7" i="11"/>
  <x:c r="A8" i="11"/>
  <x:c r="F8" i="11"/>
  <x:c r="H144" i="12"/>
  <x:c r="H145" i="12"/>
  <x:c r="H146" i="12"/>
  <x:c r="H147" i="12"/>
  <x:c r="H148" i="12"/>
</x:calcChain>
</file>

<file path=xl/sharedStrings.xml><?xml version="1.0" encoding="utf-8"?>
<x:sst xmlns:x="http://schemas.openxmlformats.org/spreadsheetml/2006/main">
  <x:si>
    <x:t>lbh9517_175126</x:t>
  </x:si>
  <x:si>
    <x:t>고유값</x:t>
  </x:si>
  <x:si>
    <x:t>테마 id</x:t>
  </x:si>
  <x:si>
    <x:t>패스 레벨</x:t>
  </x:si>
  <x:si>
    <x:t>필요 exp 양</x:t>
  </x:si>
  <x:si>
    <x:t>완료 보상 1</x:t>
  </x:si>
  <x:si>
    <x:t>보상 값 1</x:t>
  </x:si>
  <x:si>
    <x:t>해금될 도감 스토리 id</x:t>
  </x:si>
  <x:si>
    <x:t>y시 메인 리워드</x:t>
  </x:si>
  <x:si>
    <x:t>등급 설정</x:t>
  </x:si>
  <x:si>
    <x:t>세트 설정</x:t>
  </x:si>
  <x:si>
    <x:t>장비 옵션 설정</x:t>
  </x:si>
  <x:si>
    <x:t>장비 강화 LV 설정(현재 15만 사용 가능)</x:t>
  </x:si>
  <x:si>
    <x:t>id</x:t>
  </x:si>
  <x:si>
    <x:t>export_id</x:t>
  </x:si>
  <x:si>
    <x:t>theme_id</x:t>
  </x:si>
  <x:si>
    <x:t>level</x:t>
  </x:si>
  <x:si>
    <x:t>need_exp_value</x:t>
  </x:si>
  <x:si>
    <x:t>reward_id_1</x:t>
  </x:si>
  <x:si>
    <x:t>reward_value_1</x:t>
  </x:si>
  <x:si>
    <x:t>dic_collect_story</x:t>
  </x:si>
  <x:si>
    <x:t>main_reward</x:t>
  </x:si>
  <x:si>
    <x:t>*grade_rate_1</x:t>
  </x:si>
  <x:si>
    <x:t>*set_drop_1</x:t>
  </x:si>
  <x:si>
    <x:t>*equip_op_1</x:t>
  </x:si>
  <x:si>
    <x:t>*equip_enchant_lv_1</x:t>
  </x:si>
  <x:si>
    <x:t>s1</x:t>
  </x:si>
  <x:si>
    <x:t>to_gold</x:t>
  </x:si>
  <x:si>
    <x:t>nexus_s1_story_001</x:t>
  </x:si>
  <x:si>
    <x:t>to_stigma</x:t>
  </x:si>
  <x:si>
    <x:t>to_ticketrare</x:t>
  </x:si>
  <x:si>
    <x:t>nexus_s1_story_002</x:t>
  </x:si>
  <x:si>
    <x:t>to_crystal</x:t>
  </x:si>
  <x:si>
    <x:t>nexus_s1_story_003</x:t>
  </x:si>
  <x:si>
    <x:t>to_powder</x:t>
  </x:si>
  <x:si>
    <x:t>to_ticketrare_wish</x:t>
  </x:si>
  <x:si>
    <x:t>nexus_s1_story_004</x:t>
  </x:si>
  <x:si>
    <x:t>nexus_s1_story_005</x:t>
  </x:si>
  <x:si>
    <x:t>y</x:t>
  </x:si>
  <x:si>
    <x:t>nexus_s1_story_006</x:t>
  </x:si>
  <x:si>
    <x:t>nexus_s1_story_007</x:t>
  </x:si>
  <x:si>
    <x:t>nexus_s1_story_008</x:t>
  </x:si>
  <x:si>
    <x:t>nexus_s1_story_009</x:t>
  </x:si>
  <x:si>
    <x:t>nexus_s1_story_010</x:t>
  </x:si>
  <x:si>
    <x:t>nexus_s1_story_011</x:t>
  </x:si>
  <x:si>
    <x:t>nexus_s1_story_012</x:t>
  </x:si>
  <x:si>
    <x:t>nexus_s1_story_013</x:t>
  </x:si>
  <x:si>
    <x:t>nexus_s1_story_014</x:t>
  </x:si>
  <x:si>
    <x:t>nexus_s1_story_015</x:t>
  </x:si>
  <x:si>
    <x:t>to_mura</x:t>
  </x:si>
  <x:si>
    <x:t>to_ticketspecial</x:t>
  </x:si>
  <x:si>
    <x:t>to_hero2</x:t>
  </x:si>
  <x:si>
    <x:t>to_ticketmoon</x:t>
  </x:si>
  <x:si>
    <x:t>sp_eqf5s_210422</x:t>
  </x:si>
  <x:si>
    <x:t>레벨</x:t>
  </x:si>
  <x:si>
    <x:t>레벨 별 배경</x:t>
  </x:si>
  <x:si>
    <x:t>레벨 별 이미지</x:t>
  </x:si>
  <x:si>
    <x:t>레벨 상승 필요 아이템</x:t>
  </x:si>
  <x:si>
    <x:t>레벨 상승 필요 개수</x:t>
  </x:si>
  <x:si>
    <x:t>노드 구획 해방 권한</x:t>
  </x:si>
  <x:si>
    <x:t>리워드 타입</x:t>
  </x:si>
  <x:si>
    <x:t>리워드 id</x:t>
  </x:si>
  <x:si>
    <x:t>리워드 개수</x:t>
  </x:si>
  <x:si>
    <x:t>level_bg</x:t>
  </x:si>
  <x:si>
    <x:t>level_image</x:t>
  </x:si>
  <x:si>
    <x:t>level_require_item_id</x:t>
  </x:si>
  <x:si>
    <x:t>level_require_item_value</x:t>
  </x:si>
  <x:si>
    <x:t>reward_type_1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</x:si>
  <x:si>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node_permission</x:t>
    </x:r>
    <x:phoneticPr fontId="0" type="noConversion"/>
  </x:si>
  <x:si>
    <x:t>reward_1_value</x:t>
  </x:si>
  <x:si>
    <x:t>reward_type_2</x:t>
  </x:si>
  <x:si>
    <x:t>reward_id_2</x:t>
  </x:si>
  <x:si>
    <x:t>reward_2_value</x:t>
  </x:si>
  <x:si>
    <x:t>*grade_rate_2</x:t>
  </x:si>
  <x:si>
    <x:t>*set_drop_2</x:t>
  </x:si>
  <x:si>
    <x:t>*equip_op_2</x:t>
  </x:si>
  <x:si>
    <x:t>*equip_enchant_lv_2</x:t>
  </x:si>
  <x:si>
    <x:t>bg_nexus1_00pct</x:t>
  </x:si>
  <x:si>
    <x:t>nexus_hall_lv_01</x:t>
  </x:si>
  <x:si>
    <x:t>node</x:t>
  </x:si>
  <x:si>
    <x:t>item</x:t>
  </x:si>
  <x:si>
    <x:t>nexus_hall_lv_02</x:t>
  </x:si>
  <x:si>
    <x:t>bg_nexus1_25pct</x:t>
  </x:si>
  <x:si>
    <x:t>nexus_hall_lv_03</x:t>
  </x:si>
  <x:si>
    <x:t>nexus_hall_lv_04</x:t>
  </x:si>
  <x:si>
    <x:t>bg_nexus1_50pct</x:t>
  </x:si>
  <x:si>
    <x:t>nexus_hall_lv_05</x:t>
  </x:si>
  <x:si>
    <x:t>nexus_hall_lv_06</x:t>
  </x:si>
  <x:si>
    <x:t>bg_nexus1_75pct</x:t>
  </x:si>
  <x:si>
    <x:t>nexus_hall_lv_07</x:t>
  </x:si>
  <x:si>
    <x:t>nexus_hall_lv_08</x:t>
  </x:si>
  <x:si>
    <x:t>bg_nexus1_100pct</x:t>
  </x:si>
  <x:si>
    <x:t>nexus_hall_lv_09</x:t>
  </x:si>
  <x:si>
    <x:t>nexus_hall_lv_10</x:t>
  </x:si>
  <x:si>
    <x:t>노드카테고리id</x:t>
  </x:si>
  <x:si>
    <x:t>테마 id 주석</x:t>
  </x:si>
  <x:si>
    <x:t>노드 카테고리 주석</x:t>
  </x:si>
  <x:si>
    <x:t>카테고리 정렬 순서</x:t>
  </x:si>
  <x:si>
    <x:t>노드 이름 tid</x:t>
  </x:si>
  <x:si>
    <x:t>category</x:t>
  </x:si>
  <x:si>
    <x:t>index</x:t>
  </x:si>
  <x:si>
    <x:t>node_name</x:t>
  </x:si>
  <x:si>
    <x:t>survival</x:t>
  </x:si>
  <x:si>
    <x:t>economy</x:t>
  </x:si>
  <x:si>
    <x:t>recruit</x:t>
  </x:si>
  <x:si>
    <x:t>relic</x:t>
  </x:si>
  <x:si>
    <x:t>battle</x:t>
  </x:si>
  <x:si>
    <x:t>archive</x:t>
  </x:si>
  <x:si>
    <x:t>노드 카테고리</x:t>
  </x:si>
  <x:si>
    <x:t>카테고리 TID</x:t>
  </x:si>
  <x:si>
    <x:t>노드 이미지 파일명</x:t>
  </x:si>
  <x:si>
    <x:t>메인 리워드 권한</x:t>
  </x:si>
  <x:si>
    <x:t>노드 활성화 필요 아이템</x:t>
  </x:si>
  <x:si>
    <x:t>노드 활성화 필요 개수</x:t>
  </x:si>
  <x:si>
    <x:t>노드 활성화 횟수</x:t>
  </x:si>
  <x:si>
    <x:r>
      <x:rPr>
        <x:vertAlign val="baseline"/>
        <x:sz val="11"/>
        <x:color theme="1"/>
        <x:rFont val="맑은 고딕"/>
        <x:family val="3"/>
        <x:charset val="129"/>
      </x:rPr>
      <x:t>전체 필요 개수</x:t>
    </x:r>
    <x:phoneticPr fontId="0" type="noConversion"/>
  </x:si>
  <x:si>
    <x:t>노드 칼럼 위치</x:t>
  </x:si>
  <x:si>
    <x:t>노드 행 위치</x:t>
  </x:si>
  <x:si>
    <x:t>선행 조건 노드 ID 1</x:t>
  </x:si>
  <x:si>
    <x:t>선행 조건 노드 ID 2</x:t>
  </x:si>
  <x:si>
    <x:t>선행 조건 노드 ID 3</x:t>
  </x:si>
  <x:si>
    <x:t>선행 조건 노드 ID 4</x:t>
  </x:si>
  <x:si>
    <x:t>선행 조건 노드 ID 5</x:t>
  </x:si>
  <x:si>
    <x:t>nexus_effect 테이블의 id 입력</x:t>
  </x:si>
  <x:si>
    <x:t>category_name</x:t>
  </x:si>
  <x:si>
    <x:t>image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</x:si>
  <x:si>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node_effect_desc</x:t>
    </x:r>
    <x:phoneticPr fontId="0" type="noConversion"/>
  </x:si>
  <x:si>
    <x:t>active_item_id</x:t>
  </x:si>
  <x:si>
    <x:t>active_item_value</x:t>
  </x:si>
  <x:si>
    <x:t>active_step</x:t>
  </x:si>
  <x:si>
    <x:t>column</x:t>
  </x:si>
  <x:si>
    <x:t>row</x:t>
  </x:si>
  <x:si>
    <x:t>condition_node_4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</x:si>
  <x:si>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</x:si>
  <x:si>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</x:si>
  <x:si>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condition_node_3</x:t>
    </x:r>
    <x:phoneticPr fontId="0" type="noConversion"/>
  </x:si>
  <x:si>
    <x:t>condition_node_5</x:t>
  </x:si>
  <x:si>
    <x:t>nexus_effect_id</x:t>
  </x:si>
  <x:si>
    <x:t>icon_menu_max_hp</x:t>
  </x:si>
  <x:si>
    <x:t>20;30;30</x:t>
  </x:si>
  <x:si>
    <x:t>30;40;50</x:t>
  </x:si>
  <x:si>
    <x:t>s1_node_survival_1_4</x:t>
  </x:si>
  <x:si>
    <x:t>icon_menu_trust</x:t>
  </x:si>
  <x:si>
    <x:t>40;50;60</x:t>
  </x:si>
  <x:si>
    <x:t>s1_node_survival_2_2</x:t>
  </x:si>
  <x:si>
    <x:t>s1_node_survival_2_6</x:t>
  </x:si>
  <x:si>
    <x:t>50;60;70</x:t>
  </x:si>
  <x:si>
    <x:t>s1_node_survival_3_2</x:t>
  </x:si>
  <x:si>
    <x:t>s1_node_survival_3_6</x:t>
  </x:si>
  <x:si>
    <x:t>icon_menu_battle2</x:t>
  </x:si>
  <x:si>
    <x:t>60;70;90</x:t>
  </x:si>
  <x:si>
    <x:t>s1_node_survival_4_2</x:t>
  </x:si>
  <x:si>
    <x:t>s1_node_survival_4_6</x:t>
  </x:si>
  <x:si>
    <x:t>70;80;100</x:t>
  </x:si>
  <x:si>
    <x:t>s1_node_survival_5_2</x:t>
  </x:si>
  <x:si>
    <x:t>s1_node_survival_5_6</x:t>
  </x:si>
  <x:si>
    <x:t>90;100;100</x:t>
  </x:si>
  <x:si>
    <x:t>s1_node_survival_6_4</x:t>
  </x:si>
  <x:si>
    <x:t>100;110;110</x:t>
  </x:si>
  <x:si>
    <x:t>s1_node_survival_7_2</x:t>
  </x:si>
  <x:si>
    <x:t>s1_node_survival_7_6</x:t>
  </x:si>
  <x:si>
    <x:t>110;120;130</x:t>
  </x:si>
  <x:si>
    <x:t>s1_node_survival_8_2</x:t>
  </x:si>
  <x:si>
    <x:t>s1_node_survival_8_6</x:t>
  </x:si>
  <x:si>
    <x:t>120;130;140</x:t>
  </x:si>
  <x:si>
    <x:t>s1_node_survival_9_2</x:t>
  </x:si>
  <x:si>
    <x:t>s1_node_survival_9_6</x:t>
  </x:si>
  <x:si>
    <x:t>130;140;160</x:t>
  </x:si>
  <x:si>
    <x:t>s1_node_survival_10_2</x:t>
  </x:si>
  <x:si>
    <x:t>s1_node_survival_10_6</x:t>
  </x:si>
  <x:si>
    <x:t>140;150;170</x:t>
  </x:si>
  <x:si>
    <x:t>s1_node_survival_11_4</x:t>
  </x:si>
  <x:si>
    <x:t>160;170;170</x:t>
  </x:si>
  <x:si>
    <x:t>s1_node_survival_12_2</x:t>
  </x:si>
  <x:si>
    <x:t>s1_node_survival_12_6</x:t>
  </x:si>
  <x:si>
    <x:t>170;180;180</x:t>
  </x:si>
  <x:si>
    <x:t>s1_node_survival_13_2</x:t>
  </x:si>
  <x:si>
    <x:t>s1_node_survival_13_6</x:t>
  </x:si>
  <x:si>
    <x:t>180;190;200</x:t>
  </x:si>
  <x:si>
    <x:t>s1_node_survival_14_2</x:t>
  </x:si>
  <x:si>
    <x:t>s1_node_survival_14_6</x:t>
  </x:si>
  <x:si>
    <x:t>190;200;210</x:t>
  </x:si>
  <x:si>
    <x:t>s1_node_survival_15_2</x:t>
  </x:si>
  <x:si>
    <x:t>s1_node_survival_15_6</x:t>
  </x:si>
  <x:si>
    <x:t>200;210;230</x:t>
  </x:si>
  <x:si>
    <x:t>s1_node_survival_16_4</x:t>
  </x:si>
  <x:si>
    <x:t>210;220;240</x:t>
  </x:si>
  <x:si>
    <x:t>s1_node_survival_17_2</x:t>
  </x:si>
  <x:si>
    <x:t>s1_node_survival_17_6</x:t>
  </x:si>
  <x:si>
    <x:t>230;240;240</x:t>
  </x:si>
  <x:si>
    <x:t>s1_node_survival_18_2</x:t>
  </x:si>
  <x:si>
    <x:t>s1_node_survival_18_6</x:t>
  </x:si>
  <x:si>
    <x:t>240;250;250</x:t>
  </x:si>
  <x:si>
    <x:t>s1_node_survival_19_2</x:t>
  </x:si>
  <x:si>
    <x:t>s1_node_survival_19_6</x:t>
  </x:si>
  <x:si>
    <x:t>250;260;270</x:t>
  </x:si>
  <x:si>
    <x:t>s1_node_survival_20_2</x:t>
  </x:si>
  <x:si>
    <x:t>s1_node_survival_20_6</x:t>
  </x:si>
  <x:si>
    <x:t>260;270;280</x:t>
  </x:si>
  <x:si>
    <x:t>s1_node_survival_21_4</x:t>
  </x:si>
  <x:si>
    <x:t>270;280;290</x:t>
  </x:si>
  <x:si>
    <x:t>s1_node_survival_22_2</x:t>
  </x:si>
  <x:si>
    <x:t>s1_node_survival_22_6</x:t>
  </x:si>
  <x:si>
    <x:t>280;290;310</x:t>
  </x:si>
  <x:si>
    <x:t>s1_node_survival_23_2</x:t>
  </x:si>
  <x:si>
    <x:t>s1_node_survival_23_6</x:t>
  </x:si>
  <x:si>
    <x:t>290;300;320</x:t>
  </x:si>
  <x:si>
    <x:t>s1_node_survival_24_2</x:t>
  </x:si>
  <x:si>
    <x:t>s1_node_survival_24_6</x:t>
  </x:si>
  <x:si>
    <x:t>310;320;320</x:t>
  </x:si>
  <x:si>
    <x:t>s1_node_survival_25_2</x:t>
  </x:si>
  <x:si>
    <x:t>s1_node_survival_25_6</x:t>
  </x:si>
  <x:si>
    <x:t>320;330;330</x:t>
  </x:si>
  <x:si>
    <x:t>s1_node_survival_26_4</x:t>
  </x:si>
  <x:si>
    <x:t>330;340;350</x:t>
  </x:si>
  <x:si>
    <x:t>s1_node_survival_27_2</x:t>
  </x:si>
  <x:si>
    <x:t>s1_node_survival_27_6</x:t>
  </x:si>
  <x:si>
    <x:t>340;350;360</x:t>
  </x:si>
  <x:si>
    <x:t>s1_node_survival_28_2</x:t>
  </x:si>
  <x:si>
    <x:t>s1_node_survival_28_6</x:t>
  </x:si>
  <x:si>
    <x:t>350;360;380</x:t>
  </x:si>
  <x:si>
    <x:t>s1_node_survival_29_2</x:t>
  </x:si>
  <x:si>
    <x:t>s1_node_survival_29_6</x:t>
  </x:si>
  <x:si>
    <x:t>360;370;390</x:t>
  </x:si>
  <x:si>
    <x:t>s1_node_survival_30_2</x:t>
  </x:si>
  <x:si>
    <x:t>s1_node_survival_30_6</x:t>
  </x:si>
  <x:si>
    <x:t>380;390;390</x:t>
  </x:si>
  <x:si>
    <x:t>s1_node_survival_31_4</x:t>
  </x:si>
  <x:si>
    <x:t>390;400;400</x:t>
  </x:si>
  <x:si>
    <x:t>s1_node_survival_32_2</x:t>
  </x:si>
  <x:si>
    <x:t>s1_node_survival_32_6</x:t>
  </x:si>
  <x:si>
    <x:t>400;410;420</x:t>
  </x:si>
  <x:si>
    <x:t>s1_node_survival_33_2</x:t>
  </x:si>
  <x:si>
    <x:t>s1_node_survival_33_6</x:t>
  </x:si>
  <x:si>
    <x:t>410;420;430</x:t>
  </x:si>
  <x:si>
    <x:t>s1_node_survival_34_2</x:t>
  </x:si>
  <x:si>
    <x:t>s1_node_survival_34_6</x:t>
  </x:si>
  <x:si>
    <x:t>420;430;450</x:t>
  </x:si>
  <x:si>
    <x:t>s1_node_survival_35_2</x:t>
  </x:si>
  <x:si>
    <x:t>s1_node_survival_35_6</x:t>
  </x:si>
  <x:si>
    <x:t>430;440;460</x:t>
  </x:si>
  <x:si>
    <x:t>s1_node_survival_36_4</x:t>
  </x:si>
  <x:si>
    <x:t>450;460;460</x:t>
  </x:si>
  <x:si>
    <x:t>s1_node_survival_37_2</x:t>
  </x:si>
  <x:si>
    <x:t>s1_node_survival_37_6</x:t>
  </x:si>
  <x:si>
    <x:t>460;470;470</x:t>
  </x:si>
  <x:si>
    <x:t>s1_node_survival_38_2</x:t>
  </x:si>
  <x:si>
    <x:t>s1_node_survival_38_6</x:t>
  </x:si>
  <x:si>
    <x:t>470;480;490</x:t>
  </x:si>
  <x:si>
    <x:t>s1_node_survival_39_2</x:t>
  </x:si>
  <x:si>
    <x:t>s1_node_survival_39_6</x:t>
  </x:si>
  <x:si>
    <x:t>480;490;500</x:t>
  </x:si>
  <x:si>
    <x:t>s1_node_survival_40_2</x:t>
  </x:si>
  <x:si>
    <x:t>s1_node_survival_40_6</x:t>
  </x:si>
  <x:si>
    <x:t>490;500;520</x:t>
  </x:si>
  <x:si>
    <x:t>s1_node_survival_41_4</x:t>
  </x:si>
  <x:si>
    <x:t>500;510;530</x:t>
  </x:si>
  <x:si>
    <x:t>s1_node_survival_42_2</x:t>
  </x:si>
  <x:si>
    <x:t>s1_node_survival_42_6</x:t>
  </x:si>
  <x:si>
    <x:t>510;520;540</x:t>
  </x:si>
  <x:si>
    <x:t>s1_node_survival_43_2</x:t>
  </x:si>
  <x:si>
    <x:t>s1_node_survival_43_6</x:t>
  </x:si>
  <x:si>
    <x:t>530;540;540</x:t>
  </x:si>
  <x:si>
    <x:t>s1_node_survival_44_2</x:t>
  </x:si>
  <x:si>
    <x:t>s1_node_survival_44_6</x:t>
  </x:si>
  <x:si>
    <x:t>540;550;550</x:t>
  </x:si>
  <x:si>
    <x:t>s1_node_survival_45_2</x:t>
  </x:si>
  <x:si>
    <x:t>s1_node_survival_45_6</x:t>
  </x:si>
  <x:si>
    <x:t>550;560;570</x:t>
  </x:si>
  <x:si>
    <x:t>s1_node_survival_46_4</x:t>
  </x:si>
  <x:si>
    <x:t>560;570;580</x:t>
  </x:si>
  <x:si>
    <x:t>s1_node_survival_47_2</x:t>
  </x:si>
  <x:si>
    <x:t>s1_node_survival_47_6</x:t>
  </x:si>
  <x:si>
    <x:t>570;580;600</x:t>
  </x:si>
  <x:si>
    <x:t>s1_node_survival_48_2</x:t>
  </x:si>
  <x:si>
    <x:t>s1_node_survival_48_6</x:t>
  </x:si>
  <x:si>
    <x:t>580;590;610</x:t>
  </x:si>
  <x:si>
    <x:t>s1_node_survival_49_2</x:t>
  </x:si>
  <x:si>
    <x:t>s1_node_survival_49_6</x:t>
  </x:si>
  <x:si>
    <x:t>600;610;610</x:t>
  </x:si>
  <x:si>
    <x:t>s1_node_survival_50_2</x:t>
  </x:si>
  <x:si>
    <x:t>s1_node_survival_50_6</x:t>
  </x:si>
  <x:si>
    <x:t>610;620;620</x:t>
  </x:si>
  <x:si>
    <x:t>s1_node_survival_51_4</x:t>
  </x:si>
  <x:si>
    <x:t>620;630;640</x:t>
  </x:si>
  <x:si>
    <x:t>s1_node_survival_52_2</x:t>
  </x:si>
  <x:si>
    <x:t>s1_node_survival_52_6</x:t>
  </x:si>
  <x:si>
    <x:t>630;640;650</x:t>
  </x:si>
  <x:si>
    <x:t>s1_node_survival_53_2</x:t>
  </x:si>
  <x:si>
    <x:t>s1_node_survival_53_6</x:t>
  </x:si>
  <x:si>
    <x:t>640;650;670</x:t>
  </x:si>
  <x:si>
    <x:t>s1_node_survival_54_2</x:t>
  </x:si>
  <x:si>
    <x:t>s1_node_survival_54_6</x:t>
  </x:si>
  <x:si>
    <x:t>650;660;680</x:t>
  </x:si>
  <x:si>
    <x:t>s1_node_survival_55_2</x:t>
  </x:si>
  <x:si>
    <x:t>s1_node_survival_55_6</x:t>
  </x:si>
  <x:si>
    <x:t>670;680;680</x:t>
  </x:si>
  <x:si>
    <x:t>s1_node_survival_56_4</x:t>
  </x:si>
  <x:si>
    <x:t>680;690;690</x:t>
  </x:si>
  <x:si>
    <x:t>s1_node_survival_57_2</x:t>
  </x:si>
  <x:si>
    <x:t>s1_node_survival_57_6</x:t>
  </x:si>
  <x:si>
    <x:t>690;700;710</x:t>
  </x:si>
  <x:si>
    <x:t>s1_node_survival_58_2</x:t>
  </x:si>
  <x:si>
    <x:t>s1_node_survival_58_6</x:t>
  </x:si>
  <x:si>
    <x:t>700;710;720</x:t>
  </x:si>
  <x:si>
    <x:t>s1_node_survival_59_2</x:t>
  </x:si>
  <x:si>
    <x:t>s1_node_survival_59_6</x:t>
  </x:si>
  <x:si>
    <x:t>710;720;740</x:t>
  </x:si>
  <x:si>
    <x:t>s1_node_survival_60_2</x:t>
  </x:si>
  <x:si>
    <x:t>s1_node_survival_60_6</x:t>
  </x:si>
  <x:si>
    <x:t>720;730;750</x:t>
  </x:si>
  <x:si>
    <x:t>s1_node_survival_61_4</x:t>
  </x:si>
  <x:si>
    <x:t>730;740;760</x:t>
  </x:si>
  <x:si>
    <x:t>s1_node_survival_62_2</x:t>
  </x:si>
  <x:si>
    <x:t>s1_node_survival_62_6</x:t>
  </x:si>
  <x:si>
    <x:t>750;760;760</x:t>
  </x:si>
  <x:si>
    <x:t>s1_node_survival_63_2</x:t>
  </x:si>
  <x:si>
    <x:t>s1_node_survival_63_6</x:t>
  </x:si>
  <x:si>
    <x:t>760;770;770</x:t>
  </x:si>
  <x:si>
    <x:t>s1_node_survival_64_2</x:t>
  </x:si>
  <x:si>
    <x:t>s1_node_survival_64_6</x:t>
  </x:si>
  <x:si>
    <x:t>770;780;790</x:t>
  </x:si>
  <x:si>
    <x:t>s1_node_survival_65_2</x:t>
  </x:si>
  <x:si>
    <x:t>s1_node_survival_65_6</x:t>
  </x:si>
  <x:si>
    <x:t>780;790;800</x:t>
  </x:si>
  <x:si>
    <x:t>s1_node_survival_66_4</x:t>
  </x:si>
  <x:si>
    <x:t>790;800;820</x:t>
  </x:si>
  <x:si>
    <x:t>s1_node_survival_67_2</x:t>
  </x:si>
  <x:si>
    <x:t>s1_node_survival_67_6</x:t>
  </x:si>
  <x:si>
    <x:t>800;810;830</x:t>
  </x:si>
  <x:si>
    <x:t>s1_node_survival_68_2</x:t>
  </x:si>
  <x:si>
    <x:t>s1_node_survival_68_6</x:t>
  </x:si>
  <x:si>
    <x:t>820;830;830</x:t>
  </x:si>
  <x:si>
    <x:t>s1_node_survival_69_2</x:t>
  </x:si>
  <x:si>
    <x:t>s1_node_survival_69_6</x:t>
  </x:si>
  <x:si>
    <x:t>830;840;840</x:t>
  </x:si>
  <x:si>
    <x:t>s1_node_survival_70_2</x:t>
  </x:si>
  <x:si>
    <x:t>s1_node_survival_70_6</x:t>
  </x:si>
  <x:si>
    <x:t>840;850;860</x:t>
  </x:si>
  <x:si>
    <x:t>s1_node_survival_71_4</x:t>
  </x:si>
  <x:si>
    <x:t>850;860;870</x:t>
  </x:si>
  <x:si>
    <x:t>s1_node_survival_72_2</x:t>
  </x:si>
  <x:si>
    <x:t>s1_node_survival_72_6</x:t>
  </x:si>
  <x:si>
    <x:t>860;870;890</x:t>
  </x:si>
  <x:si>
    <x:t>s1_node_survival_73_2</x:t>
  </x:si>
  <x:si>
    <x:t>s1_node_survival_73_6</x:t>
  </x:si>
  <x:si>
    <x:t>870;880;900</x:t>
  </x:si>
  <x:si>
    <x:t>s1_node_survival_74_2</x:t>
  </x:si>
  <x:si>
    <x:t>s1_node_survival_74_6</x:t>
  </x:si>
  <x:si>
    <x:t>890;900;900</x:t>
  </x:si>
  <x:si>
    <x:t>s1_node_survival_75_2</x:t>
  </x:si>
  <x:si>
    <x:t>s1_node_survival_75_6</x:t>
  </x:si>
  <x:si>
    <x:t>900;910;910</x:t>
  </x:si>
  <x:si>
    <x:t>s1_node_survival_76_4</x:t>
  </x:si>
  <x:si>
    <x:t>910;920;930</x:t>
  </x:si>
  <x:si>
    <x:t>s1_node_survival_77_2</x:t>
  </x:si>
  <x:si>
    <x:t>s1_node_survival_77_6</x:t>
  </x:si>
  <x:si>
    <x:t>920;930;940</x:t>
  </x:si>
  <x:si>
    <x:t>s1_node_survival_78_2</x:t>
  </x:si>
  <x:si>
    <x:t>s1_node_survival_78_6</x:t>
  </x:si>
  <x:si>
    <x:t>930;940;960</x:t>
  </x:si>
  <x:si>
    <x:t>s1_node_survival_79_2</x:t>
  </x:si>
  <x:si>
    <x:t>s1_node_survival_79_6</x:t>
  </x:si>
  <x:si>
    <x:t>940;950;970</x:t>
  </x:si>
  <x:si>
    <x:t>s1_node_survival_80_2</x:t>
  </x:si>
  <x:si>
    <x:t>s1_node_survival_80_6</x:t>
  </x:si>
  <x:si>
    <x:t>960;970;970</x:t>
  </x:si>
  <x:si>
    <x:t>s1_node_survival_81_4</x:t>
  </x:si>
  <x:si>
    <x:t>970;980;980</x:t>
  </x:si>
  <x:si>
    <x:t>s1_node_survival_82_2</x:t>
  </x:si>
  <x:si>
    <x:t>s1_node_survival_82_6</x:t>
  </x:si>
  <x:si>
    <x:t>980;990;990</x:t>
  </x:si>
  <x:si>
    <x:t>s1_node_survival_83_2</x:t>
  </x:si>
  <x:si>
    <x:t>s1_node_survival_83_6</x:t>
  </x:si>
  <x:si>
    <x:t>990;1000;1010</x:t>
  </x:si>
  <x:si>
    <x:t>s1_node_survival_84_2</x:t>
  </x:si>
  <x:si>
    <x:t>s1_node_survival_84_6</x:t>
  </x:si>
  <x:si>
    <x:t>1000;1010;1020</x:t>
  </x:si>
  <x:si>
    <x:t>s1_node_survival_85_2</x:t>
  </x:si>
  <x:si>
    <x:t>s1_node_survival_85_6</x:t>
  </x:si>
  <x:si>
    <x:t>1010;1020;1040</x:t>
  </x:si>
  <x:si>
    <x:t>s1_node_survival_86_4</x:t>
  </x:si>
  <x:si>
    <x:t>1020;1030;1050</x:t>
  </x:si>
  <x:si>
    <x:t>s1_node_survival_87_2</x:t>
  </x:si>
  <x:si>
    <x:t>s1_node_survival_87_6</x:t>
  </x:si>
  <x:si>
    <x:t>1040;1050;1050</x:t>
  </x:si>
  <x:si>
    <x:t>s1_node_survival_88_2</x:t>
  </x:si>
  <x:si>
    <x:t>s1_node_survival_88_6</x:t>
  </x:si>
  <x:si>
    <x:t>1050;1060;1060</x:t>
  </x:si>
  <x:si>
    <x:t>s1_node_survival_89_2</x:t>
  </x:si>
  <x:si>
    <x:t>s1_node_survival_89_6</x:t>
  </x:si>
  <x:si>
    <x:t>1060;1070;1080</x:t>
  </x:si>
  <x:si>
    <x:t>s1_node_survival_90_2</x:t>
  </x:si>
  <x:si>
    <x:t>s1_node_survival_90_6</x:t>
  </x:si>
  <x:si>
    <x:t>1070;1080;1090</x:t>
  </x:si>
  <x:si>
    <x:t>s1_node_survival_91_4</x:t>
  </x:si>
  <x:si>
    <x:t>1080;1090;1110</x:t>
  </x:si>
  <x:si>
    <x:t>s1_node_survival_92_2</x:t>
  </x:si>
  <x:si>
    <x:t>s1_node_survival_92_6</x:t>
  </x:si>
  <x:si>
    <x:t>1090;1100;1120</x:t>
  </x:si>
  <x:si>
    <x:t>s1_node_survival_93_2</x:t>
  </x:si>
  <x:si>
    <x:t>s1_node_survival_93_6</x:t>
  </x:si>
  <x:si>
    <x:t>1110;1120;1120</x:t>
  </x:si>
  <x:si>
    <x:t>s1_node_survival_94_2</x:t>
  </x:si>
  <x:si>
    <x:t>s1_node_survival_94_6</x:t>
  </x:si>
  <x:si>
    <x:t>1120;1130;1130</x:t>
  </x:si>
  <x:si>
    <x:t>s1_node_survival_95_2</x:t>
  </x:si>
  <x:si>
    <x:t>s1_node_survival_95_6</x:t>
  </x:si>
  <x:si>
    <x:t>1130;1140;1150</x:t>
  </x:si>
  <x:si>
    <x:t>s1_node_survival_96_4</x:t>
  </x:si>
  <x:si>
    <x:t>1140;1150;1160</x:t>
  </x:si>
  <x:si>
    <x:t>s1_node_survival_97_2</x:t>
  </x:si>
  <x:si>
    <x:t>s1_node_survival_97_6</x:t>
  </x:si>
  <x:si>
    <x:t>1150;1160;1180</x:t>
  </x:si>
  <x:si>
    <x:t>s1_node_survival_98_2</x:t>
  </x:si>
  <x:si>
    <x:t>s1_node_survival_98_6</x:t>
  </x:si>
  <x:si>
    <x:t>1160;1170;1190</x:t>
  </x:si>
  <x:si>
    <x:t>s1_node_survival_99_6</x:t>
  </x:si>
  <x:si>
    <x:t>s1_node_survival_99_2</x:t>
  </x:si>
  <x:si>
    <x:t>icon_rumble_gold</x:t>
  </x:si>
  <x:si>
    <x:t>30;40;40</x:t>
  </x:si>
  <x:si>
    <x:t>s1_node_economy_2_4</x:t>
  </x:si>
  <x:si>
    <x:t>icon_menu_rumble_lvup</x:t>
  </x:si>
  <x:si>
    <x:t>s1_node_economy_2_6</x:t>
  </x:si>
  <x:si>
    <x:t>s1_node_economy_3_6</x:t>
  </x:si>
  <x:si>
    <x:t>s1_node_economy_4_4</x:t>
  </x:si>
  <x:si>
    <x:t>s1_node_economy_4_6</x:t>
  </x:si>
  <x:si>
    <x:t>s1_node_economy_5_6</x:t>
  </x:si>
  <x:si>
    <x:t>100;110;120</x:t>
  </x:si>
  <x:si>
    <x:t>s1_node_economy_7_4</x:t>
  </x:si>
  <x:si>
    <x:t>s1_node_economy_7_6</x:t>
  </x:si>
  <x:si>
    <x:t>120;130;150</x:t>
  </x:si>
  <x:si>
    <x:t>s1_node_economy_8_6</x:t>
  </x:si>
  <x:si>
    <x:t>s1_node_economy_9_4</x:t>
  </x:si>
  <x:si>
    <x:t>s1_node_economy_9_6</x:t>
  </x:si>
  <x:si>
    <x:t>150;160;160</x:t>
  </x:si>
  <x:si>
    <x:t>s1_node_economy_10_6</x:t>
  </x:si>
  <x:si>
    <x:t>170;180;190</x:t>
  </x:si>
  <x:si>
    <x:t>s1_node_economy_12_4</x:t>
  </x:si>
  <x:si>
    <x:t>s1_node_economy_12_6</x:t>
  </x:si>
  <x:si>
    <x:t>180;190;210</x:t>
  </x:si>
  <x:si>
    <x:t>s1_node_economy_13_6</x:t>
  </x:si>
  <x:si>
    <x:t>190;200;220</x:t>
  </x:si>
  <x:si>
    <x:t>s1_node_economy_14_4</x:t>
  </x:si>
  <x:si>
    <x:t>s1_node_economy_14_6</x:t>
  </x:si>
  <x:si>
    <x:t>210;220;220</x:t>
  </x:si>
  <x:si>
    <x:t>s1_node_economy_15_6</x:t>
  </x:si>
  <x:si>
    <x:t>220;230;230</x:t>
  </x:si>
  <x:si>
    <x:t>230;240;250</x:t>
  </x:si>
  <x:si>
    <x:t>s1_node_economy_17_4</x:t>
  </x:si>
  <x:si>
    <x:t>s1_node_economy_17_6</x:t>
  </x:si>
  <x:si>
    <x:t>240;250;260</x:t>
  </x:si>
  <x:si>
    <x:t>s1_node_economy_18_6</x:t>
  </x:si>
  <x:si>
    <x:t>250;260;280</x:t>
  </x:si>
  <x:si>
    <x:t>s1_node_economy_19_4</x:t>
  </x:si>
  <x:si>
    <x:t>s1_node_economy_19_6</x:t>
  </x:si>
  <x:si>
    <x:t>270;280;280</x:t>
  </x:si>
  <x:si>
    <x:t>s1_node_economy_20_6</x:t>
  </x:si>
  <x:si>
    <x:t>280;290;290</x:t>
  </x:si>
  <x:si>
    <x:t>290;300;310</x:t>
  </x:si>
  <x:si>
    <x:t>s1_node_economy_22_4</x:t>
  </x:si>
  <x:si>
    <x:t>s1_node_economy_22_6</x:t>
  </x:si>
  <x:si>
    <x:t>300;310;320</x:t>
  </x:si>
  <x:si>
    <x:t>s1_node_economy_23_6</x:t>
  </x:si>
  <x:si>
    <x:t>310;320;340</x:t>
  </x:si>
  <x:si>
    <x:t>s1_node_economy_24_4</x:t>
  </x:si>
  <x:si>
    <x:t>s1_node_economy_24_6</x:t>
  </x:si>
  <x:si>
    <x:t>320;330;350</x:t>
  </x:si>
  <x:si>
    <x:t>s1_node_economy_25_6</x:t>
  </x:si>
  <x:si>
    <x:t>340;350;350</x:t>
  </x:si>
  <x:si>
    <x:t>350;360;370</x:t>
  </x:si>
  <x:si>
    <x:t>s1_node_economy_27_4</x:t>
  </x:si>
  <x:si>
    <x:t>s1_node_economy_27_6</x:t>
  </x:si>
  <x:si>
    <x:t>360;370;380</x:t>
  </x:si>
  <x:si>
    <x:t>s1_node_economy_28_6</x:t>
  </x:si>
  <x:si>
    <x:t>370;380;400</x:t>
  </x:si>
  <x:si>
    <x:t>s1_node_economy_29_4</x:t>
  </x:si>
  <x:si>
    <x:t>s1_node_economy_29_6</x:t>
  </x:si>
  <x:si>
    <x:t>380;390;410</x:t>
  </x:si>
  <x:si>
    <x:t>s1_node_economy_30_6</x:t>
  </x:si>
  <x:si>
    <x:t>400;410;410</x:t>
  </x:si>
  <x:si>
    <x:t>410;420;420</x:t>
  </x:si>
  <x:si>
    <x:t>s1_node_economy_32_4</x:t>
  </x:si>
  <x:si>
    <x:t>s1_node_economy_32_6</x:t>
  </x:si>
  <x:si>
    <x:t>420;430;440</x:t>
  </x:si>
  <x:si>
    <x:t>s1_node_economy_33_6</x:t>
  </x:si>
  <x:si>
    <x:t>s1_node_economy_34_4</x:t>
  </x:si>
  <x:si>
    <x:t>s1_node_economy_34_6</x:t>
  </x:si>
  <x:si>
    <x:t>440;450;470</x:t>
  </x:si>
  <x:si>
    <x:t>s1_node_economy_35_6</x:t>
  </x:si>
  <x:si>
    <x:t>470;480;480</x:t>
  </x:si>
  <x:si>
    <x:t>s1_node_economy_37_4</x:t>
  </x:si>
  <x:si>
    <x:t>s1_node_economy_37_6</x:t>
  </x:si>
  <x:si>
    <x:t>s1_node_economy_38_6</x:t>
  </x:si>
  <x:si>
    <x:t>s1_node_economy_39_4</x:t>
  </x:si>
  <x:si>
    <x:t>s1_node_economy_39_6</x:t>
  </x:si>
  <x:si>
    <x:t>s1_node_economy_40_6</x:t>
  </x:si>
  <x:si>
    <x:t>520;530;530</x:t>
  </x:si>
  <x:si>
    <x:t>s1_node_economy_42_4</x:t>
  </x:si>
  <x:si>
    <x:t>s1_node_economy_42_6</x:t>
  </x:si>
  <x:si>
    <x:t>540;550;560</x:t>
  </x:si>
  <x:si>
    <x:t>s1_node_economy_43_6</x:t>
  </x:si>
  <x:si>
    <x:t>s1_node_economy_44_4</x:t>
  </x:si>
  <x:si>
    <x:t>s1_node_economy_44_6</x:t>
  </x:si>
  <x:si>
    <x:t>560;570;590</x:t>
  </x:si>
  <x:si>
    <x:t>s1_node_economy_45_6</x:t>
  </x:si>
  <x:si>
    <x:t>580;590;590</x:t>
  </x:si>
  <x:si>
    <x:t>590;600;600</x:t>
  </x:si>
  <x:si>
    <x:t>s1_node_economy_47_4</x:t>
  </x:si>
  <x:si>
    <x:t>s1_node_economy_47_6</x:t>
  </x:si>
  <x:si>
    <x:t>600;610;620</x:t>
  </x:si>
  <x:si>
    <x:t>s1_node_economy_48_6</x:t>
  </x:si>
  <x:si>
    <x:t>610;620;630</x:t>
  </x:si>
  <x:si>
    <x:t>s1_node_economy_49_4</x:t>
  </x:si>
  <x:si>
    <x:t>s1_node_economy_49_6</x:t>
  </x:si>
  <x:si>
    <x:t>620;630;650</x:t>
  </x:si>
  <x:si>
    <x:t>s1_node_economy_50_6</x:t>
  </x:si>
  <x:si>
    <x:t>630;640;660</x:t>
  </x:si>
  <x:si>
    <x:t>650;660;660</x:t>
  </x:si>
  <x:si>
    <x:t>s1_node_economy_52_4</x:t>
  </x:si>
  <x:si>
    <x:t>s1_node_economy_52_6</x:t>
  </x:si>
  <x:si>
    <x:t>660;670;680</x:t>
  </x:si>
  <x:si>
    <x:t>s1_node_economy_53_6</x:t>
  </x:si>
  <x:si>
    <x:t>670;680;690</x:t>
  </x:si>
  <x:si>
    <x:t>s1_node_economy_54_4</x:t>
  </x:si>
  <x:si>
    <x:t>s1_node_economy_54_6</x:t>
  </x:si>
  <x:si>
    <x:t>680;690;710</x:t>
  </x:si>
  <x:si>
    <x:t>s1_node_economy_55_6</x:t>
  </x:si>
  <x:si>
    <x:t>690;700;720</x:t>
  </x:si>
  <x:si>
    <x:t>710;720;720</x:t>
  </x:si>
  <x:si>
    <x:t>s1_node_economy_57_4</x:t>
  </x:si>
  <x:si>
    <x:t>s1_node_economy_57_6</x:t>
  </x:si>
  <x:si>
    <x:t>720;730;730</x:t>
  </x:si>
  <x:si>
    <x:t>s1_node_economy_58_6</x:t>
  </x:si>
  <x:si>
    <x:t>730;740;750</x:t>
  </x:si>
  <x:si>
    <x:t>s1_node_economy_59_4</x:t>
  </x:si>
  <x:si>
    <x:t>s1_node_economy_59_6</x:t>
  </x:si>
  <x:si>
    <x:t>740;750;770</x:t>
  </x:si>
  <x:si>
    <x:t>s1_node_economy_60_6</x:t>
  </x:si>
  <x:si>
    <x:t>750;760;780</x:t>
  </x:si>
  <x:si>
    <x:t>770;780;780</x:t>
  </x:si>
  <x:si>
    <x:t>s1_node_economy_62_4</x:t>
  </x:si>
  <x:si>
    <x:t>s1_node_economy_62_6</x:t>
  </x:si>
  <x:si>
    <x:t>780;790;790</x:t>
  </x:si>
  <x:si>
    <x:t>s1_node_economy_63_6</x:t>
  </x:si>
  <x:si>
    <x:t>790;800;810</x:t>
  </x:si>
  <x:si>
    <x:t>s1_node_economy_64_4</x:t>
  </x:si>
  <x:si>
    <x:t>s1_node_economy_64_6</x:t>
  </x:si>
  <x:si>
    <x:t>800;810;820</x:t>
  </x:si>
  <x:si>
    <x:t>s1_node_economy_65_6</x:t>
  </x:si>
  <x:si>
    <x:t>810;820;840</x:t>
  </x:si>
  <x:si>
    <x:t>s1_node_economy_67_4</x:t>
  </x:si>
  <x:si>
    <x:t>s1_node_economy_67_6</x:t>
  </x:si>
  <x:si>
    <x:t>840;850;850</x:t>
  </x:si>
  <x:si>
    <x:t>s1_node_economy_68_6</x:t>
  </x:si>
  <x:si>
    <x:t>s1_node_economy_69_4</x:t>
  </x:si>
  <x:si>
    <x:t>s1_node_economy_69_6</x:t>
  </x:si>
  <x:si>
    <x:t>860;870;880</x:t>
  </x:si>
  <x:si>
    <x:t>s1_node_economy_70_6</x:t>
  </x:si>
  <x:si>
    <x:t>s1_node_economy_72_4</x:t>
  </x:si>
  <x:si>
    <x:t>s1_node_economy_72_6</x:t>
  </x:si>
  <x:si>
    <x:t>s1_node_economy_73_6</x:t>
  </x:si>
  <x:si>
    <x:t>s1_node_economy_74_4</x:t>
  </x:si>
  <x:si>
    <x:t>s1_node_economy_74_6</x:t>
  </x:si>
  <x:si>
    <x:t>s1_node_economy_75_6</x:t>
  </x:si>
  <x:si>
    <x:t>s1_node_economy_77_4</x:t>
  </x:si>
  <x:si>
    <x:t>s1_node_economy_77_6</x:t>
  </x:si>
  <x:si>
    <x:t>s1_node_economy_78_6</x:t>
  </x:si>
  <x:si>
    <x:t>970;980;990</x:t>
  </x:si>
  <x:si>
    <x:t>s1_node_economy_79_4</x:t>
  </x:si>
  <x:si>
    <x:t>s1_node_economy_79_6</x:t>
  </x:si>
  <x:si>
    <x:t>980;990;1000</x:t>
  </x:si>
  <x:si>
    <x:t>s1_node_economy_80_6</x:t>
  </x:si>
  <x:si>
    <x:t>990;1000;1020</x:t>
  </x:si>
  <x:si>
    <x:t>1000;1010;1030</x:t>
  </x:si>
  <x:si>
    <x:t>s1_node_economy_82_4</x:t>
  </x:si>
  <x:si>
    <x:t>s1_node_economy_82_6</x:t>
  </x:si>
  <x:si>
    <x:t>1020;1030;1030</x:t>
  </x:si>
  <x:si>
    <x:t>s1_node_economy_83_6</x:t>
  </x:si>
  <x:si>
    <x:t>1030;1040;1040</x:t>
  </x:si>
  <x:si>
    <x:t>s1_node_economy_84_4</x:t>
  </x:si>
  <x:si>
    <x:t>s1_node_economy_84_6</x:t>
  </x:si>
  <x:si>
    <x:t>1040;1050;1060</x:t>
  </x:si>
  <x:si>
    <x:t>s1_node_economy_85_6</x:t>
  </x:si>
  <x:si>
    <x:t>1050;1060;1080</x:t>
  </x:si>
  <x:si>
    <x:t>1060;1070;1090</x:t>
  </x:si>
  <x:si>
    <x:t>s1_node_economy_87_4</x:t>
  </x:si>
  <x:si>
    <x:t>s1_node_economy_87_6</x:t>
  </x:si>
  <x:si>
    <x:t>1080;1090;1090</x:t>
  </x:si>
  <x:si>
    <x:t>s1_node_economy_88_6</x:t>
  </x:si>
  <x:si>
    <x:t>1090;1100;1100</x:t>
  </x:si>
  <x:si>
    <x:t>s1_node_economy_89_4</x:t>
  </x:si>
  <x:si>
    <x:t>s1_node_economy_89_6</x:t>
  </x:si>
  <x:si>
    <x:t>1100;1110;1120</x:t>
  </x:si>
  <x:si>
    <x:t>s1_node_economy_90_6</x:t>
  </x:si>
  <x:si>
    <x:t>1110;1120;1130</x:t>
  </x:si>
  <x:si>
    <x:t>1120;1130;1150</x:t>
  </x:si>
  <x:si>
    <x:t>s1_node_economy_92_4</x:t>
  </x:si>
  <x:si>
    <x:t>s1_node_economy_92_6</x:t>
  </x:si>
  <x:si>
    <x:t>1140;1150;1150</x:t>
  </x:si>
  <x:si>
    <x:t>s1_node_economy_93_6</x:t>
  </x:si>
  <x:si>
    <x:t>1150;1160;1160</x:t>
  </x:si>
  <x:si>
    <x:t>s1_node_economy_94_4</x:t>
  </x:si>
  <x:si>
    <x:t>s1_node_economy_94_6</x:t>
  </x:si>
  <x:si>
    <x:t>1160;1170;1180</x:t>
  </x:si>
  <x:si>
    <x:t>s1_node_economy_95_6</x:t>
  </x:si>
  <x:si>
    <x:t>1170;1180;1190</x:t>
  </x:si>
  <x:si>
    <x:t>1180;1190;1210</x:t>
  </x:si>
  <x:si>
    <x:t>s1_node_economy_97_4</x:t>
  </x:si>
  <x:si>
    <x:t>s1_node_economy_97_6</x:t>
  </x:si>
  <x:si>
    <x:t>1190;1200;1220</x:t>
  </x:si>
  <x:si>
    <x:t>s1_node_economy_98_6</x:t>
  </x:si>
  <x:si>
    <x:t>1210;1220;1220</x:t>
  </x:si>
  <x:si>
    <x:t>s1_node_economy_99_4</x:t>
  </x:si>
  <x:si>
    <x:t>s1_node_economy_99_6</x:t>
  </x:si>
  <x:si>
    <x:t>icon_menu_hero</x:t>
  </x:si>
  <x:si>
    <x:t>40;50;50</x:t>
  </x:si>
  <x:si>
    <x:t>s1_node_recruit_2_4</x:t>
  </x:si>
  <x:si>
    <x:t>s1_node_recruit_2_6</x:t>
  </x:si>
  <x:si>
    <x:t>s1_node_recruit_3_6</x:t>
  </x:si>
  <x:si>
    <x:t>s1_node_recruit_4_4</x:t>
  </x:si>
  <x:si>
    <x:t>s1_node_recruit_4_6</x:t>
  </x:si>
  <x:si>
    <x:t>s1_node_recruit_5_6</x:t>
  </x:si>
  <x:si>
    <x:t>110;120;140</x:t>
  </x:si>
  <x:si>
    <x:t>s1_node_recruit_7_4</x:t>
  </x:si>
  <x:si>
    <x:t>s1_node_recruit_7_6</x:t>
  </x:si>
  <x:si>
    <x:t>140;150;150</x:t>
  </x:si>
  <x:si>
    <x:t>s1_node_recruit_8_6</x:t>
  </x:si>
  <x:si>
    <x:t>150;160;170</x:t>
  </x:si>
  <x:si>
    <x:t>s1_node_recruit_9_4</x:t>
  </x:si>
  <x:si>
    <x:t>s1_node_recruit_9_6</x:t>
  </x:si>
  <x:si>
    <x:t>160;170;190</x:t>
  </x:si>
  <x:si>
    <x:t>s1_node_recruit_10_6</x:t>
  </x:si>
  <x:si>
    <x:t>170;180;200</x:t>
  </x:si>
  <x:si>
    <x:t>190;200;200</x:t>
  </x:si>
  <x:si>
    <x:t>s1_node_recruit_12_4</x:t>
  </x:si>
  <x:si>
    <x:t>s1_node_recruit_12_6</x:t>
  </x:si>
  <x:si>
    <x:t>200;210;220</x:t>
  </x:si>
  <x:si>
    <x:t>s1_node_recruit_13_6</x:t>
  </x:si>
  <x:si>
    <x:t>s1_node_recruit_14_4</x:t>
  </x:si>
  <x:si>
    <x:t>s1_node_recruit_14_6</x:t>
  </x:si>
  <x:si>
    <x:t>220;230;250</x:t>
  </x:si>
  <x:si>
    <x:t>s1_node_recruit_15_6</x:t>
  </x:si>
  <x:si>
    <x:t>s1_node_recruit_17_4</x:t>
  </x:si>
  <x:si>
    <x:t>s1_node_recruit_17_6</x:t>
  </x:si>
  <x:si>
    <x:t>260;270;290</x:t>
  </x:si>
  <x:si>
    <x:t>s1_node_recruit_18_6</x:t>
  </x:si>
  <x:si>
    <x:t>270;280;300</x:t>
  </x:si>
  <x:si>
    <x:t>s1_node_recruit_19_4</x:t>
  </x:si>
  <x:si>
    <x:t>s1_node_recruit_19_6</x:t>
  </x:si>
  <x:si>
    <x:t>290;300;300</x:t>
  </x:si>
  <x:si>
    <x:t>s1_node_recruit_20_6</x:t>
  </x:si>
  <x:si>
    <x:t>310;320;330</x:t>
  </x:si>
  <x:si>
    <x:t>s1_node_recruit_22_4</x:t>
  </x:si>
  <x:si>
    <x:t>s1_node_recruit_22_6</x:t>
  </x:si>
  <x:si>
    <x:t>s1_node_recruit_23_6</x:t>
  </x:si>
  <x:si>
    <x:t>s1_node_recruit_24_4</x:t>
  </x:si>
  <x:si>
    <x:t>s1_node_recruit_24_6</x:t>
  </x:si>
  <x:si>
    <x:t>s1_node_recruit_25_6</x:t>
  </x:si>
  <x:si>
    <x:t>s1_node_recruit_27_4</x:t>
  </x:si>
  <x:si>
    <x:t>s1_node_recruit_27_6</x:t>
  </x:si>
  <x:si>
    <x:t>s1_node_recruit_28_6</x:t>
  </x:si>
  <x:si>
    <x:t>s1_node_recruit_29_4</x:t>
  </x:si>
  <x:si>
    <x:t>s1_node_recruit_29_6</x:t>
  </x:si>
  <x:si>
    <x:t>s1_node_recruit_30_6</x:t>
  </x:si>
  <x:si>
    <x:t>440;450;450</x:t>
  </x:si>
  <x:si>
    <x:t>s1_node_recruit_32_4</x:t>
  </x:si>
  <x:si>
    <x:t>s1_node_recruit_32_6</x:t>
  </x:si>
  <x:si>
    <x:t>450;460;470</x:t>
  </x:si>
  <x:si>
    <x:t>s1_node_recruit_33_6</x:t>
  </x:si>
  <x:si>
    <x:t>460;470;480</x:t>
  </x:si>
  <x:si>
    <x:t>s1_node_recruit_34_4</x:t>
  </x:si>
  <x:si>
    <x:t>s1_node_recruit_34_6</x:t>
  </x:si>
  <x:si>
    <x:t>470;480;500</x:t>
  </x:si>
  <x:si>
    <x:t>s1_node_recruit_35_6</x:t>
  </x:si>
  <x:si>
    <x:t>490;500;500</x:t>
  </x:si>
  <x:si>
    <x:t>500;510;520</x:t>
  </x:si>
  <x:si>
    <x:t>s1_node_recruit_37_4</x:t>
  </x:si>
  <x:si>
    <x:t>s1_node_recruit_37_6</x:t>
  </x:si>
  <x:si>
    <x:t>510;520;530</x:t>
  </x:si>
  <x:si>
    <x:t>s1_node_recruit_38_6</x:t>
  </x:si>
  <x:si>
    <x:t>520;530;550</x:t>
  </x:si>
  <x:si>
    <x:t>s1_node_recruit_39_4</x:t>
  </x:si>
  <x:si>
    <x:t>s1_node_recruit_39_6</x:t>
  </x:si>
  <x:si>
    <x:t>s1_node_recruit_40_6</x:t>
  </x:si>
  <x:si>
    <x:t>s1_node_recruit_42_4</x:t>
  </x:si>
  <x:si>
    <x:t>s1_node_recruit_42_6</x:t>
  </x:si>
  <x:si>
    <x:t>s1_node_recruit_43_6</x:t>
  </x:si>
  <x:si>
    <x:t>s1_node_recruit_44_4</x:t>
  </x:si>
  <x:si>
    <x:t>s1_node_recruit_44_6</x:t>
  </x:si>
  <x:si>
    <x:t>s1_node_recruit_45_6</x:t>
  </x:si>
  <x:si>
    <x:t>s1_node_recruit_47_4</x:t>
  </x:si>
  <x:si>
    <x:t>s1_node_recruit_47_6</x:t>
  </x:si>
  <x:si>
    <x:t>640;650;650</x:t>
  </x:si>
  <x:si>
    <x:t>s1_node_recruit_48_6</x:t>
  </x:si>
  <x:si>
    <x:t>650;660;670</x:t>
  </x:si>
  <x:si>
    <x:t>s1_node_recruit_49_4</x:t>
  </x:si>
  <x:si>
    <x:t>s1_node_recruit_49_6</x:t>
  </x:si>
  <x:si>
    <x:t>s1_node_recruit_50_6</x:t>
  </x:si>
  <x:si>
    <x:t>670;680;700</x:t>
  </x:si>
  <x:si>
    <x:t>690;700;700</x:t>
  </x:si>
  <x:si>
    <x:t>s1_node_recruit_52_4</x:t>
  </x:si>
  <x:si>
    <x:t>s1_node_recruit_52_6</x:t>
  </x:si>
  <x:si>
    <x:t>s1_node_recruit_53_6</x:t>
  </x:si>
  <x:si>
    <x:t>710;720;730</x:t>
  </x:si>
  <x:si>
    <x:t>s1_node_recruit_54_4</x:t>
  </x:si>
  <x:si>
    <x:t>s1_node_recruit_54_6</x:t>
  </x:si>
  <x:si>
    <x:t>s1_node_recruit_55_6</x:t>
  </x:si>
  <x:si>
    <x:t>740;750;750</x:t>
  </x:si>
  <x:si>
    <x:t>750;760;770</x:t>
  </x:si>
  <x:si>
    <x:t>s1_node_recruit_57_4</x:t>
  </x:si>
  <x:si>
    <x:t>s1_node_recruit_57_6</x:t>
  </x:si>
  <x:si>
    <x:t>760;770;780</x:t>
  </x:si>
  <x:si>
    <x:t>s1_node_recruit_58_6</x:t>
  </x:si>
  <x:si>
    <x:t>770;780;800</x:t>
  </x:si>
  <x:si>
    <x:t>s1_node_recruit_59_4</x:t>
  </x:si>
  <x:si>
    <x:t>s1_node_recruit_59_6</x:t>
  </x:si>
  <x:si>
    <x:t>790;800;800</x:t>
  </x:si>
  <x:si>
    <x:t>s1_node_recruit_60_6</x:t>
  </x:si>
  <x:si>
    <x:t>810;820;830</x:t>
  </x:si>
  <x:si>
    <x:t>s1_node_recruit_62_4</x:t>
  </x:si>
  <x:si>
    <x:t>s1_node_recruit_62_6</x:t>
  </x:si>
  <x:si>
    <x:t>820;830;850</x:t>
  </x:si>
  <x:si>
    <x:t>s1_node_recruit_63_6</x:t>
  </x:si>
  <x:si>
    <x:t>s1_node_recruit_64_4</x:t>
  </x:si>
  <x:si>
    <x:t>s1_node_recruit_64_6</x:t>
  </x:si>
  <x:si>
    <x:t>s1_node_recruit_65_6</x:t>
  </x:si>
  <x:si>
    <x:t>s1_node_recruit_67_4</x:t>
  </x:si>
  <x:si>
    <x:t>s1_node_recruit_67_6</x:t>
  </x:si>
  <x:si>
    <x:t>s1_node_recruit_68_6</x:t>
  </x:si>
  <x:si>
    <x:t>900;910;920</x:t>
  </x:si>
  <x:si>
    <x:t>s1_node_recruit_69_4</x:t>
  </x:si>
  <x:si>
    <x:t>s1_node_recruit_69_6</x:t>
  </x:si>
  <x:si>
    <x:t>s1_node_recruit_70_6</x:t>
  </x:si>
  <x:si>
    <x:t>920;930;950</x:t>
  </x:si>
  <x:si>
    <x:t>940;950;950</x:t>
  </x:si>
  <x:si>
    <x:t>s1_node_recruit_72_4</x:t>
  </x:si>
  <x:si>
    <x:t>s1_node_recruit_72_6</x:t>
  </x:si>
  <x:si>
    <x:t>950;960;970</x:t>
  </x:si>
  <x:si>
    <x:t>s1_node_recruit_73_6</x:t>
  </x:si>
  <x:si>
    <x:t>960;970;980</x:t>
  </x:si>
  <x:si>
    <x:t>s1_node_recruit_74_4</x:t>
  </x:si>
  <x:si>
    <x:t>s1_node_recruit_74_6</x:t>
  </x:si>
  <x:si>
    <x:t>970;980;1000</x:t>
  </x:si>
  <x:si>
    <x:t>s1_node_recruit_75_6</x:t>
  </x:si>
  <x:si>
    <x:t>990;1000;1000</x:t>
  </x:si>
  <x:si>
    <x:t>s1_node_recruit_77_4</x:t>
  </x:si>
  <x:si>
    <x:t>s1_node_recruit_77_6</x:t>
  </x:si>
  <x:si>
    <x:t>1010;1020;1030</x:t>
  </x:si>
  <x:si>
    <x:t>s1_node_recruit_78_6</x:t>
  </x:si>
  <x:si>
    <x:t>s1_node_recruit_79_4</x:t>
  </x:si>
  <x:si>
    <x:t>s1_node_recruit_79_6</x:t>
  </x:si>
  <x:si>
    <x:t>s1_node_recruit_80_6</x:t>
  </x:si>
  <x:si>
    <x:t>1050;1060;1070</x:t>
  </x:si>
  <x:si>
    <x:t>s1_node_recruit_82_4</x:t>
  </x:si>
  <x:si>
    <x:t>s1_node_recruit_82_6</x:t>
  </x:si>
  <x:si>
    <x:t>1070;1080;1100</x:t>
  </x:si>
  <x:si>
    <x:t>s1_node_recruit_83_6</x:t>
  </x:si>
  <x:si>
    <x:t>s1_node_recruit_84_4</x:t>
  </x:si>
  <x:si>
    <x:t>s1_node_recruit_84_6</x:t>
  </x:si>
  <x:si>
    <x:t>s1_node_recruit_85_6</x:t>
  </x:si>
  <x:si>
    <x:t>s1_node_recruit_87_4</x:t>
  </x:si>
  <x:si>
    <x:t>s1_node_recruit_87_6</x:t>
  </x:si>
  <x:si>
    <x:t>s1_node_recruit_88_6</x:t>
  </x:si>
  <x:si>
    <x:t>1150;1160;1170</x:t>
  </x:si>
  <x:si>
    <x:t>s1_node_recruit_89_4</x:t>
  </x:si>
  <x:si>
    <x:t>s1_node_recruit_89_6</x:t>
  </x:si>
  <x:si>
    <x:t>s1_node_recruit_90_6</x:t>
  </x:si>
  <x:si>
    <x:t>1170;1180;1200</x:t>
  </x:si>
  <x:si>
    <x:t>1190;1200;1200</x:t>
  </x:si>
  <x:si>
    <x:t>s1_node_recruit_92_4</x:t>
  </x:si>
  <x:si>
    <x:t>s1_node_recruit_92_6</x:t>
  </x:si>
  <x:si>
    <x:t>1200;1210;1220</x:t>
  </x:si>
  <x:si>
    <x:t>s1_node_recruit_93_6</x:t>
  </x:si>
  <x:si>
    <x:t>1210;1220;1230</x:t>
  </x:si>
  <x:si>
    <x:t>s1_node_recruit_94_4</x:t>
  </x:si>
  <x:si>
    <x:t>s1_node_recruit_94_6</x:t>
  </x:si>
  <x:si>
    <x:t>1220;1230;1250</x:t>
  </x:si>
  <x:si>
    <x:t>s1_node_recruit_95_6</x:t>
  </x:si>
  <x:si>
    <x:t>1240;1250;1250</x:t>
  </x:si>
  <x:si>
    <x:t>1250;1260;1270</x:t>
  </x:si>
  <x:si>
    <x:t>s1_node_recruit_97_4</x:t>
  </x:si>
  <x:si>
    <x:t>s1_node_recruit_97_6</x:t>
  </x:si>
  <x:si>
    <x:t>1260;1270;1280</x:t>
  </x:si>
  <x:si>
    <x:t>s1_node_recruit_98_6</x:t>
  </x:si>
  <x:si>
    <x:t>1270;1280;1300</x:t>
  </x:si>
  <x:si>
    <x:t>s1_node_recruit_99_4</x:t>
  </x:si>
  <x:si>
    <x:t>s1_node_recruit_99_6</x:t>
  </x:si>
  <x:si>
    <x:t>icon_menu_sticker</x:t>
  </x:si>
  <x:si>
    <x:t>40;50;70</x:t>
  </x:si>
  <x:si>
    <x:t>60;70;70</x:t>
  </x:si>
  <x:si>
    <x:t>70;80;90</x:t>
  </x:si>
  <x:si>
    <x:t>s1_node_relic_2_4</x:t>
  </x:si>
  <x:si>
    <x:t>s1_node_relic_2_6</x:t>
  </x:si>
  <x:si>
    <x:t>80;90;100</x:t>
  </x:si>
  <x:si>
    <x:t>icon_menu_att</x:t>
  </x:si>
  <x:si>
    <x:t>s1_node_relic_3_6</x:t>
  </x:si>
  <x:si>
    <x:t>90;100;120</x:t>
  </x:si>
  <x:si>
    <x:t>s1_node_relic_4_4</x:t>
  </x:si>
  <x:si>
    <x:t>s1_node_relic_4_6</x:t>
  </x:si>
  <x:si>
    <x:t>110;120;120</x:t>
  </x:si>
  <x:si>
    <x:t>s1_node_relic_5_6</x:t>
  </x:si>
  <x:si>
    <x:t>s1_node_relic_7_4</x:t>
  </x:si>
  <x:si>
    <x:t>s1_node_relic_7_6</x:t>
  </x:si>
  <x:si>
    <x:t>s1_node_relic_8_6</x:t>
  </x:si>
  <x:si>
    <x:t>s1_node_relic_9_4</x:t>
  </x:si>
  <x:si>
    <x:t>s1_node_relic_9_6</x:t>
  </x:si>
  <x:si>
    <x:t>s1_node_relic_10_6</x:t>
  </x:si>
  <x:si>
    <x:t>200;210;210</x:t>
  </x:si>
  <x:si>
    <x:t>s1_node_relic_12_4</x:t>
  </x:si>
  <x:si>
    <x:t>s1_node_relic_12_6</x:t>
  </x:si>
  <x:si>
    <x:t>s1_node_relic_13_6</x:t>
  </x:si>
  <x:si>
    <x:t>220;230;240</x:t>
  </x:si>
  <x:si>
    <x:t>s1_node_relic_14_4</x:t>
  </x:si>
  <x:si>
    <x:t>s1_node_relic_14_6</x:t>
  </x:si>
  <x:si>
    <x:t>230;240;260</x:t>
  </x:si>
  <x:si>
    <x:t>s1_node_relic_15_6</x:t>
  </x:si>
  <x:si>
    <x:t>250;260;260</x:t>
  </x:si>
  <x:si>
    <x:t>s1_node_relic_17_4</x:t>
  </x:si>
  <x:si>
    <x:t>s1_node_relic_17_6</x:t>
  </x:si>
  <x:si>
    <x:t>s1_node_relic_18_6</x:t>
  </x:si>
  <x:si>
    <x:t>s1_node_relic_19_4</x:t>
  </x:si>
  <x:si>
    <x:t>s1_node_relic_19_6</x:t>
  </x:si>
  <x:si>
    <x:t>300;310;310</x:t>
  </x:si>
  <x:si>
    <x:t>s1_node_relic_20_6</x:t>
  </x:si>
  <x:si>
    <x:t>s1_node_relic_22_4</x:t>
  </x:si>
  <x:si>
    <x:t>s1_node_relic_22_6</x:t>
  </x:si>
  <x:si>
    <x:t>330;340;360</x:t>
  </x:si>
  <x:si>
    <x:t>s1_node_relic_23_6</x:t>
  </x:si>
  <x:si>
    <x:t>350;360;360</x:t>
  </x:si>
  <x:si>
    <x:t>s1_node_relic_24_4</x:t>
  </x:si>
  <x:si>
    <x:t>s1_node_relic_24_6</x:t>
  </x:si>
  <x:si>
    <x:t>s1_node_relic_25_6</x:t>
  </x:si>
  <x:si>
    <x:t>s1_node_relic_27_4</x:t>
  </x:si>
  <x:si>
    <x:t>s1_node_relic_27_6</x:t>
  </x:si>
  <x:si>
    <x:t>s1_node_relic_28_6</x:t>
  </x:si>
  <x:si>
    <x:t>s1_node_relic_29_4</x:t>
  </x:si>
  <x:si>
    <x:t>s1_node_relic_29_6</x:t>
  </x:si>
  <x:si>
    <x:t>s1_node_relic_30_6</x:t>
  </x:si>
  <x:si>
    <x:t>s1_node_relic_32_4</x:t>
  </x:si>
  <x:si>
    <x:t>s1_node_relic_32_6</x:t>
  </x:si>
  <x:si>
    <x:t>s1_node_relic_33_6</x:t>
  </x:si>
  <x:si>
    <x:t>s1_node_relic_34_4</x:t>
  </x:si>
  <x:si>
    <x:t>s1_node_relic_34_6</x:t>
  </x:si>
  <x:si>
    <x:t>s1_node_relic_35_6</x:t>
  </x:si>
  <x:si>
    <x:t>s1_node_relic_37_4</x:t>
  </x:si>
  <x:si>
    <x:t>s1_node_relic_37_6</x:t>
  </x:si>
  <x:si>
    <x:t>s1_node_relic_38_6</x:t>
  </x:si>
  <x:si>
    <x:t>s1_node_relic_39_4</x:t>
  </x:si>
  <x:si>
    <x:t>s1_node_relic_39_6</x:t>
  </x:si>
  <x:si>
    <x:t>s1_node_relic_40_6</x:t>
  </x:si>
  <x:si>
    <x:t>s1_node_relic_42_4</x:t>
  </x:si>
  <x:si>
    <x:t>s1_node_relic_42_6</x:t>
  </x:si>
  <x:si>
    <x:t>s1_node_relic_43_6</x:t>
  </x:si>
  <x:si>
    <x:t>s1_node_relic_44_4</x:t>
  </x:si>
  <x:si>
    <x:t>s1_node_relic_44_6</x:t>
  </x:si>
  <x:si>
    <x:t>610;620;640</x:t>
  </x:si>
  <x:si>
    <x:t>s1_node_relic_45_6</x:t>
  </x:si>
  <x:si>
    <x:t>630;640;640</x:t>
  </x:si>
  <x:si>
    <x:t>640;650;660</x:t>
  </x:si>
  <x:si>
    <x:t>s1_node_relic_47_4</x:t>
  </x:si>
  <x:si>
    <x:t>s1_node_relic_47_6</x:t>
  </x:si>
  <x:si>
    <x:t>s1_node_relic_48_6</x:t>
  </x:si>
  <x:si>
    <x:t>660;670;690</x:t>
  </x:si>
  <x:si>
    <x:t>s1_node_relic_49_4</x:t>
  </x:si>
  <x:si>
    <x:t>s1_node_relic_49_6</x:t>
  </x:si>
  <x:si>
    <x:t>s1_node_relic_50_6</x:t>
  </x:si>
  <x:si>
    <x:t>700;710;730</x:t>
  </x:si>
  <x:si>
    <x:t>s1_node_relic_52_4</x:t>
  </x:si>
  <x:si>
    <x:t>s1_node_relic_52_6</x:t>
  </x:si>
  <x:si>
    <x:t>s1_node_relic_53_6</x:t>
  </x:si>
  <x:si>
    <x:t>730;740;740</x:t>
  </x:si>
  <x:si>
    <x:t>s1_node_relic_54_4</x:t>
  </x:si>
  <x:si>
    <x:t>s1_node_relic_54_6</x:t>
  </x:si>
  <x:si>
    <x:t>740;750;760</x:t>
  </x:si>
  <x:si>
    <x:t>s1_node_relic_55_6</x:t>
  </x:si>
  <x:si>
    <x:t>s1_node_relic_57_4</x:t>
  </x:si>
  <x:si>
    <x:t>s1_node_relic_57_6</x:t>
  </x:si>
  <x:si>
    <x:t>s1_node_relic_58_6</x:t>
  </x:si>
  <x:si>
    <x:t>s1_node_relic_59_4</x:t>
  </x:si>
  <x:si>
    <x:t>s1_node_relic_59_6</x:t>
  </x:si>
  <x:si>
    <x:t>s1_node_relic_60_6</x:t>
  </x:si>
  <x:si>
    <x:t>830;840;850</x:t>
  </x:si>
  <x:si>
    <x:t>s1_node_relic_62_4</x:t>
  </x:si>
  <x:si>
    <x:t>s1_node_relic_62_6</x:t>
  </x:si>
  <x:si>
    <x:t>s1_node_relic_63_6</x:t>
  </x:si>
  <x:si>
    <x:t>850;860;880</x:t>
  </x:si>
  <x:si>
    <x:t>s1_node_relic_64_4</x:t>
  </x:si>
  <x:si>
    <x:t>s1_node_relic_64_6</x:t>
  </x:si>
  <x:si>
    <x:t>870;880;880</x:t>
  </x:si>
  <x:si>
    <x:t>s1_node_relic_65_6</x:t>
  </x:si>
  <x:si>
    <x:t>880;890;900</x:t>
  </x:si>
  <x:si>
    <x:t>890;900;920</x:t>
  </x:si>
  <x:si>
    <x:t>s1_node_relic_67_4</x:t>
  </x:si>
  <x:si>
    <x:t>s1_node_relic_67_6</x:t>
  </x:si>
  <x:si>
    <x:t>900;910;930</x:t>
  </x:si>
  <x:si>
    <x:t>s1_node_relic_68_6</x:t>
  </x:si>
  <x:si>
    <x:t>920;930;930</x:t>
  </x:si>
  <x:si>
    <x:t>s1_node_relic_69_4</x:t>
  </x:si>
  <x:si>
    <x:t>s1_node_relic_69_6</x:t>
  </x:si>
  <x:si>
    <x:t>930;940;950</x:t>
  </x:si>
  <x:si>
    <x:t>s1_node_relic_70_6</x:t>
  </x:si>
  <x:si>
    <x:t>s1_node_relic_72_4</x:t>
  </x:si>
  <x:si>
    <x:t>s1_node_relic_72_6</x:t>
  </x:si>
  <x:si>
    <x:t>s1_node_relic_73_6</x:t>
  </x:si>
  <x:si>
    <x:t>s1_node_relic_74_4</x:t>
  </x:si>
  <x:si>
    <x:t>s1_node_relic_74_6</x:t>
  </x:si>
  <x:si>
    <x:t>s1_node_relic_75_6</x:t>
  </x:si>
  <x:si>
    <x:t>1010;1020;1020</x:t>
  </x:si>
  <x:si>
    <x:t>s1_node_relic_77_4</x:t>
  </x:si>
  <x:si>
    <x:t>s1_node_relic_77_6</x:t>
  </x:si>
  <x:si>
    <x:t>1030;1040;1050</x:t>
  </x:si>
  <x:si>
    <x:t>s1_node_relic_78_6</x:t>
  </x:si>
  <x:si>
    <x:t>1040;1050;1070</x:t>
  </x:si>
  <x:si>
    <x:t>s1_node_relic_79_4</x:t>
  </x:si>
  <x:si>
    <x:t>s1_node_relic_79_6</x:t>
  </x:si>
  <x:si>
    <x:t>1060;1070;1070</x:t>
  </x:si>
  <x:si>
    <x:t>s1_node_relic_80_6</x:t>
  </x:si>
  <x:si>
    <x:t>1080;1090;1100</x:t>
  </x:si>
  <x:si>
    <x:t>s1_node_relic_82_4</x:t>
  </x:si>
  <x:si>
    <x:t>s1_node_relic_82_6</x:t>
  </x:si>
  <x:si>
    <x:t>s1_node_relic_83_6</x:t>
  </x:si>
  <x:si>
    <x:t>s1_node_relic_84_4</x:t>
  </x:si>
  <x:si>
    <x:t>s1_node_relic_84_6</x:t>
  </x:si>
  <x:si>
    <x:t>1120;1130;1140</x:t>
  </x:si>
  <x:si>
    <x:t>s1_node_relic_85_6</x:t>
  </x:si>
  <x:si>
    <x:t>1130;1140;1160</x:t>
  </x:si>
  <x:si>
    <x:t>1140;1150;1170</x:t>
  </x:si>
  <x:si>
    <x:t>s1_node_relic_87_4</x:t>
  </x:si>
  <x:si>
    <x:t>s1_node_relic_87_6</x:t>
  </x:si>
  <x:si>
    <x:t>1160;1170;1170</x:t>
  </x:si>
  <x:si>
    <x:t>s1_node_relic_88_6</x:t>
  </x:si>
  <x:si>
    <x:t>s1_node_relic_89_4</x:t>
  </x:si>
  <x:si>
    <x:t>s1_node_relic_89_6</x:t>
  </x:si>
  <x:si>
    <x:t>s1_node_relic_90_6</x:t>
  </x:si>
  <x:si>
    <x:t>1200;1210;1210</x:t>
  </x:si>
  <x:si>
    <x:t>s1_node_relic_92_4</x:t>
  </x:si>
  <x:si>
    <x:t>s1_node_relic_92_6</x:t>
  </x:si>
  <x:si>
    <x:t>1220;1230;1240</x:t>
  </x:si>
  <x:si>
    <x:t>s1_node_relic_93_6</x:t>
  </x:si>
  <x:si>
    <x:t>1230;1240;1260</x:t>
  </x:si>
  <x:si>
    <x:t>s1_node_relic_94_4</x:t>
  </x:si>
  <x:si>
    <x:t>s1_node_relic_94_6</x:t>
  </x:si>
  <x:si>
    <x:t>1250;1260;1260</x:t>
  </x:si>
  <x:si>
    <x:t>s1_node_relic_95_6</x:t>
  </x:si>
  <x:si>
    <x:t>1270;1280;1290</x:t>
  </x:si>
  <x:si>
    <x:t>s1_node_relic_97_4</x:t>
  </x:si>
  <x:si>
    <x:t>s1_node_relic_97_6</x:t>
  </x:si>
  <x:si>
    <x:t>1280;1290;1310</x:t>
  </x:si>
  <x:si>
    <x:t>s1_node_relic_98_6</x:t>
  </x:si>
  <x:si>
    <x:t>1300;1310;1310</x:t>
  </x:si>
  <x:si>
    <x:t>s1_node_relic_99_4</x:t>
  </x:si>
  <x:si>
    <x:t>s1_node_relic_99_6</x:t>
  </x:si>
  <x:si>
    <x:t>80;90;90</x:t>
  </x:si>
  <x:si>
    <x:t>s1_node_battle_2_4</x:t>
  </x:si>
  <x:si>
    <x:t>s1_node_battle_2_6</x:t>
  </x:si>
  <x:si>
    <x:t>90;100;110</x:t>
  </x:si>
  <x:si>
    <x:t>s1_node_battle_3_6</x:t>
  </x:si>
  <x:si>
    <x:t>100;110;130</x:t>
  </x:si>
  <x:si>
    <x:t>s1_node_battle_4_4</x:t>
  </x:si>
  <x:si>
    <x:t>s1_node_battle_4_6</x:t>
  </x:si>
  <x:si>
    <x:t>120;130;130</x:t>
  </x:si>
  <x:si>
    <x:t>s1_node_battle_5_6</x:t>
  </x:si>
  <x:si>
    <x:t>130;140;150</x:t>
  </x:si>
  <x:si>
    <x:t>140;150;160</x:t>
  </x:si>
  <x:si>
    <x:t>s1_node_battle_7_4</x:t>
  </x:si>
  <x:si>
    <x:t>s1_node_battle_7_6</x:t>
  </x:si>
  <x:si>
    <x:t>150;160;180</x:t>
  </x:si>
  <x:si>
    <x:t>s1_node_battle_8_6</x:t>
  </x:si>
  <x:si>
    <x:t>s1_node_battle_9_4</x:t>
  </x:si>
  <x:si>
    <x:t>s1_node_battle_9_6</x:t>
  </x:si>
  <x:si>
    <x:t>s1_node_battle_10_6</x:t>
  </x:si>
  <x:si>
    <x:t>s1_node_battle_12_4</x:t>
  </x:si>
  <x:si>
    <x:t>s1_node_battle_12_6</x:t>
  </x:si>
  <x:si>
    <x:t>s1_node_battle_13_6</x:t>
  </x:si>
  <x:si>
    <x:t>s1_node_battle_14_4</x:t>
  </x:si>
  <x:si>
    <x:t>s1_node_battle_14_6</x:t>
  </x:si>
  <x:si>
    <x:t>s1_node_battle_15_6</x:t>
  </x:si>
  <x:si>
    <x:t>s1_node_battle_17_4</x:t>
  </x:si>
  <x:si>
    <x:t>s1_node_battle_17_6</x:t>
  </x:si>
  <x:si>
    <x:t>s1_node_battle_18_6</x:t>
  </x:si>
  <x:si>
    <x:t>s1_node_battle_19_4</x:t>
  </x:si>
  <x:si>
    <x:t>s1_node_battle_19_6</x:t>
  </x:si>
  <x:si>
    <x:t>s1_node_battle_20_6</x:t>
  </x:si>
  <x:si>
    <x:t>s1_node_battle_22_4</x:t>
  </x:si>
  <x:si>
    <x:t>s1_node_battle_22_6</x:t>
  </x:si>
  <x:si>
    <x:t>s1_node_battle_23_6</x:t>
  </x:si>
  <x:si>
    <x:t>s1_node_battle_24_4</x:t>
  </x:si>
  <x:si>
    <x:t>s1_node_battle_24_6</x:t>
  </x:si>
  <x:si>
    <x:t>s1_node_battle_25_6</x:t>
  </x:si>
  <x:si>
    <x:t>390;400;410</x:t>
  </x:si>
  <x:si>
    <x:t>400;410;430</x:t>
  </x:si>
  <x:si>
    <x:t>s1_node_battle_27_4</x:t>
  </x:si>
  <x:si>
    <x:t>s1_node_battle_27_6</x:t>
  </x:si>
  <x:si>
    <x:t>420;430;430</x:t>
  </x:si>
  <x:si>
    <x:t>s1_node_battle_28_6</x:t>
  </x:si>
  <x:si>
    <x:t>430;440;450</x:t>
  </x:si>
  <x:si>
    <x:t>s1_node_battle_29_4</x:t>
  </x:si>
  <x:si>
    <x:t>s1_node_battle_29_6</x:t>
  </x:si>
  <x:si>
    <x:t>s1_node_battle_30_6</x:t>
  </x:si>
  <x:si>
    <x:t>s1_node_battle_32_4</x:t>
  </x:si>
  <x:si>
    <x:t>s1_node_battle_32_6</x:t>
  </x:si>
  <x:si>
    <x:t>s1_node_battle_33_6</x:t>
  </x:si>
  <x:si>
    <x:t>s1_node_battle_34_4</x:t>
  </x:si>
  <x:si>
    <x:t>s1_node_battle_34_6</x:t>
  </x:si>
  <x:si>
    <x:t>510;520;520</x:t>
  </x:si>
  <x:si>
    <x:t>s1_node_battle_35_6</x:t>
  </x:si>
  <x:si>
    <x:t>520;530;540</x:t>
  </x:si>
  <x:si>
    <x:t>530;540;560</x:t>
  </x:si>
  <x:si>
    <x:t>s1_node_battle_37_4</x:t>
  </x:si>
  <x:si>
    <x:t>s1_node_battle_37_6</x:t>
  </x:si>
  <x:si>
    <x:t>550;560;560</x:t>
  </x:si>
  <x:si>
    <x:t>s1_node_battle_38_6</x:t>
  </x:si>
  <x:si>
    <x:t>s1_node_battle_39_4</x:t>
  </x:si>
  <x:si>
    <x:t>s1_node_battle_39_6</x:t>
  </x:si>
  <x:si>
    <x:t>s1_node_battle_40_6</x:t>
  </x:si>
  <x:si>
    <x:t>s1_node_battle_42_4</x:t>
  </x:si>
  <x:si>
    <x:t>s1_node_battle_42_6</x:t>
  </x:si>
  <x:si>
    <x:t>s1_node_battle_43_6</x:t>
  </x:si>
  <x:si>
    <x:t>s1_node_battle_44_4</x:t>
  </x:si>
  <x:si>
    <x:t>s1_node_battle_44_6</x:t>
  </x:si>
  <x:si>
    <x:t>s1_node_battle_45_6</x:t>
  </x:si>
  <x:si>
    <x:t>s1_node_battle_47_4</x:t>
  </x:si>
  <x:si>
    <x:t>s1_node_battle_47_6</x:t>
  </x:si>
  <x:si>
    <x:t>s1_node_battle_48_6</x:t>
  </x:si>
  <x:si>
    <x:t>s1_node_battle_49_4</x:t>
  </x:si>
  <x:si>
    <x:t>s1_node_battle_49_6</x:t>
  </x:si>
  <x:si>
    <x:t>s1_node_battle_50_6</x:t>
  </x:si>
  <x:si>
    <x:t>s1_node_battle_52_4</x:t>
  </x:si>
  <x:si>
    <x:t>s1_node_battle_52_6</x:t>
  </x:si>
  <x:si>
    <x:t>s1_node_battle_53_6</x:t>
  </x:si>
  <x:si>
    <x:t>s1_node_battle_54_4</x:t>
  </x:si>
  <x:si>
    <x:t>s1_node_battle_54_6</x:t>
  </x:si>
  <x:si>
    <x:t>s1_node_battle_55_6</x:t>
  </x:si>
  <x:si>
    <x:t>780;790;810</x:t>
  </x:si>
  <x:si>
    <x:t>s1_node_battle_57_4</x:t>
  </x:si>
  <x:si>
    <x:t>s1_node_battle_57_6</x:t>
  </x:si>
  <x:si>
    <x:t>810;820;820</x:t>
  </x:si>
  <x:si>
    <x:t>s1_node_battle_58_6</x:t>
  </x:si>
  <x:si>
    <x:t>820;830;840</x:t>
  </x:si>
  <x:si>
    <x:t>s1_node_battle_59_4</x:t>
  </x:si>
  <x:si>
    <x:t>s1_node_battle_59_6</x:t>
  </x:si>
  <x:si>
    <x:t>830;840;860</x:t>
  </x:si>
  <x:si>
    <x:t>s1_node_battle_60_6</x:t>
  </x:si>
  <x:si>
    <x:t>850;860;860</x:t>
  </x:si>
  <x:si>
    <x:t>s1_node_battle_62_4</x:t>
  </x:si>
  <x:si>
    <x:t>s1_node_battle_62_6</x:t>
  </x:si>
  <x:si>
    <x:t>s1_node_battle_63_6</x:t>
  </x:si>
  <x:si>
    <x:t>s1_node_battle_64_4</x:t>
  </x:si>
  <x:si>
    <x:t>s1_node_battle_64_6</x:t>
  </x:si>
  <x:si>
    <x:t>s1_node_battle_65_6</x:t>
  </x:si>
  <x:si>
    <x:t>910;920;940</x:t>
  </x:si>
  <x:si>
    <x:t>930;940;940</x:t>
  </x:si>
  <x:si>
    <x:t>s1_node_battle_67_4</x:t>
  </x:si>
  <x:si>
    <x:t>s1_node_battle_67_6</x:t>
  </x:si>
  <x:si>
    <x:t>940;950;960</x:t>
  </x:si>
  <x:si>
    <x:t>s1_node_battle_68_6</x:t>
  </x:si>
  <x:si>
    <x:t>s1_node_battle_69_4</x:t>
  </x:si>
  <x:si>
    <x:t>s1_node_battle_69_6</x:t>
  </x:si>
  <x:si>
    <x:t>960;970;990</x:t>
  </x:si>
  <x:si>
    <x:t>s1_node_battle_70_6</x:t>
  </x:si>
  <x:si>
    <x:t>s1_node_battle_72_4</x:t>
  </x:si>
  <x:si>
    <x:t>s1_node_battle_72_6</x:t>
  </x:si>
  <x:si>
    <x:t>s1_node_battle_73_6</x:t>
  </x:si>
  <x:si>
    <x:t>s1_node_battle_74_4</x:t>
  </x:si>
  <x:si>
    <x:t>s1_node_battle_74_6</x:t>
  </x:si>
  <x:si>
    <x:t>s1_node_battle_75_6</x:t>
  </x:si>
  <x:si>
    <x:t>s1_node_battle_77_4</x:t>
  </x:si>
  <x:si>
    <x:t>s1_node_battle_77_6</x:t>
  </x:si>
  <x:si>
    <x:t>s1_node_battle_78_6</x:t>
  </x:si>
  <x:si>
    <x:t>s1_node_battle_79_4</x:t>
  </x:si>
  <x:si>
    <x:t>s1_node_battle_79_6</x:t>
  </x:si>
  <x:si>
    <x:t>1100;1110;1110</x:t>
  </x:si>
  <x:si>
    <x:t>s1_node_battle_80_6</x:t>
  </x:si>
  <x:si>
    <x:t>s1_node_battle_82_4</x:t>
  </x:si>
  <x:si>
    <x:t>s1_node_battle_82_6</x:t>
  </x:si>
  <x:si>
    <x:t>s1_node_battle_83_6</x:t>
  </x:si>
  <x:si>
    <x:t>s1_node_battle_84_4</x:t>
  </x:si>
  <x:si>
    <x:t>s1_node_battle_84_6</x:t>
  </x:si>
  <x:si>
    <x:t>s1_node_battle_85_6</x:t>
  </x:si>
  <x:si>
    <x:t>s1_node_battle_87_4</x:t>
  </x:si>
  <x:si>
    <x:t>s1_node_battle_87_6</x:t>
  </x:si>
  <x:si>
    <x:t>s1_node_battle_88_6</x:t>
  </x:si>
  <x:si>
    <x:t>1210;1220;1240</x:t>
  </x:si>
  <x:si>
    <x:t>s1_node_battle_89_4</x:t>
  </x:si>
  <x:si>
    <x:t>s1_node_battle_89_6</x:t>
  </x:si>
  <x:si>
    <x:t>1230;1240;1240</x:t>
  </x:si>
  <x:si>
    <x:t>s1_node_battle_90_6</x:t>
  </x:si>
  <x:si>
    <x:t>1240;1250;1260</x:t>
  </x:si>
  <x:si>
    <x:t>1250;1260;1280</x:t>
  </x:si>
  <x:si>
    <x:t>s1_node_battle_92_4</x:t>
  </x:si>
  <x:si>
    <x:t>s1_node_battle_92_6</x:t>
  </x:si>
  <x:si>
    <x:t>1270;1280;1280</x:t>
  </x:si>
  <x:si>
    <x:t>s1_node_battle_93_6</x:t>
  </x:si>
  <x:si>
    <x:t>1280;1290;1290</x:t>
  </x:si>
  <x:si>
    <x:t>s1_node_battle_94_4</x:t>
  </x:si>
  <x:si>
    <x:t>s1_node_battle_94_6</x:t>
  </x:si>
  <x:si>
    <x:t>1290;1300;1310</x:t>
  </x:si>
  <x:si>
    <x:t>s1_node_battle_95_6</x:t>
  </x:si>
  <x:si>
    <x:t>1300;1310;1330</x:t>
  </x:si>
  <x:si>
    <x:t>1320;1330;1330</x:t>
  </x:si>
  <x:si>
    <x:t>s1_node_battle_97_4</x:t>
  </x:si>
  <x:si>
    <x:t>s1_node_battle_97_6</x:t>
  </x:si>
  <x:si>
    <x:t>1330;1340;1350</x:t>
  </x:si>
  <x:si>
    <x:t>s1_node_battle_98_6</x:t>
  </x:si>
  <x:si>
    <x:t>1340;1350;1370</x:t>
  </x:si>
  <x:si>
    <x:t>s1_node_battle_99_4</x:t>
  </x:si>
  <x:si>
    <x:t>s1_node_battle_99_6</x:t>
  </x:si>
  <x:si>
    <x:t>s1_node_archive_2_4</x:t>
  </x:si>
  <x:si>
    <x:t>s1_node_archive_2_6</x:t>
  </x:si>
  <x:si>
    <x:t>s1_node_archive_3_6</x:t>
  </x:si>
  <x:si>
    <x:t>s1_node_archive_4_4</x:t>
  </x:si>
  <x:si>
    <x:t>s1_node_archive_4_6</x:t>
  </x:si>
  <x:si>
    <x:t>s1_node_archive_5_6</x:t>
  </x:si>
  <x:si>
    <x:t>s1_node_archive_7_4</x:t>
  </x:si>
  <x:si>
    <x:t>s1_node_archive_7_6</x:t>
  </x:si>
  <x:si>
    <x:t>s1_node_archive_8_6</x:t>
  </x:si>
  <x:si>
    <x:t>160;170;180</x:t>
  </x:si>
  <x:si>
    <x:t>s1_node_archive_9_4</x:t>
  </x:si>
  <x:si>
    <x:t>s1_node_archive_9_6</x:t>
  </x:si>
  <x:si>
    <x:t>s1_node_archive_10_6</x:t>
  </x:si>
  <x:si>
    <x:t>s1_node_archive_12_4</x:t>
  </x:si>
  <x:si>
    <x:t>s1_node_archive_12_6</x:t>
  </x:si>
  <x:si>
    <x:t>210;220;230</x:t>
  </x:si>
  <x:si>
    <x:t>s1_node_archive_13_6</x:t>
  </x:si>
  <x:si>
    <x:t>s1_node_archive_14_4</x:t>
  </x:si>
  <x:si>
    <x:t>s1_node_archive_14_6</x:t>
  </x:si>
  <x:si>
    <x:t>s1_node_archive_15_6</x:t>
  </x:si>
  <x:si>
    <x:t>s1_node_archive_17_4</x:t>
  </x:si>
  <x:si>
    <x:t>s1_node_archive_17_6</x:t>
  </x:si>
  <x:si>
    <x:t>s1_node_archive_18_6</x:t>
  </x:si>
  <x:si>
    <x:t>s1_node_archive_19_4</x:t>
  </x:si>
  <x:si>
    <x:t>s1_node_archive_19_6</x:t>
  </x:si>
  <x:si>
    <x:t>s1_node_archive_20_6</x:t>
  </x:si>
  <x:si>
    <x:t>320;330;340</x:t>
  </x:si>
  <x:si>
    <x:t>s1_node_archive_22_4</x:t>
  </x:si>
  <x:si>
    <x:t>s1_node_archive_22_6</x:t>
  </x:si>
  <x:si>
    <x:t>s1_node_archive_23_6</x:t>
  </x:si>
  <x:si>
    <x:t>s1_node_archive_24_4</x:t>
  </x:si>
  <x:si>
    <x:t>s1_node_archive_24_6</x:t>
  </x:si>
  <x:si>
    <x:t>360;370;370</x:t>
  </x:si>
  <x:si>
    <x:t>s1_node_archive_25_6</x:t>
  </x:si>
  <x:si>
    <x:t>370;380;390</x:t>
  </x:si>
  <x:si>
    <x:t>s1_node_archive_27_4</x:t>
  </x:si>
  <x:si>
    <x:t>s1_node_archive_27_6</x:t>
  </x:si>
  <x:si>
    <x:t>390;400;420</x:t>
  </x:si>
  <x:si>
    <x:t>s1_node_archive_28_6</x:t>
  </x:si>
  <x:si>
    <x:t>s1_node_archive_29_4</x:t>
  </x:si>
  <x:si>
    <x:t>s1_node_archive_29_6</x:t>
  </x:si>
  <x:si>
    <x:t>s1_node_archive_30_6</x:t>
  </x:si>
  <x:si>
    <x:t>s1_node_archive_32_4</x:t>
  </x:si>
  <x:si>
    <x:t>s1_node_archive_32_6</x:t>
  </x:si>
  <x:si>
    <x:t>s1_node_archive_33_6</x:t>
  </x:si>
  <x:si>
    <x:t>s1_node_archive_34_4</x:t>
  </x:si>
  <x:si>
    <x:t>s1_node_archive_34_6</x:t>
  </x:si>
  <x:si>
    <x:t>s1_node_archive_35_6</x:t>
  </x:si>
  <x:si>
    <x:t>s1_node_archive_37_4</x:t>
  </x:si>
  <x:si>
    <x:t>s1_node_archive_37_6</x:t>
  </x:si>
  <x:si>
    <x:t>s1_node_archive_38_6</x:t>
  </x:si>
  <x:si>
    <x:t>530;540;550</x:t>
  </x:si>
  <x:si>
    <x:t>s1_node_archive_39_4</x:t>
  </x:si>
  <x:si>
    <x:t>s1_node_archive_39_6</x:t>
  </x:si>
  <x:si>
    <x:t>540;550;570</x:t>
  </x:si>
  <x:si>
    <x:t>s1_node_archive_40_6</x:t>
  </x:si>
  <x:si>
    <x:t>550;560;580</x:t>
  </x:si>
  <x:si>
    <x:t>570;580;580</x:t>
  </x:si>
  <x:si>
    <x:t>s1_node_archive_42_4</x:t>
  </x:si>
  <x:si>
    <x:t>s1_node_archive_42_6</x:t>
  </x:si>
  <x:si>
    <x:t>580;590;600</x:t>
  </x:si>
  <x:si>
    <x:t>s1_node_archive_43_6</x:t>
  </x:si>
  <x:si>
    <x:t>590;600;610</x:t>
  </x:si>
  <x:si>
    <x:t>s1_node_archive_44_4</x:t>
  </x:si>
  <x:si>
    <x:t>s1_node_archive_44_6</x:t>
  </x:si>
  <x:si>
    <x:t>600;610;630</x:t>
  </x:si>
  <x:si>
    <x:t>s1_node_archive_45_6</x:t>
  </x:si>
  <x:si>
    <x:t>620;630;630</x:t>
  </x:si>
  <x:si>
    <x:t>s1_node_archive_47_4</x:t>
  </x:si>
  <x:si>
    <x:t>s1_node_archive_47_6</x:t>
  </x:si>
  <x:si>
    <x:t>s1_node_archive_48_6</x:t>
  </x:si>
  <x:si>
    <x:t>s1_node_archive_49_4</x:t>
  </x:si>
  <x:si>
    <x:t>s1_node_archive_49_6</x:t>
  </x:si>
  <x:si>
    <x:t>s1_node_archive_50_6</x:t>
  </x:si>
  <x:si>
    <x:t>s1_node_archive_52_4</x:t>
  </x:si>
  <x:si>
    <x:t>s1_node_archive_52_6</x:t>
  </x:si>
  <x:si>
    <x:t>s1_node_archive_53_6</x:t>
  </x:si>
  <x:si>
    <x:t>s1_node_archive_54_4</x:t>
  </x:si>
  <x:si>
    <x:t>s1_node_archive_54_6</x:t>
  </x:si>
  <x:si>
    <x:t>s1_node_archive_55_6</x:t>
  </x:si>
  <x:si>
    <x:t>s1_node_archive_57_4</x:t>
  </x:si>
  <x:si>
    <x:t>s1_node_archive_57_6</x:t>
  </x:si>
  <x:si>
    <x:t>760;770;790</x:t>
  </x:si>
  <x:si>
    <x:t>s1_node_archive_58_6</x:t>
  </x:si>
  <x:si>
    <x:t>s1_node_archive_59_4</x:t>
  </x:si>
  <x:si>
    <x:t>s1_node_archive_59_6</x:t>
  </x:si>
  <x:si>
    <x:t>s1_node_archive_60_6</x:t>
  </x:si>
  <x:si>
    <x:t>s1_node_archive_62_4</x:t>
  </x:si>
  <x:si>
    <x:t>s1_node_archive_62_6</x:t>
  </x:si>
  <x:si>
    <x:t>s1_node_archive_63_6</x:t>
  </x:si>
  <x:si>
    <x:t>s1_node_archive_64_4</x:t>
  </x:si>
  <x:si>
    <x:t>s1_node_archive_64_6</x:t>
  </x:si>
  <x:si>
    <x:t>s1_node_archive_65_6</x:t>
  </x:si>
  <x:si>
    <x:t>s1_node_archive_67_4</x:t>
  </x:si>
  <x:si>
    <x:t>s1_node_archive_67_6</x:t>
  </x:si>
  <x:si>
    <x:t>s1_node_archive_68_6</x:t>
  </x:si>
  <x:si>
    <x:t>s1_node_archive_69_4</x:t>
  </x:si>
  <x:si>
    <x:t>s1_node_archive_69_6</x:t>
  </x:si>
  <x:si>
    <x:t>s1_node_archive_70_6</x:t>
  </x:si>
  <x:si>
    <x:t>s1_node_archive_72_4</x:t>
  </x:si>
  <x:si>
    <x:t>s1_node_archive_72_6</x:t>
  </x:si>
  <x:si>
    <x:t>950;960;960</x:t>
  </x:si>
  <x:si>
    <x:t>s1_node_archive_73_6</x:t>
  </x:si>
  <x:si>
    <x:t>s1_node_archive_74_4</x:t>
  </x:si>
  <x:si>
    <x:t>s1_node_archive_74_6</x:t>
  </x:si>
  <x:si>
    <x:t>s1_node_archive_75_6</x:t>
  </x:si>
  <x:si>
    <x:t>980;990;1010</x:t>
  </x:si>
  <x:si>
    <x:t>1000;1010;1010</x:t>
  </x:si>
  <x:si>
    <x:t>s1_node_archive_77_4</x:t>
  </x:si>
  <x:si>
    <x:t>s1_node_archive_77_6</x:t>
  </x:si>
  <x:si>
    <x:t>s1_node_archive_78_6</x:t>
  </x:si>
  <x:si>
    <x:t>1020;1030;1040</x:t>
  </x:si>
  <x:si>
    <x:t>s1_node_archive_79_4</x:t>
  </x:si>
  <x:si>
    <x:t>s1_node_archive_79_6</x:t>
  </x:si>
  <x:si>
    <x:t>1030;1040;1060</x:t>
  </x:si>
  <x:si>
    <x:t>s1_node_archive_80_6</x:t>
  </x:si>
  <x:si>
    <x:t>s1_node_archive_82_4</x:t>
  </x:si>
  <x:si>
    <x:t>s1_node_archive_82_6</x:t>
  </x:si>
  <x:si>
    <x:t>s1_node_archive_83_6</x:t>
  </x:si>
  <x:si>
    <x:t>s1_node_archive_84_4</x:t>
  </x:si>
  <x:si>
    <x:t>s1_node_archive_84_6</x:t>
  </x:si>
  <x:si>
    <x:t>s1_node_archive_85_6</x:t>
  </x:si>
  <x:si>
    <x:t>s1_node_archive_87_4</x:t>
  </x:si>
  <x:si>
    <x:t>s1_node_archive_87_6</x:t>
  </x:si>
  <x:si>
    <x:t>s1_node_archive_88_6</x:t>
  </x:si>
  <x:si>
    <x:t>s1_node_archive_89_4</x:t>
  </x:si>
  <x:si>
    <x:t>s1_node_archive_89_6</x:t>
  </x:si>
  <x:si>
    <x:t>s1_node_archive_90_6</x:t>
  </x:si>
  <x:si>
    <x:t>1180;1190;1200</x:t>
  </x:si>
  <x:si>
    <x:t>s1_node_archive_92_4</x:t>
  </x:si>
  <x:si>
    <x:t>s1_node_archive_92_6</x:t>
  </x:si>
  <x:si>
    <x:t>s1_node_archive_93_6</x:t>
  </x:si>
  <x:si>
    <x:t>s1_node_archive_94_4</x:t>
  </x:si>
  <x:si>
    <x:t>s1_node_archive_94_6</x:t>
  </x:si>
  <x:si>
    <x:t>1220;1230;1230</x:t>
  </x:si>
  <x:si>
    <x:t>s1_node_archive_95_6</x:t>
  </x:si>
  <x:si>
    <x:t>1230;1240;1250</x:t>
  </x:si>
  <x:si>
    <x:t>1240;1250;1270</x:t>
  </x:si>
  <x:si>
    <x:t>s1_node_archive_97_4</x:t>
  </x:si>
  <x:si>
    <x:t>s1_node_archive_97_6</x:t>
  </x:si>
  <x:si>
    <x:t>s1_node_archive_98_6</x:t>
  </x:si>
  <x:si>
    <x:t>s1_node_archive_99_4</x:t>
  </x:si>
  <x:si>
    <x:t>s1_node_archive_99_6</x:t>
  </x:si>
  <x:si>
    <x:t>표시 순서</x:t>
  </x:si>
  <x:si>
    <x:t>서브스토리 DB id</x:t>
  </x:si>
  <x:si>
    <x:t>story_id</x:t>
  </x:si>
  <x:si>
    <x:t>v5154a_002_1</x:t>
  </x:si>
  <x:si>
    <x:t>v5154a_002_2</x:t>
  </x:si>
  <x:si>
    <x:t>v5154a_002_3</x:t>
  </x:si>
  <x:si>
    <x:t>v5154a_002_4</x:t>
  </x:si>
  <x:si>
    <x:t>v5154a_002_5</x:t>
  </x:si>
  <x:si>
    <x:t>v5154a_002_6</x:t>
  </x:si>
  <x:si>
    <x:t>v5154a_002_7</x:t>
  </x:si>
  <x:si>
    <x:t>v5154a_002_8</x:t>
  </x:si>
  <x:si>
    <x:t>v5154a_002_9</x:t>
  </x:si>
  <x:si>
    <x:t>v5154a_002_10</x:t>
  </x:si>
  <x:si>
    <x:t>v5154a_002_11</x:t>
  </x:si>
  <x:si>
    <x:t>v5154a_002_12</x:t>
  </x:si>
  <x:si>
    <x:t>v5154a_002_13</x:t>
  </x:si>
  <x:si>
    <x:t>v5154a_002_14</x:t>
  </x:si>
  <x:si>
    <x:t>v5154a_002_15</x:t>
  </x:si>
  <x:si>
    <x:t>카테고리</x:t>
  </x:si>
  <x:si>
    <x:t>타이틀 TID</x:t>
  </x:si>
  <x:si>
    <x:t>설명 TID</x:t>
  </x:si>
  <x:si>
    <x:t>event_title</x:t>
  </x:si>
  <x:si>
    <x:t>event_desc</x:t>
  </x:si>
  <x:si>
    <x:t>event_1</x:t>
  </x:si>
  <x:si>
    <x:t>낡은 유물함</x:t>
  </x:si>
  <x:si>
    <x:t>먼지 쌓인 유물함을 회수하거나 그냥 지나치는 사건.</x:t>
  </x:si>
  <x:si>
    <x:t>별빛 파편 상자</x:t>
  </x:si>
  <x:si>
    <x:t>차원 파편이 담긴 상자에서 유물 또는 재화를 노린다.</x:t>
  </x:si>
  <x:si>
    <x:t>기억의 진열대</x:t>
  </x:si>
  <x:si>
    <x:t>기록 아카이브 단서와 탐사 보상을 교환하는 사건.</x:t>
  </x:si>
  <x:si>
    <x:t>수호자의 전리품</x:t>
  </x:si>
  <x:si>
    <x:t>수호자의 흔적에서 전투 보상 또는 유물을 회수한다.</x:t>
  </x:si>
  <x:si>
    <x:t>속삭이는 기록관</x:t>
  </x:si>
  <x:si>
    <x:t>도감 단서를 얻는 대신 탐사 자원을 소모한다.</x:t>
  </x:si>
  <x:si>
    <x:t>봉인된 보관함</x:t>
  </x:si>
  <x:si>
    <x:t>봉인을 해제해 보상을 얻거나 실패 위험을 감수한다.</x:t>
  </x:si>
  <x:si>
    <x:t>탐험가의 선반</x:t>
  </x:si>
  <x:si>
    <x:t>이전 탐험가가 남긴 소모품과 정보를 선택한다.</x:t>
  </x:si>
  <x:si>
    <x:t>event_2</x:t>
  </x:si>
  <x:si>
    <x:t>결투의 잔상</x:t>
  </x:si>
  <x:si>
    <x:t>다른 탐사대의 환영과 영웅 대 영웅 전투를 벌인다.</x:t>
  </x:si>
  <x:si>
    <x:t>균열 검투사</x:t>
  </x:si>
  <x:si>
    <x:t>균열에 남은 투사의 기록을 상대하고 보상을 획득한다.</x:t>
  </x:si>
  <x:si>
    <x:t>차원 투기장</x:t>
  </x:si>
  <x:si>
    <x:t>제한 조건이 붙은 PvP식 전투를 선택할 수 있다.</x:t>
  </x:si>
  <x:si>
    <x:t>이름 없는 도전자</x:t>
  </x:si>
  <x:si>
    <x:t>무작위 조합의 적 영웅 파티와 교전한다.</x:t>
  </x:si>
  <x:si>
    <x:t>전술 모의전</x:t>
  </x:si>
  <x:si>
    <x:t>태그와 영입 구성을 시험하는 모의 전투 사건.</x:t>
  </x:si>
  <x:si>
    <x:t>패자의 깃발</x:t>
  </x:si>
  <x:si>
    <x:t>패배한 탐사대의 깃발에서 정복 보상을 회수한다.</x:t>
  </x:si>
  <x:si>
    <x:t>공명 결투</x:t>
  </x:si>
  <x:si>
    <x:t>차원핵 공명치에 따라 보상이 달라지는 결투 사건.</x:t>
  </x:si>
  <x:si>
    <x:t>새로운 타입 있을 경우 추가</x:t>
  </x:si>
  <x:si>
    <x:t>아이콘 파일 이름</x:t>
  </x:si>
  <x:si>
    <x:t>이름 TID</x:t>
  </x:si>
  <x:si>
    <x:t>icon</x:t>
  </x:si>
  <x:si>
    <x:t>name</x:t>
  </x:si>
  <x:si>
    <x:t>desc</x:t>
  </x:si>
  <x:si>
    <x:t>s1_relic_001</x:t>
  </x:si>
  <x:si>
    <x:t>s1_relic_001_name</x:t>
  </x:si>
  <x:si>
    <x:t>s1_relic_001_desc</x:t>
  </x:si>
  <x:si>
    <x:t>s1_relic_002</x:t>
  </x:si>
  <x:si>
    <x:t>s1_relic_002_name</x:t>
  </x:si>
  <x:si>
    <x:t>s1_relic_002_desc</x:t>
  </x:si>
  <x:si>
    <x:t>s1_relic_003</x:t>
  </x:si>
  <x:si>
    <x:t>s1_relic_003_name</x:t>
  </x:si>
  <x:si>
    <x:t>s1_relic_003_desc</x:t>
  </x:si>
  <x:si>
    <x:t>s1_relic_004</x:t>
  </x:si>
  <x:si>
    <x:t>s1_relic_004_name</x:t>
  </x:si>
  <x:si>
    <x:t>s1_relic_004_desc</x:t>
  </x:si>
  <x:si>
    <x:t>s1_relic_005</x:t>
  </x:si>
  <x:si>
    <x:t>s1_relic_005_name</x:t>
  </x:si>
  <x:si>
    <x:t>s1_relic_005_desc</x:t>
  </x:si>
  <x:si>
    <x:t>s1_relic_006</x:t>
  </x:si>
  <x:si>
    <x:t>s1_relic_006_name</x:t>
  </x:si>
  <x:si>
    <x:t>s1_relic_006_desc</x:t>
  </x:si>
  <x:si>
    <x:t>s1_relic_007</x:t>
  </x:si>
  <x:si>
    <x:t>s1_relic_007_name</x:t>
  </x:si>
  <x:si>
    <x:t>s1_relic_007_desc</x:t>
  </x:si>
  <x:si>
    <x:t>s1_relic_008</x:t>
  </x:si>
  <x:si>
    <x:t>s1_relic_008_name</x:t>
  </x:si>
  <x:si>
    <x:t>s1_relic_008_desc</x:t>
  </x:si>
  <x:si>
    <x:t>s1_relic_009</x:t>
  </x:si>
  <x:si>
    <x:t>s1_relic_009_name</x:t>
  </x:si>
  <x:si>
    <x:t>s1_relic_009_desc</x:t>
  </x:si>
  <x:si>
    <x:t>s1_relic_010</x:t>
  </x:si>
  <x:si>
    <x:t>s1_relic_010_name</x:t>
  </x:si>
  <x:si>
    <x:t>s1_relic_010_desc</x:t>
  </x:si>
  <x:si>
    <x:t>s1_relic_011</x:t>
  </x:si>
  <x:si>
    <x:t>s1_relic_011_name</x:t>
  </x:si>
  <x:si>
    <x:t>s1_relic_011_desc</x:t>
  </x:si>
  <x:si>
    <x:t>s1_relic_012</x:t>
  </x:si>
  <x:si>
    <x:t>s1_relic_012_name</x:t>
  </x:si>
  <x:si>
    <x:t>s1_relic_012_desc</x:t>
  </x:si>
  <x:si>
    <x:t>s1_relic_013</x:t>
  </x:si>
  <x:si>
    <x:t>s1_relic_013_name</x:t>
  </x:si>
  <x:si>
    <x:t>s1_relic_013_desc</x:t>
  </x:si>
  <x:si>
    <x:t>s1_relic_014</x:t>
  </x:si>
  <x:si>
    <x:t>s1_relic_014_name</x:t>
  </x:si>
  <x:si>
    <x:t>s1_relic_014_desc</x:t>
  </x:si>
  <x:si>
    <x:t>s1_relic_015</x:t>
  </x:si>
  <x:si>
    <x:t>s1_relic_015_name</x:t>
  </x:si>
  <x:si>
    <x:t>s1_relic_015_desc</x:t>
  </x:si>
  <x:si>
    <x:t>s1_relic_016</x:t>
  </x:si>
  <x:si>
    <x:t>s1_relic_016_name</x:t>
  </x:si>
  <x:si>
    <x:t>s1_relic_016_desc</x:t>
  </x:si>
  <x:si>
    <x:t>s1_relic_017</x:t>
  </x:si>
  <x:si>
    <x:t>s1_relic_017_name</x:t>
  </x:si>
  <x:si>
    <x:t>s1_relic_017_desc</x:t>
  </x:si>
  <x:si>
    <x:t>s1_relic_018</x:t>
  </x:si>
  <x:si>
    <x:t>s1_relic_018_name</x:t>
  </x:si>
  <x:si>
    <x:t>s1_relic_018_desc</x:t>
  </x:si>
  <x:si>
    <x:t>s1_relic_019</x:t>
  </x:si>
  <x:si>
    <x:t>s1_relic_019_name</x:t>
  </x:si>
  <x:si>
    <x:t>s1_relic_019_desc</x:t>
  </x:si>
  <x:si>
    <x:t>s1_relic_020</x:t>
  </x:si>
  <x:si>
    <x:t>s1_relic_020_name</x:t>
  </x:si>
  <x:si>
    <x:t>s1_relic_020_desc</x:t>
  </x:si>
  <x:si>
    <x:t>s1_relic_021</x:t>
  </x:si>
  <x:si>
    <x:t>s1_relic_021_name</x:t>
  </x:si>
  <x:si>
    <x:t>s1_relic_021_desc</x:t>
  </x:si>
  <x:si>
    <x:t>s1_relic_022</x:t>
  </x:si>
  <x:si>
    <x:t>s1_relic_022_name</x:t>
  </x:si>
  <x:si>
    <x:t>s1_relic_022_desc</x:t>
  </x:si>
  <x:si>
    <x:t>s1_relic_023</x:t>
  </x:si>
  <x:si>
    <x:t>s1_relic_023_name</x:t>
  </x:si>
  <x:si>
    <x:t>s1_relic_023_desc</x:t>
  </x:si>
  <x:si>
    <x:t>s1_relic_024</x:t>
  </x:si>
  <x:si>
    <x:t>s1_relic_024_name</x:t>
  </x:si>
  <x:si>
    <x:t>s1_relic_024_desc</x:t>
  </x:si>
  <x:si>
    <x:t>s1_relic_025</x:t>
  </x:si>
  <x:si>
    <x:t>s1_relic_025_name</x:t>
  </x:si>
  <x:si>
    <x:t>s1_relic_025_desc</x:t>
  </x:si>
  <x:si>
    <x:t>s1_relic_026</x:t>
  </x:si>
  <x:si>
    <x:t>s1_relic_026_name</x:t>
  </x:si>
  <x:si>
    <x:t>s1_relic_026_desc</x:t>
  </x:si>
  <x:si>
    <x:t>s1_relic_027</x:t>
  </x:si>
  <x:si>
    <x:t>s1_relic_027_name</x:t>
  </x:si>
  <x:si>
    <x:t>s1_relic_027_desc</x:t>
  </x:si>
  <x:si>
    <x:t>s1_relic_028</x:t>
  </x:si>
  <x:si>
    <x:t>s1_relic_028_name</x:t>
  </x:si>
  <x:si>
    <x:t>s1_relic_028_desc</x:t>
  </x:si>
  <x:si>
    <x:t>s1_relic_029</x:t>
  </x:si>
  <x:si>
    <x:t>s1_relic_029_name</x:t>
  </x:si>
  <x:si>
    <x:t>s1_relic_029_desc</x:t>
  </x:si>
  <x:si>
    <x:t>s1_relic_030</x:t>
  </x:si>
  <x:si>
    <x:t>s1_relic_030_name</x:t>
  </x:si>
  <x:si>
    <x:t>s1_relic_030_desc</x:t>
  </x:si>
  <x:si>
    <x:t>s1_relic_031</x:t>
  </x:si>
  <x:si>
    <x:t>s1_relic_031_name</x:t>
  </x:si>
  <x:si>
    <x:t>s1_relic_031_desc</x:t>
  </x:si>
  <x:si>
    <x:t>s1_relic_032</x:t>
  </x:si>
  <x:si>
    <x:t>s1_relic_032_name</x:t>
  </x:si>
  <x:si>
    <x:t>s1_relic_032_desc</x:t>
  </x:si>
  <x:si>
    <x:t>s1_relic_033</x:t>
  </x:si>
  <x:si>
    <x:t>s1_relic_033_name</x:t>
  </x:si>
  <x:si>
    <x:t>s1_relic_033_desc</x:t>
  </x:si>
  <x:si>
    <x:t>s1_relic_034</x:t>
  </x:si>
  <x:si>
    <x:t>s1_relic_034_name</x:t>
  </x:si>
  <x:si>
    <x:t>s1_relic_034_desc</x:t>
  </x:si>
  <x:si>
    <x:t>s1_relic_035</x:t>
  </x:si>
  <x:si>
    <x:t>s1_relic_035_name</x:t>
  </x:si>
  <x:si>
    <x:t>s1_relic_035_desc</x:t>
  </x:si>
  <x:si>
    <x:t>s1_relic_036</x:t>
  </x:si>
  <x:si>
    <x:t>s1_relic_036_name</x:t>
  </x:si>
  <x:si>
    <x:t>s1_relic_036_desc</x:t>
  </x:si>
  <x:si>
    <x:t>s1_relic_037</x:t>
  </x:si>
  <x:si>
    <x:t>s1_relic_037_name</x:t>
  </x:si>
  <x:si>
    <x:t>s1_relic_037_desc</x:t>
  </x:si>
  <x:si>
    <x:t>s1_relic_038</x:t>
  </x:si>
  <x:si>
    <x:t>s1_relic_038_name</x:t>
  </x:si>
  <x:si>
    <x:t>s1_relic_038_desc</x:t>
  </x:si>
  <x:si>
    <x:t>s1_relic_039</x:t>
  </x:si>
  <x:si>
    <x:t>s1_relic_039_name</x:t>
  </x:si>
  <x:si>
    <x:t>s1_relic_039_desc</x:t>
  </x:si>
  <x:si>
    <x:t>s1_relic_040</x:t>
  </x:si>
  <x:si>
    <x:t>s1_relic_040_name</x:t>
  </x:si>
  <x:si>
    <x:t>s1_relic_040_desc</x:t>
  </x:si>
  <x:si>
    <x:t>s1_relic_041</x:t>
  </x:si>
  <x:si>
    <x:t>s1_relic_041_name</x:t>
  </x:si>
  <x:si>
    <x:t>s1_relic_041_desc</x:t>
  </x:si>
  <x:si>
    <x:t>s1_relic_042</x:t>
  </x:si>
  <x:si>
    <x:t>s1_relic_042_name</x:t>
  </x:si>
  <x:si>
    <x:t>s1_relic_042_desc</x:t>
  </x:si>
  <x:si>
    <x:t>s1_relic_043</x:t>
  </x:si>
  <x:si>
    <x:t>s1_relic_043_name</x:t>
  </x:si>
  <x:si>
    <x:t>s1_relic_043_desc</x:t>
  </x:si>
  <x:si>
    <x:t>s1_relic_044</x:t>
  </x:si>
  <x:si>
    <x:t>s1_relic_044_name</x:t>
  </x:si>
  <x:si>
    <x:t>s1_relic_044_desc</x:t>
  </x:si>
  <x:si>
    <x:t>s1_relic_045</x:t>
  </x:si>
  <x:si>
    <x:t>s1_relic_045_name</x:t>
  </x:si>
  <x:si>
    <x:t>s1_relic_045_desc</x:t>
  </x:si>
  <x:si>
    <x:t>s1_relic_046</x:t>
  </x:si>
  <x:si>
    <x:t>s1_relic_046_name</x:t>
  </x:si>
  <x:si>
    <x:t>s1_relic_046_desc</x:t>
  </x:si>
  <x:si>
    <x:t>s1_relic_047</x:t>
  </x:si>
  <x:si>
    <x:t>s1_relic_047_name</x:t>
  </x:si>
  <x:si>
    <x:t>s1_relic_047_desc</x:t>
  </x:si>
  <x:si>
    <x:t>s1_relic_048</x:t>
  </x:si>
  <x:si>
    <x:t>s1_relic_048_name</x:t>
  </x:si>
  <x:si>
    <x:t>s1_relic_048_desc</x:t>
  </x:si>
  <x:si>
    <x:t>s1_relic_049</x:t>
  </x:si>
  <x:si>
    <x:t>s1_relic_049_name</x:t>
  </x:si>
  <x:si>
    <x:t>s1_relic_049_desc</x:t>
  </x:si>
  <x:si>
    <x:t>s1_relic_050</x:t>
  </x:si>
  <x:si>
    <x:t>s1_relic_050_name</x:t>
  </x:si>
  <x:si>
    <x:t>s1_relic_050_desc</x:t>
  </x:si>
  <x:si>
    <x:t>s1_relic_051</x:t>
  </x:si>
  <x:si>
    <x:t>s1_relic_051_name</x:t>
  </x:si>
  <x:si>
    <x:t>s1_relic_051_desc</x:t>
  </x:si>
  <x:si>
    <x:t>s1_relic_052</x:t>
  </x:si>
  <x:si>
    <x:t>s1_relic_052_name</x:t>
  </x:si>
  <x:si>
    <x:t>s1_relic_052_desc</x:t>
  </x:si>
  <x:si>
    <x:t>s1_relic_053</x:t>
  </x:si>
  <x:si>
    <x:t>s1_relic_053_name</x:t>
  </x:si>
  <x:si>
    <x:t>s1_relic_053_desc</x:t>
  </x:si>
  <x:si>
    <x:t>s1_relic_054</x:t>
  </x:si>
  <x:si>
    <x:t>s1_relic_054_name</x:t>
  </x:si>
  <x:si>
    <x:t>s1_relic_054_desc</x:t>
  </x:si>
  <x:si>
    <x:t>s1_relic_055</x:t>
  </x:si>
  <x:si>
    <x:t>s1_relic_055_name</x:t>
  </x:si>
  <x:si>
    <x:t>s1_relic_055_desc</x:t>
  </x:si>
  <x:si>
    <x:t>s1_relic_056</x:t>
  </x:si>
  <x:si>
    <x:t>s1_relic_056_name</x:t>
  </x:si>
  <x:si>
    <x:t>s1_relic_056_desc</x:t>
  </x:si>
  <x:si>
    <x:t>s1_relic_057</x:t>
  </x:si>
  <x:si>
    <x:t>s1_relic_057_name</x:t>
  </x:si>
  <x:si>
    <x:t>s1_relic_057_desc</x:t>
  </x:si>
  <x:si>
    <x:t>s1_relic_058</x:t>
  </x:si>
  <x:si>
    <x:t>s1_relic_058_name</x:t>
  </x:si>
  <x:si>
    <x:t>s1_relic_058_desc</x:t>
  </x:si>
  <x:si>
    <x:t>s1_relic_059</x:t>
  </x:si>
  <x:si>
    <x:t>s1_relic_059_name</x:t>
  </x:si>
  <x:si>
    <x:t>s1_relic_059_desc</x:t>
  </x:si>
  <x:si>
    <x:t>s1_relic_060</x:t>
  </x:si>
  <x:si>
    <x:t>s1_relic_060_name</x:t>
  </x:si>
  <x:si>
    <x:t>s1_relic_060_desc</x:t>
  </x:si>
  <x:si>
    <x:t>s1_relic_061</x:t>
  </x:si>
  <x:si>
    <x:t>s1_relic_061_name</x:t>
  </x:si>
  <x:si>
    <x:t>s1_relic_061_desc</x:t>
  </x:si>
  <x:si>
    <x:t>s1_relic_062</x:t>
  </x:si>
  <x:si>
    <x:t>s1_relic_062_name</x:t>
  </x:si>
  <x:si>
    <x:t>s1_relic_062_desc</x:t>
  </x:si>
  <x:si>
    <x:t>s1_relic_063</x:t>
  </x:si>
  <x:si>
    <x:t>s1_relic_063_name</x:t>
  </x:si>
  <x:si>
    <x:t>s1_relic_063_desc</x:t>
  </x:si>
  <x:si>
    <x:t>s1_relic_064</x:t>
  </x:si>
  <x:si>
    <x:t>s1_relic_064_name</x:t>
  </x:si>
  <x:si>
    <x:t>s1_relic_064_desc</x:t>
  </x:si>
  <x:si>
    <x:t>s1_relic_065</x:t>
  </x:si>
  <x:si>
    <x:t>s1_relic_065_name</x:t>
  </x:si>
  <x:si>
    <x:t>s1_relic_065_desc</x:t>
  </x:si>
  <x:si>
    <x:t>s1_relic_066</x:t>
  </x:si>
  <x:si>
    <x:t>s1_relic_066_name</x:t>
  </x:si>
  <x:si>
    <x:t>s1_relic_066_desc</x:t>
  </x:si>
  <x:si>
    <x:t>s1_relic_067</x:t>
  </x:si>
  <x:si>
    <x:t>s1_relic_067_name</x:t>
  </x:si>
  <x:si>
    <x:t>s1_relic_067_desc</x:t>
  </x:si>
  <x:si>
    <x:t>s1_relic_068</x:t>
  </x:si>
  <x:si>
    <x:t>s1_relic_068_name</x:t>
  </x:si>
  <x:si>
    <x:t>s1_relic_068_desc</x:t>
  </x:si>
  <x:si>
    <x:t>s1_relic_069</x:t>
  </x:si>
  <x:si>
    <x:t>s1_relic_069_name</x:t>
  </x:si>
  <x:si>
    <x:t>s1_relic_069_desc</x:t>
  </x:si>
  <x:si>
    <x:t>s1_relic_070</x:t>
  </x:si>
  <x:si>
    <x:t>s1_relic_070_name</x:t>
  </x:si>
  <x:si>
    <x:t>s1_relic_070_desc</x:t>
  </x:si>
  <x:si>
    <x:t>s1_relic_071</x:t>
  </x:si>
  <x:si>
    <x:t>s1_relic_071_name</x:t>
  </x:si>
  <x:si>
    <x:t>s1_relic_071_desc</x:t>
  </x:si>
  <x:si>
    <x:t>s1_relic_072</x:t>
  </x:si>
  <x:si>
    <x:t>s1_relic_072_name</x:t>
  </x:si>
  <x:si>
    <x:t>s1_relic_072_desc</x:t>
  </x:si>
  <x:si>
    <x:t>s1_relic_073</x:t>
  </x:si>
  <x:si>
    <x:t>s1_relic_073_name</x:t>
  </x:si>
  <x:si>
    <x:t>s1_relic_073_desc</x:t>
  </x:si>
  <x:si>
    <x:t>s1_relic_074</x:t>
  </x:si>
  <x:si>
    <x:t>s1_relic_074_name</x:t>
  </x:si>
  <x:si>
    <x:t>s1_relic_074_desc</x:t>
  </x:si>
  <x:si>
    <x:t>s1_relic_075</x:t>
  </x:si>
  <x:si>
    <x:t>s1_relic_075_name</x:t>
  </x:si>
  <x:si>
    <x:t>s1_relic_075_desc</x:t>
  </x:si>
  <x:si>
    <x:t>s1_relic_076</x:t>
  </x:si>
  <x:si>
    <x:t>s1_relic_076_name</x:t>
  </x:si>
  <x:si>
    <x:t>s1_relic_076_desc</x:t>
  </x:si>
  <x:si>
    <x:t>s1_relic_077</x:t>
  </x:si>
  <x:si>
    <x:t>s1_relic_077_name</x:t>
  </x:si>
  <x:si>
    <x:t>s1_relic_077_desc</x:t>
  </x:si>
  <x:si>
    <x:t>s1_relic_078</x:t>
  </x:si>
  <x:si>
    <x:t>s1_relic_078_name</x:t>
  </x:si>
  <x:si>
    <x:t>s1_relic_078_desc</x:t>
  </x:si>
  <x:si>
    <x:t>s1_relic_079</x:t>
  </x:si>
  <x:si>
    <x:t>s1_relic_079_name</x:t>
  </x:si>
  <x:si>
    <x:t>s1_relic_079_desc</x:t>
  </x:si>
  <x:si>
    <x:t>s1_relic_080</x:t>
  </x:si>
  <x:si>
    <x:t>s1_relic_080_name</x:t>
  </x:si>
  <x:si>
    <x:t>s1_relic_080_desc</x:t>
  </x:si>
  <x:si>
    <x:t>s1_relic_081</x:t>
  </x:si>
  <x:si>
    <x:t>s1_relic_081_name</x:t>
  </x:si>
  <x:si>
    <x:t>s1_relic_081_desc</x:t>
  </x:si>
  <x:si>
    <x:t>s1_relic_082</x:t>
  </x:si>
  <x:si>
    <x:t>s1_relic_082_name</x:t>
  </x:si>
  <x:si>
    <x:t>s1_relic_082_desc</x:t>
  </x:si>
  <x:si>
    <x:t>s1_relic_083</x:t>
  </x:si>
  <x:si>
    <x:t>s1_relic_083_name</x:t>
  </x:si>
  <x:si>
    <x:t>s1_relic_083_desc</x:t>
  </x:si>
  <x:si>
    <x:t>s1_relic_084</x:t>
  </x:si>
  <x:si>
    <x:t>s1_relic_084_name</x:t>
  </x:si>
  <x:si>
    <x:t>s1_relic_084_desc</x:t>
  </x:si>
  <x:si>
    <x:t>s1_relic_085</x:t>
  </x:si>
  <x:si>
    <x:t>s1_relic_085_name</x:t>
  </x:si>
  <x:si>
    <x:t>s1_relic_085_desc</x:t>
  </x:si>
  <x:si>
    <x:t>s1_relic_086</x:t>
  </x:si>
  <x:si>
    <x:t>s1_relic_086_name</x:t>
  </x:si>
  <x:si>
    <x:t>s1_relic_086_desc</x:t>
  </x:si>
  <x:si>
    <x:t>s1_relic_087</x:t>
  </x:si>
  <x:si>
    <x:t>s1_relic_087_name</x:t>
  </x:si>
  <x:si>
    <x:t>s1_relic_087_desc</x:t>
  </x:si>
  <x:si>
    <x:t>s1_relic_088</x:t>
  </x:si>
  <x:si>
    <x:t>s1_relic_088_name</x:t>
  </x:si>
  <x:si>
    <x:t>s1_relic_088_desc</x:t>
  </x:si>
  <x:si>
    <x:t>s1_relic_089</x:t>
  </x:si>
  <x:si>
    <x:t>s1_relic_089_name</x:t>
  </x:si>
  <x:si>
    <x:t>s1_relic_089_desc</x:t>
  </x:si>
  <x:si>
    <x:t>s1_relic_090</x:t>
  </x:si>
  <x:si>
    <x:t>s1_relic_090_name</x:t>
  </x:si>
  <x:si>
    <x:t>s1_relic_090_desc</x:t>
  </x:si>
  <x:si>
    <x:t>s1_relic_091</x:t>
  </x:si>
  <x:si>
    <x:t>s1_relic_091_name</x:t>
  </x:si>
  <x:si>
    <x:t>s1_relic_091_desc</x:t>
  </x:si>
  <x:si>
    <x:t>s1_relic_092</x:t>
  </x:si>
  <x:si>
    <x:t>s1_relic_092_name</x:t>
  </x:si>
  <x:si>
    <x:t>s1_relic_092_desc</x:t>
  </x:si>
  <x:si>
    <x:t>s1_relic_093</x:t>
  </x:si>
  <x:si>
    <x:t>s1_relic_093_name</x:t>
  </x:si>
  <x:si>
    <x:t>s1_relic_093_desc</x:t>
  </x:si>
  <x:si>
    <x:t>s1_relic_094</x:t>
  </x:si>
  <x:si>
    <x:t>s1_relic_094_name</x:t>
  </x:si>
  <x:si>
    <x:t>s1_relic_094_desc</x:t>
  </x:si>
  <x:si>
    <x:t>s1_relic_095</x:t>
  </x:si>
  <x:si>
    <x:t>s1_relic_095_name</x:t>
  </x:si>
  <x:si>
    <x:t>s1_relic_095_desc</x:t>
  </x:si>
  <x:si>
    <x:t>s1_relic_096</x:t>
  </x:si>
  <x:si>
    <x:t>s1_relic_096_name</x:t>
  </x:si>
  <x:si>
    <x:t>s1_relic_096_desc</x:t>
  </x:si>
  <x:si>
    <x:t>s1_relic_097</x:t>
  </x:si>
  <x:si>
    <x:t>s1_relic_097_name</x:t>
  </x:si>
  <x:si>
    <x:t>s1_relic_097_desc</x:t>
  </x:si>
  <x:si>
    <x:t>s1_relic_098</x:t>
  </x:si>
  <x:si>
    <x:t>s1_relic_098_name</x:t>
  </x:si>
  <x:si>
    <x:t>s1_relic_098_desc</x:t>
  </x:si>
  <x:si>
    <x:t>s1_relic_099</x:t>
  </x:si>
  <x:si>
    <x:t>s1_relic_099_name</x:t>
  </x:si>
  <x:si>
    <x:t>s1_relic_099_desc</x:t>
  </x:si>
  <x:si>
    <x:t>s1_relic_100</x:t>
  </x:si>
  <x:si>
    <x:t>s1_relic_100_name</x:t>
  </x:si>
  <x:si>
    <x:t>s1_relic_100_desc</x:t>
  </x:si>
  <x:si>
    <x:t>테두리 파일명</x:t>
  </x:si>
  <x:si>
    <x:t>몬스터 id</x:t>
  </x:si>
  <x:si>
    <x:t>몬스터 이름</x:t>
  </x:si>
  <x:si>
    <x:t>몬스터 설명</x:t>
  </x:si>
  <x:si>
    <x:t>border_type</x:t>
  </x:si>
  <x:si>
    <x:t>monster_id</x:t>
  </x:si>
  <x:si>
    <x:t>normal</x:t>
  </x:si>
  <x:si>
    <x:t>c2003_d_c_mpao005</x:t>
  </x:si>
  <x:si>
    <x:t>균열 보초병</x:t>
  </x:si>
  <x:si>
    <x:t>차원 균열 주변을 순찰하는 하급 개체.</x:t>
  </x:si>
  <x:si>
    <x:t>c2003_d_c_mpao006</x:t>
  </x:si>
  <x:si>
    <x:t>마력 오염체</x:t>
  </x:si>
  <x:si>
    <x:t>잔류 마력에 침식되어 공격성이 높아진 개체.</x:t>
  </x:si>
  <x:si>
    <x:t>c2003_d_c_mpao007</x:t>
  </x:si>
  <x:si>
    <x:t>버려진 정찰기</x:t>
  </x:si>
  <x:si>
    <x:t>낡은 정찰 장비가 폭주한 형태.</x:t>
  </x:si>
  <x:si>
    <x:t>c2003_d_c_mpao008</x:t>
  </x:si>
  <x:si>
    <x:t>공명 파편수</x:t>
  </x:si>
  <x:si>
    <x:t>차원핵 파편을 품은 소형 몬스터.</x:t>
  </x:si>
  <x:si>
    <x:t>elite</x:t>
  </x:si>
  <x:si>
    <x:t>c2003_d_c_mpao009</x:t>
  </x:si>
  <x:si>
    <x:t>균열 집행자</x:t>
  </x:si>
  <x:si>
    <x:t>침입자를 배제하도록 재구성된 정예 개체.</x:t>
  </x:si>
  <x:si>
    <x:t>c2003_d_c_mpao010</x:t>
  </x:si>
  <x:si>
    <x:t>차원 방랑자</x:t>
  </x:si>
  <x:si>
    <x:t>여러 차원을 떠돌며 전투 기록을 흡수한 존재.</x:t>
  </x:si>
  <x:si>
    <x:t>c2003_d_c_mpao011</x:t>
  </x:si>
  <x:si>
    <x:t>심연 감시자</x:t>
  </x:si>
  <x:si>
    <x:t>심층 구역의 진입자를 감시하는 강력한 개체.</x:t>
  </x:si>
  <x:si>
    <x:t>c2003_d_c_mpao012</x:t>
  </x:si>
  <x:si>
    <x:t>공명 수호자</x:t>
  </x:si>
  <x:si>
    <x:t>차원핵 공명에 반응해 강화되는 정예 수호자.</x:t>
  </x:si>
  <x:si>
    <x:t>boss</x:t>
  </x:si>
  <x:si>
    <x:t>c2003_d_c_mpao013</x:t>
  </x:si>
  <x:si>
    <x:t>허상의 군주</x:t>
  </x:si>
  <x:si>
    <x:t>나이트메어 테마의 최종 구역을 지키는 보스.</x:t>
  </x:si>
  <x:si>
    <x:t>달성 퍼센트</x:t>
  </x:si>
  <x:si>
    <x:t>reward_rate</x:t>
  </x:si>
  <x:si>
    <x:t>ma_border175</x:t>
  </x:si>
  <x:si>
    <x:t>조건 타입</x:t>
  </x:si>
  <x:si>
    <x:r>
      <x:rPr>
        <x:vertAlign val="baseline"/>
        <x:sz val="11"/>
        <x:color theme="1"/>
        <x:rFont val="맑은 고딕"/>
        <x:family val="3"/>
        <x:charset val="129"/>
      </x:rPr>
      <x:t>id 생성용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</x:si>
  <x:si>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미션 타이틀</x:t>
    </x:r>
    <x:phoneticPr fontId="0" type="noConversion"/>
  </x:si>
  <x:si>
    <x:t>값</x:t>
  </x:si>
  <x:si>
    <x:t>아이템 타입</x:t>
  </x:si>
  <x:si>
    <x:r>
      <x:rPr>
        <x:vertAlign val="baseline"/>
        <x:sz val="11"/>
        <x:color theme="1"/>
        <x:rFont val="맑은 고딕"/>
        <x:family val="3"/>
        <x:charset val="129"/>
      </x:rPr>
      <x:t>미션 텍스트</x:t>
    </x:r>
    <x:phoneticPr fontId="0" type="noConversion"/>
  </x:si>
  <x:si>
    <x:t>완료 보상</x:t>
  </x:si>
  <x:si>
    <x:t>보상 값</x:t>
  </x:si>
  <x:si>
    <x:t>condition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</x:si>
  <x:si>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mission_title</x:t>
    </x:r>
    <x:phoneticPr fontId="0" type="noConversion"/>
  </x:si>
  <x:si>
    <x:t>value</x:t>
  </x:si>
  <x:si>
    <x:t>item_type_1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</x:si>
  <x:si>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mission_text</x:t>
    </x:r>
    <x:phoneticPr fontId="0" type="noConversion"/>
  </x:si>
  <x:si>
    <x:t>item_type_2</x:t>
  </x:si>
  <x:si>
    <x:t>reward_value_2</x:t>
  </x:si>
  <x:si>
    <x:t>normal_mission_title</x:t>
  </x:si>
  <x:si>
    <x:r>
      <x:rPr>
        <x:vertAlign val="baseline"/>
        <x:sz val="11"/>
        <x:color theme="1"/>
        <x:rFont val="맑은 고딕"/>
        <x:family val="3"/>
        <x:charset val="129"/>
      </x:rPr>
      <x:t>clear_battle_level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</x:si>
  <x:si>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clear_with_hero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</x:si>
  <x:si>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c5001</x:t>
    </x:r>
    <x:phoneticPr fontId="0" type="noConversion"/>
  </x:si>
  <x:si>
    <x:t>clear_event</x:t>
  </x:si>
  <x:si>
    <x:r>
      <x:rPr>
        <x:vertAlign val="baseline"/>
        <x:sz val="11"/>
        <x:color theme="1"/>
        <x:rFont val="맑은 고딕"/>
        <x:family val="3"/>
        <x:charset val="129"/>
      </x:rPr>
      <x:t>s1_evt_001</x:t>
    </x:r>
    <x:phoneticPr fontId="0" type="noConversion"/>
  </x:si>
  <x:si>
    <x:t>recruit_hero</x:t>
  </x:si>
  <x:si>
    <x:r>
      <x:rPr>
        <x:vertAlign val="baseline"/>
        <x:sz val="11"/>
        <x:color theme="1"/>
        <x:rFont val="맑은 고딕"/>
        <x:family val="3"/>
        <x:charset val="129"/>
      </x:rPr>
      <x:t>s1_relic_095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</x:si>
  <x:si>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collect_relic</x:t>
    </x:r>
    <x:phoneticPr fontId="0" type="noConversion"/>
  </x:si>
  <x:si>
    <x:t>해당 미션 시작</x:t>
  </x:si>
  <x:si>
    <x:t>해당 미션 종료 기간</x:t>
  </x:si>
  <x:si>
    <x:t>end</x:t>
  </x:si>
  <x:si>
    <x:t>start</x:t>
  </x:si>
  <x:si>
    <x:t>start_zl</x:t>
  </x:si>
  <x:si>
    <x:t>end_zl</x:t>
  </x:si>
  <x:si>
    <x:r>
      <x:rPr>
        <x:vertAlign val="baseline"/>
        <x:sz val="11"/>
        <x:color theme="1"/>
        <x:rFont val="맑은 고딕"/>
        <x:family val="3"/>
        <x:charset val="129"/>
      </x:rPr>
      <x:t>special_mission_title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</x:si>
  <x:si>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c2184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</x:si>
  <x:si>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s1_evt_002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</x:si>
  <x:si>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s1_relic_100</x:t>
    </x:r>
    <x:phoneticPr fontId="0" type="noConversion"/>
  </x:si>
  <x:si>
    <x:t>활성화 효과</x:t>
  </x:si>
  <x:si>
    <x:t>투자량</x:t>
  </x:si>
  <x:si>
    <x:r>
      <x:rPr>
        <x:vertAlign val="baseline"/>
        <x:sz val="11"/>
        <x:color theme="1"/>
        <x:rFont val="맑은 고딕"/>
        <x:family val="3"/>
        <x:charset val="129"/>
      </x:rPr>
      <x:t>투자 효과 텍스트</x:t>
    </x:r>
    <x:phoneticPr fontId="0" type="noConversion"/>
  </x:si>
  <x:si>
    <x:t>invest_cnt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</x:si>
  <x:si>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invest_text</x:t>
    </x:r>
    <x:phoneticPr fontId="0" type="noConversion"/>
  </x:si>
  <x:si>
    <x:t>s1_investment_1</x:t>
  </x:si>
  <x:si>
    <x:t>s1_investment_2</x:t>
  </x:si>
  <x:si>
    <x:t>s1_investment_3</x:t>
  </x:si>
  <x:si>
    <x:t>s1_investment_4</x:t>
  </x:si>
  <x:si>
    <x:t>s1_investment_5</x:t>
  </x:si>
  <x:si>
    <x:t>nexus_out_system — 시트 레퍼런스</x:t>
  </x:si>
  <x:si>
    <x:t>▸  nexus_theme_level</x:t>
  </x:si>
  <x:si>
    <x:t>테마 패스 레벨별 필요 EXP 및 보상. dic_collect_story로 도감 스토리 해금.</x:t>
  </x:si>
  <x:si>
    <x:t>필드명</x:t>
  </x:si>
  <x:si>
    <x:t>설명</x:t>
  </x:si>
  <x:si>
    <x:t>패스 레벨 고유 ID (예: s1_pass_1)</x:t>
  </x:si>
  <x:si>
    <x:t>-</x:t>
  </x:si>
  <x:si>
    <x:t>→ nexus_main.theme_id (FK)</x:t>
  </x:si>
  <x:si>
    <x:t>패스 레벨 (1~99)</x:t>
  </x:si>
  <x:si>
    <x:t>해당 레벨 도달에 필요한 EXP 수치</x:t>
  </x:si>
  <x:si>
    <x:t>보상 아이템 ID (예: to_gold)</x:t>
  </x:si>
  <x:si>
    <x:t>보상 수량</x:t>
  </x:si>
  <x:si>
    <x:t>해금될 도감 스토리 ID</x:t>
  </x:si>
  <x:si>
    <x:t>y 입력 시 메인 리워드로 표시</x:t>
  </x:si>
  <x:si>
    <x:t>장비 보상 등급 설정</x:t>
  </x:si>
  <x:si>
    <x:t>장비 세트 설정</x:t>
  </x:si>
  <x:si>
    <x:t>장비 강화 LV (현재 15만 사용 가능)</x:t>
  </x:si>
  <x:si>
    <x:t>▸  nexus_hall_level</x:t>
  </x:si>
  <x:si>
    <x:t>홀(함교) 레벨별 필요 재화 및 보상 정의. 최대 10레벨. reward_type: node/item/story 지원.</x:t>
  </x:si>
  <x:si>
    <x:t>reward_1_type_1</x:t>
  </x:si>
  <x:si>
    <x:t>reward_1_type_2</x:t>
  </x:si>
  <x:si>
    <x:t>reward_1_cnt</x:t>
  </x:si>
  <x:si>
    <x:t>레벨 고유 ID (예: s1_level_1)</x:t>
  </x:si>
  <x:si>
    <x:t>permission</x:t>
  </x:si>
  <x:si>
    <x:t>N</x:t>
  </x:si>
  <x:si>
    <x:t>item_id</x:t>
  </x:si>
  <x:si>
    <x:t>cnt</x:t>
  </x:si>
  <x:si>
    <x:t>story</x:t>
  </x:si>
  <x:si>
    <x:t>홀 레벨 (1~10)</x:t>
  </x:si>
  <x:si>
    <x:t>레벨 별 메인 배경</x:t>
  </x:si>
  <x:si>
    <x:t>해당 레벨의 홀 이미지 파일명</x:t>
  </x:si>
  <x:si>
    <x:t>레벨 업 필요 아이템 ID (예: to_gold)</x:t>
  </x:si>
  <x:si>
    <x:t>레벨 업 필요 아이템 수량</x:t>
  </x:si>
  <x:si>
    <x:t>보상 타입 1 (node / item / story)</x:t>
  </x:si>
  <x:si>
    <x:t>보상 ID 1 (예: permission, to_gold, story_id)</x:t>
  </x:si>
  <x:si>
    <x:t>보상 수량 1</x:t>
  </x:si>
  <x:si>
    <x:t>장비 강화 LV</x:t>
  </x:si>
  <x:si>
    <x:t>보상 타입 2</x:t>
  </x:si>
  <x:si>
    <x:t>보상 ID 2</x:t>
  </x:si>
  <x:si>
    <x:t>보상 수량 2</x:t>
  </x:si>
  <x:si>
    <x:t>▸  nexus_node</x:t>
  </x:si>
  <x:si>
    <x:t>연구 노드 트리 구조. column/row 좌표계로 위치 정의. active_item으로 활성화 비용 지정. condition_node로 선행 노드 최대 5개 지정. category는 nexus_node_category.category(FK).</x:t>
  </x:si>
  <x:si>
    <x:t>노드 고유 ID (예: s1_node_normal_1_3 = theme_카테고리_컬럼_행)</x:t>
  </x:si>
  <x:si>
    <x:t>→ nexus_node_category.category (FK, 예: s1_normal)</x:t>
  </x:si>
  <x:si>
    <x:t>카테고리 표시 이름 TID (nexus_node_category.node_name 참조용)</x:t>
  </x:si>
  <x:si>
    <x:t>node_permission</x:t>
  </x:si>
  <x:si>
    <x:t>해금에 필요한 홀 레벨 permission 등급</x:t>
  </x:si>
  <x:si>
    <x:t>노드 활성화에 필요한 아이템 ID (예: to_gold)</x:t>
  </x:si>
  <x:si>
    <x:t>노드 활성화에 필요한 아이템 수량</x:t>
  </x:si>
  <x:si>
    <x:t>노드 활성화 가능 횟수 (미입력 시 1회)</x:t>
  </x:si>
  <x:si>
    <x:t>노드 X 좌표 (트리 깊이)</x:t>
  </x:si>
  <x:si>
    <x:t>노드 Y 좌표 (같은 깊이 내 위치)</x:t>
  </x:si>
  <x:si>
    <x:t>condition_node_1</x:t>
  </x:si>
  <x:si>
    <x:t>condition_node_2</x:t>
  </x:si>
  <x:si>
    <x:t>condition_node_3</x:t>
  </x:si>
  <x:si>
    <x:t>nexus_effect 테이블의 효과 ID</x:t>
  </x:si>
  <x:si>
    <x:t>▸  nexus_node_category</x:t>
  </x:si>
  <x:si>
    <x:t>노드 카테고리 정의. category(PK)는 "{theme_id}_{category_type}" 형태의 복합키. nexus_node.category가 FK로 참조.</x:t>
  </x:si>
  <x:si>
    <x:t>노드 카테고리 고유 ID (예: s1_normal) — theme_id + 카테고리 타입 조합</x:t>
  </x:si>
  <x:si>
    <x:t>카테고리 표시 이름 TID</x:t>
  </x:si>
  <x:si>
    <x:t>▸  nexus_dic_story</x:t>
  </x:si>
  <x:si>
    <x:t>도감 — 스토리 수집 항목. 탐사 진행 중 서브스토리를 해금해 도감에 기록.</x:t>
  </x:si>
  <x:si>
    <x:t>항목 고유 ID (예: s1_dic_story_1)</x:t>
  </x:si>
  <x:si>
    <x:t>도감 내 표시 순서</x:t>
  </x:si>
  <x:si>
    <x:t>서브스토리 DB ID</x:t>
  </x:si>
  <x:si>
    <x:t>▸  nexus_dic_event</x:t>
  </x:si>
  <x:si>
    <x:t>도감 — 이벤트(사건) 수집 항목. event_1 / event_2 카테고리로 구분.</x:t>
  </x:si>
  <x:si>
    <x:t>항목 고유 ID (예: s1_dic_event_1_1)</x:t>
  </x:si>
  <x:si>
    <x:t>이벤트 분류 (event_1 / event_2)</x:t>
  </x:si>
  <x:si>
    <x:t>이벤트 제목 TID</x:t>
  </x:si>
  <x:si>
    <x:t>이벤트 설명 TID</x:t>
  </x:si>
  <x:si>
    <x:t>▸  nexus_dic_relic</x:t>
  </x:si>
  <x:si>
    <x:t>도감 — 유물(기물) 수집 항목. 탐사 중 획득한 유물을 기록.</x:t>
  </x:si>
  <x:si>
    <x:t>항목 고유 ID (예: s1_relic_1)</x:t>
  </x:si>
  <x:si>
    <x:t>유물 타입 (relic 등 추가 가능)</x:t>
  </x:si>
  <x:si>
    <x:t>아이콘 파일명</x:t>
  </x:si>
  <x:si>
    <x:t>▸  nexus_dic_monster</x:t>
  </x:si>
  <x:si>
    <x:t>도감 — 몬스터 수집 항목. normal / elite / boss 3종 카테고리.</x:t>
  </x:si>
  <x:si>
    <x:t>항목 고유 ID (예: s1_dic_monster_1)</x:t>
  </x:si>
  <x:si>
    <x:t>몬스터 등급 (normal / elite / boss)</x:t>
  </x:si>
  <x:si>
    <x:t>몬스터 DB ID</x:t>
  </x:si>
  <x:si>
    <x:t>몬스터 이름 TID — 미입력 시 해당 monster_id 정보 표시</x:t>
  </x:si>
  <x:si>
    <x:t>몬스터 설명 TID — 미입력 시 해당 monster_id 정보 표시</x:t>
  </x:si>
  <x:si>
    <x:t>▸  nexus_dic_reward</x:t>
  </x:si>
  <x:si>
    <x:t>도감 달성률 구간별 보상 정의. reward_rate로 달성률 임계값 지정(0.2~1.0). 보상 슬롯 2개 지원.</x:t>
  </x:si>
  <x:si>
    <x:t>보상 고유 ID (예: s1_reward_20 = 20% 달성 보상)</x:t>
  </x:si>
  <x:si>
    <x:t>달성률 임계값 (0.2 / 0.4 / 0.6 / 0.8 / 1.0)</x:t>
  </x:si>
  <x:si>
    <x:t>보상 타입 1</x:t>
  </x:si>
  <x:si>
    <x:t>보상 아이템 ID 1</x:t>
  </x:si>
  <x:si>
    <x:t>보상 아이템 ID 2</x:t>
  </x:si>
  <x:si>
    <x:r>
      <x:rPr>
        <x:b/>
        <x:vertAlign val="baseline"/>
        <x:sz val="11"/>
        <x:color theme="0"/>
        <x:rFont val="맑은 고딕"/>
        <x:family val="3"/>
        <x:charset val="129"/>
      </x:rPr>
      <x:t>value</x:t>
    </x:r>
    <x:phoneticPr fontId="0" type="noConversion"/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</x:si>
  <x:si>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normal_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</x:si>
  <x:si>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일반 미션 정의 - 개인화된 미션으로 랜덤으로 배정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</x:si>
  <x:si>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nexus_mission 컨디션 종류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</x:si>
  <x:si>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설명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</x:si>
  <x:si>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level;cnt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</x:si>
  <x:si>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text_id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</x:si>
  <x:si>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텍스트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</x:si>
  <x:si>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비고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</x:si>
  <x:si>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s1_mission_normal_1)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</x:si>
  <x:si>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hero_id;cnt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</x:si>
  <x:si>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level을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</x:si>
  <x:si>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난이도 #level#을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</x:si>
  <x:si>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영입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</x:si>
  <x:si>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같이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</x:si>
  <x:si>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#hero#를 영입하여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</x:si>
  <x:si>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event_id;cnt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</x:si>
  <x:si>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event_id를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</x:si>
  <x:si>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#event#를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</x:si>
  <x:si>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event의 이름 텍스트 가져옴</x:t>
    </x:r>
    <x:phoneticPr fontId="0" type="noConversion"/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</x:si>
  <x:si>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mission_title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</x:si>
  <x:si>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타이틀</x:t>
    </x:r>
    <x:phoneticPr fontId="0" type="noConversion"/>
  </x:si>
  <x:si>
    <x:t>#hero#를 #cnt#회 영입하기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</x:si>
  <x:si>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condition</x:t>
    </x:r>
    <x:phoneticPr fontId="0" type="noConversion"/>
  </x:si>
  <x:si>
    <x:t>달성 조건 타입</x:t>
  </x:si>
  <x:si>
    <x:r>
      <x:rPr>
        <x:vertAlign val="baseline"/>
        <x:sz val="11"/>
        <x:color theme="1"/>
        <x:rFont val="맑은 고딕"/>
        <x:family val="3"/>
        <x:charset val="129"/>
      </x:rPr>
      <x:t>relic_id;cnt</x:t>
    </x:r>
    <x:phoneticPr fontId="0" type="noConversion"/>
  </x:si>
  <x:si>
    <x:t>#relic#를 #cnt#회 획득하기</x:t>
  </x:si>
  <x:si>
    <x:r>
      <x:rPr>
        <x:vertAlign val="baseline"/>
        <x:sz val="11"/>
        <x:color theme="1"/>
        <x:rFont val="맑은 고딕"/>
        <x:family val="3"/>
        <x:charset val="129"/>
      </x:rPr>
      <x:t>relic_id를 cnt회 획득</x:t>
    </x:r>
    <x:phoneticPr fontId="0" type="noConversion"/>
  </x:si>
  <x:si>
    <x:t>달성 조건 값</x:t>
  </x:si>
  <x:si>
    <x:t>아이템 타입 1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</x:si>
  <x:si>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mission_text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</x:si>
  <x:si>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텍스트 tid</x:t>
    </x:r>
    <x:phoneticPr fontId="0" type="noConversion"/>
  </x:si>
  <x:si>
    <x:t>아이템 타입 2</x:t>
  </x:si>
  <x:si>
    <x:t>▸  nexus_config</x:t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</x:si>
  <x:si>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special_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</x:si>
  <x:si>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스케줄링 되는 미션으로 해당 미션 설정 시 norma_mission을 override 함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</x:si>
  <x:si>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s1_mission_season_1)</x:t>
    </x:r>
    <x:phoneticPr fontId="0" type="noConversion"/>
  </x:si>
  <x:si>
    <x:t>클라이언트/서버 공통 static 설정값. theme_id='common'은 전체 테마 공통 적용, 특정 테마값은 해당 테마에만 적용.</x:t>
  </x:si>
  <x:si>
    <x:t>설정 고유 번호 (PK)</x:t>
  </x:si>
  <x:si>
    <x:t>테마 ID (common=전체 테마 공통 / 특정 테마=해당 테마 전용)</x:t>
  </x:si>
  <x:si>
    <x:t>type</x:t>
  </x:si>
  <x:si>
    <x:t>설정 타입 (예: dic)</x:t>
  </x:si>
  <x:si>
    <x:t>key</x:t>
  </x:si>
  <x:si>
    <x:t>설정 키 코드</x:t>
  </x:si>
  <x:si>
    <x:t>client_value</x:t>
  </x:si>
  <x:si>
    <x:t>클라이언트 적용값</x:t>
  </x:si>
  <x:si>
    <x:t>*server_value</x:t>
  </x:si>
  <x:si>
    <x:t>서버 적용값</x:t>
  </x:si>
  <x:si>
    <x:t>▸  nexus_investment</x:t>
  </x:si>
  <x:si>
    <x:t>차원 탐사 미래 투자 관련 테이블.</x:t>
  </x:si>
  <x:si>
    <x:t>invest_text</x:t>
  </x:si>
  <x:si>
    <x:t>활성화 효과 ID</x:t>
  </x:si>
  <x:si>
    <x:r>
      <x:rPr>
        <x:vertAlign val="baseline"/>
        <x:sz val="10"/>
        <x:color rgb="FF444444"/>
        <x:rFont val="맑은 고딕"/>
        <x:family val="3"/>
        <x:charset val="129"/>
      </x:rPr>
      <x:t>투자 효과 텍스트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</x:si>
</x:sst>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4" x14ac:knownFonts="1">
    <x:font>
      <x:sz val="11"/>
      <x:color theme="1"/>
      <x:name val="맑은 고딕"/>
    </x:font>
    <x:font>
      <x:sz val="11"/>
      <x:color theme="1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1"/>
      <x:color theme="1"/>
      <x:name val="맑은 고딕"/>
      <x:family val="3"/>
      <x:charset val="129"/>
    </x:font>
    <x:font>
      <x:sz val="11"/>
      <x:color theme="1"/>
      <x:name val="Calibri"/>
      <x:family val="2"/>
    </x:font>
    <x:font>
      <x:sz val="11"/>
      <x:color theme="1"/>
      <x:name val="맑은 고딕"/>
      <x:family val="3"/>
      <x:charset val="129"/>
    </x:font>
    <x:font>
      <x:b/>
      <x:sz val="14"/>
      <x:color rgb="FF1A1A2E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b/>
      <x:sz val="10"/>
      <x:color rgb="FFFFFFFF"/>
      <x:name val="맑은 고딕"/>
      <x:family val="3"/>
      <x:charset val="129"/>
    </x:font>
    <x:font>
      <x:b/>
      <x:sz val="10"/>
      <x:color rgb="FF222222"/>
      <x:name val="맑은 고딕"/>
      <x:family val="3"/>
      <x:charset val="129"/>
    </x:font>
    <x:font>
      <x:sz val="10"/>
      <x:color rgb="FF444444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i/>
      <x:sz val="8"/>
      <x:color theme="1"/>
      <x:name val="맑은 고딕"/>
      <x:family val="3"/>
      <x:charset val="129"/>
    </x:font>
    <x:font>
      <x:b/>
      <x:sz val="11"/>
      <x:color theme="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12"/>
      <x:color rgb="FFFFFFFF"/>
      <x:name val="맑은 고딕"/>
      <x:family val="1"/>
      <x:charset val="129"/>
    </x:font>
    <x:font>
      <x:b/>
      <x:sz val="12"/>
      <x:color rgb="FFFFFFFF"/>
      <x:name val="Segoe UI Symbol"/>
      <x:family val="1"/>
    </x:font>
    <x:font>
      <x:b/>
      <x:sz val="12"/>
      <x:color rgb="FFFFFFFF"/>
      <x:name val="Calibri"/>
      <x:family val="3"/>
    </x:font>
    <x:font>
      <x:vertAlign val="baseline"/>
      <x:sz val="11"/>
      <x:color theme="0"/>
      <x:name val="맑은 고딕"/>
      <x:family val="3"/>
      <x:charset val="129"/>
    </x:font>
    <x:font>
      <x:vertAlign val="baseline"/>
      <x:sz val="12"/>
      <x:color rgb="FFFFFFFF"/>
      <x:name val="맑은 고딕"/>
      <x:family val="1"/>
      <x:charset val="129"/>
    </x:font>
    <x:font>
      <x:vertAlign val="baseline"/>
      <x:sz val="8"/>
      <x:color theme="1"/>
      <x:name val="맑은 고딕"/>
      <x:family val="3"/>
      <x:charset val="129"/>
    </x:font>
    <x:font>
      <x:vertAlign val="baseline"/>
      <x:sz val="10"/>
      <x:color rgb="FF222222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C3E6B"/>
      </x:patternFill>
    </x:fill>
    <x:fill>
      <x:patternFill patternType="solid">
        <x:fgColor rgb="FF4A5568"/>
      </x:patternFill>
    </x:fill>
    <x:fill>
      <x:patternFill patternType="solid">
        <x:fgColor theme="3"/>
      </x:patternFill>
    </x:fill>
    <x:fill>
      <x:patternFill patternType="solid">
        <x:fgColor rgb="FF002060"/>
        <x:bgColor indexed="64"/>
      </x:patternFill>
    </x:fill>
  </x:fills>
  <x:borders count="1">
    <x:border>
      <x:left/>
      <x:right/>
      <x:top/>
      <x:bottom/>
      <x:diagonal/>
    </x:border>
  </x:borders>
  <x:cellStyleXfs count="19">
    <x:xf numFmtId="0" fontId="0" fillId="0" borderId="0"/>
    <x:xf numFmtId="0" fontId="4" fillId="0" borderId="0"/>
    <x:xf numFmtId="9" fontId="5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9" fontId="2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5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4" fillId="6" borderId="0" applyNumberFormat="1" applyFill="0" applyBorder="0" applyAlignment="1" applyProtection="1">
      <x:protection locked="1" hidden="0"/>
    </x:xf>
  </x:cellStyleXfs>
  <x:cellXfs count="27">
    <x:xf numFmtId="0" fontId="0" fillId="0" borderId="0" xfId="0"/>
    <x:xf numFmtId="0" fontId="3" fillId="0" borderId="0" xfId="0" applyFont="1"/>
    <x:xf numFmtId="9" fontId="0" fillId="0" borderId="0" xfId="2" applyFont="1" applyAlignment="1"/>
    <x:xf numFmtId="0" fontId="7" fillId="0" borderId="0" xfId="0" applyFont="1"/>
    <x:xf numFmtId="0" fontId="9" fillId="4" borderId="0" xfId="0" applyFont="1" applyFill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0" fontId="11" fillId="0" borderId="0" xfId="0" applyFont="1" applyAlignment="1">
      <x:alignment vertical="center" wrapText="1"/>
    </x:xf>
    <x:xf numFmtId="0" fontId="8" fillId="3" borderId="0" xfId="0" applyFont="1" applyFill="1" applyAlignment="1">
      <x:alignment vertical="center"/>
    </x:xf>
    <x:xf numFmtId="0" fontId="9" fillId="4" borderId="0" xfId="0" applyFont="1" applyFill="1" applyAlignment="1">
      <x:alignment vertical="center"/>
    </x:xf>
    <x:xf numFmtId="0" fontId="1" fillId="0" borderId="0" xfId="4" applyFont="1">
      <x:alignment vertical="center"/>
    </x:xf>
    <x:xf numFmtId="0" fontId="6" fillId="2" borderId="0" xfId="4" applyFont="1" applyFill="1">
      <x:alignment vertical="center"/>
    </x:xf>
    <x:xf numFmtId="0" fontId="12" fillId="3" borderId="0" xfId="0" applyFont="1" applyFill="1" applyAlignment="1">
      <x:alignment vertical="center"/>
    </x:xf>
    <x:xf numFmtId="0" fontId="13" fillId="0" borderId="0" xfId="0" applyFont="1"/>
    <x:xf numFmtId="0" fontId="1" fillId="0" borderId="0" xfId="4" applyFont="1" applyAlignment="1"/>
    <x:xf numFmtId="0" fontId="14" fillId="5" borderId="0" xfId="4" applyFont="1" applyFill="1" applyAlignment="1"/>
    <x:xf numFmtId="0" fontId="5" fillId="0" borderId="0" xfId="0" applyFont="1"/>
    <x:xf numFmtId="14" fontId="0" fillId="0" borderId="0" xfId="0" applyNumberFormat="1"/>
    <x:xf numFmtId="0" fontId="1" fillId="0" borderId="0" xfId="0" applyFont="1"/>
    <x:xf numFmtId="0" fontId="16" fillId="3" borderId="0" xfId="0" applyFont="1" applyFill="1" applyAlignment="1">
      <x:alignment vertical="center"/>
    </x:xf>
    <x:xf numFmtId="0" fontId="14" fillId="6" borderId="0" xfId="0" applyFont="1" applyFill="1"/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백분율" xfId="2" xr:uid="{00000000-0005-0000-0000-000000000000}"/>
    <x:cellStyle name="백분율 2" xfId="5" xr:uid="{00000000-0005-0000-0000-000001000000}"/>
    <x:cellStyle name="표준" xfId="0" builtinId="0"/>
    <x:cellStyle name="표준 2" xfId="3" xr:uid="{00000000-0005-0000-0000-000003000000}"/>
    <x:cellStyle name="표준 3" xfId="4" xr:uid="{00000000-0005-0000-0000-000004000000}"/>
    <x:cellStyle name="표준 5" xfId="1" xr:uid="{00000000-0005-0000-0000-000005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B375B-4A21-4E65-AA0B-3394DB2FC31E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0d3b910-28d0-47e3-bf52-9aaa00692ae2&quot;"/>
  </we:properties>
  <we:bindings/>
  <we:snapshot xmlns:r="http://schemas.openxmlformats.org/officeDocument/2006/relationships"/>
</we:webextension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M103"/>
  <sheetViews>
    <sheetView workbookViewId="0">
      <selection activeCell="G21" sqref="G21"/>
    </sheetView>
  </sheetViews>
  <sheetFormatPr defaultRowHeight="17" x14ac:dyDescent="0.45"/>
  <cols>
    <col min="1" max="1" width="14.832031" style="0" customWidth="1"/>
    <col min="2" max="2" width="10.332031" style="0" customWidth="1"/>
    <col min="3" max="3" width="20.582031" style="0" customWidth="1"/>
    <col min="4" max="4" width="9.090625" style="0" customWidth="1"/>
    <col min="5" max="5" width="20.832031" style="0" customWidth="1"/>
    <col min="6" max="6" width="11.832031" style="0" customWidth="1"/>
    <col min="7" max="7" width="14.832031" style="0" customWidth="1"/>
    <col min="8" max="9" width="22.082031" style="0" customWidth="1"/>
    <col min="10" max="10" width="13.5" style="0" customWidth="1"/>
    <col min="11" max="11" width="11.582031" style="0" customWidth="1"/>
    <col min="12" max="12" width="13.75" style="0" customWidth="1"/>
    <col min="13" max="13" width="36" style="0" customWidth="1"/>
  </cols>
  <sheetData>
    <row r="1" spans="1:1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</row>
    <row r="2" spans="1:13" x14ac:dyDescent="0.45">
      <c r="A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 spans="1:1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x14ac:dyDescent="0.45">
      <c r="A4" s="0" t="str">
        <f t="shared" ref="A4:A35" si="0">C4&amp;"_pass_"&amp;D4</f>
        <v>s1_pass_1</v>
      </c>
      <c r="B4" s="0" t="s">
        <v>0</v>
      </c>
      <c r="C4" s="0" t="s">
        <v>26</v>
      </c>
      <c r="D4" s="0">
        <v>1</v>
      </c>
      <c r="E4" s="0">
        <v>50</v>
      </c>
      <c r="F4" s="0" t="s">
        <v>27</v>
      </c>
      <c r="G4" s="0">
        <v>50000</v>
      </c>
      <c r="H4" s="0" t="s">
        <v>28</v>
      </c>
    </row>
    <row r="5" spans="1:13" x14ac:dyDescent="0.45">
      <c r="A5" s="0" t="str">
        <f t="shared" si="0"/>
        <v>s1_pass_2</v>
      </c>
      <c r="B5" s="0" t="s">
        <v>0</v>
      </c>
      <c r="C5" s="0" t="s">
        <v>26</v>
      </c>
      <c r="D5" s="0">
        <v>2</v>
      </c>
      <c r="E5" s="0">
        <f t="shared" ref="E5:E36" si="1">E4+ROUNDUP($E$4*D4,-1)</f>
        <v>100</v>
      </c>
      <c r="F5" s="0" t="s">
        <v>29</v>
      </c>
      <c r="G5" s="0">
        <v>150</v>
      </c>
    </row>
    <row r="6" spans="1:13" x14ac:dyDescent="0.45">
      <c r="A6" s="0" t="str">
        <f t="shared" si="0"/>
        <v>s1_pass_3</v>
      </c>
      <c r="B6" s="0" t="s">
        <v>0</v>
      </c>
      <c r="C6" s="0" t="s">
        <v>26</v>
      </c>
      <c r="D6" s="0">
        <v>3</v>
      </c>
      <c r="E6" s="0">
        <f t="shared" si="1"/>
        <v>200</v>
      </c>
      <c r="F6" s="0" t="s">
        <v>30</v>
      </c>
      <c r="G6" s="0">
        <v>5</v>
      </c>
      <c r="H6" s="0" t="s">
        <v>31</v>
      </c>
    </row>
    <row r="7" spans="1:13" x14ac:dyDescent="0.45">
      <c r="A7" s="0" t="str">
        <f t="shared" si="0"/>
        <v>s1_pass_4</v>
      </c>
      <c r="B7" s="0" t="s">
        <v>0</v>
      </c>
      <c r="C7" s="0" t="s">
        <v>26</v>
      </c>
      <c r="D7" s="0">
        <v>4</v>
      </c>
      <c r="E7" s="0">
        <f t="shared" si="1"/>
        <v>350</v>
      </c>
      <c r="F7" s="0" t="s">
        <v>27</v>
      </c>
      <c r="G7" s="0">
        <v>75000</v>
      </c>
    </row>
    <row r="8" spans="1:13" x14ac:dyDescent="0.45">
      <c r="A8" s="0" t="str">
        <f t="shared" si="0"/>
        <v>s1_pass_5</v>
      </c>
      <c r="B8" s="0" t="s">
        <v>0</v>
      </c>
      <c r="C8" s="0" t="s">
        <v>26</v>
      </c>
      <c r="D8" s="0">
        <v>5</v>
      </c>
      <c r="E8" s="0">
        <f t="shared" si="1"/>
        <v>550</v>
      </c>
      <c r="F8" s="0" t="s">
        <v>32</v>
      </c>
      <c r="G8" s="0">
        <v>30</v>
      </c>
      <c r="H8" s="0" t="s">
        <v>33</v>
      </c>
    </row>
    <row r="9" spans="1:13" x14ac:dyDescent="0.45">
      <c r="A9" s="0" t="str">
        <f t="shared" si="0"/>
        <v>s1_pass_6</v>
      </c>
      <c r="B9" s="0" t="s">
        <v>0</v>
      </c>
      <c r="C9" s="0" t="s">
        <v>26</v>
      </c>
      <c r="D9" s="0">
        <v>6</v>
      </c>
      <c r="E9" s="0">
        <f t="shared" si="1"/>
        <v>800</v>
      </c>
      <c r="F9" s="0" t="s">
        <v>34</v>
      </c>
      <c r="G9" s="0">
        <v>15</v>
      </c>
    </row>
    <row r="10" spans="1:13" x14ac:dyDescent="0.45">
      <c r="A10" s="0" t="str">
        <f t="shared" si="0"/>
        <v>s1_pass_7</v>
      </c>
      <c r="B10" s="0" t="s">
        <v>0</v>
      </c>
      <c r="C10" s="0" t="s">
        <v>26</v>
      </c>
      <c r="D10" s="0">
        <v>7</v>
      </c>
      <c r="E10" s="0">
        <f t="shared" si="1"/>
        <v>1100</v>
      </c>
      <c r="F10" s="0" t="s">
        <v>35</v>
      </c>
      <c r="G10" s="0">
        <v>3</v>
      </c>
      <c r="H10" s="0" t="s">
        <v>36</v>
      </c>
    </row>
    <row r="11" spans="1:13" x14ac:dyDescent="0.45">
      <c r="A11" s="0" t="str">
        <f t="shared" si="0"/>
        <v>s1_pass_8</v>
      </c>
      <c r="B11" s="0" t="s">
        <v>0</v>
      </c>
      <c r="C11" s="0" t="s">
        <v>26</v>
      </c>
      <c r="D11" s="0">
        <v>8</v>
      </c>
      <c r="E11" s="0">
        <f t="shared" si="1"/>
        <v>1450</v>
      </c>
      <c r="F11" s="0" t="s">
        <v>27</v>
      </c>
      <c r="G11" s="0">
        <v>100000</v>
      </c>
    </row>
    <row r="12" spans="1:13" x14ac:dyDescent="0.45">
      <c r="A12" s="0" t="str">
        <f t="shared" si="0"/>
        <v>s1_pass_9</v>
      </c>
      <c r="B12" s="0" t="s">
        <v>0</v>
      </c>
      <c r="C12" s="0" t="s">
        <v>26</v>
      </c>
      <c r="D12" s="0">
        <v>9</v>
      </c>
      <c r="E12" s="0">
        <f t="shared" si="1"/>
        <v>1850</v>
      </c>
      <c r="F12" s="0" t="s">
        <v>29</v>
      </c>
      <c r="G12" s="0">
        <v>300</v>
      </c>
      <c r="H12" s="0" t="s">
        <v>37</v>
      </c>
    </row>
    <row r="13" spans="1:13" x14ac:dyDescent="0.45">
      <c r="A13" s="0" t="str">
        <f t="shared" si="0"/>
        <v>s1_pass_10</v>
      </c>
      <c r="B13" s="0" t="s">
        <v>0</v>
      </c>
      <c r="C13" s="0" t="s">
        <v>26</v>
      </c>
      <c r="D13" s="0">
        <v>10</v>
      </c>
      <c r="E13" s="0">
        <f t="shared" si="1"/>
        <v>2300</v>
      </c>
      <c r="F13" s="0" t="s">
        <v>32</v>
      </c>
      <c r="G13" s="0">
        <v>100</v>
      </c>
      <c r="I13" s="0" t="s">
        <v>38</v>
      </c>
    </row>
    <row r="14" spans="1:13" x14ac:dyDescent="0.45">
      <c r="A14" s="0" t="str">
        <f t="shared" si="0"/>
        <v>s1_pass_11</v>
      </c>
      <c r="B14" s="0" t="s">
        <v>0</v>
      </c>
      <c r="C14" s="0" t="s">
        <v>26</v>
      </c>
      <c r="D14" s="0">
        <v>11</v>
      </c>
      <c r="E14" s="0">
        <f t="shared" si="1"/>
        <v>2800</v>
      </c>
      <c r="F14" s="0" t="s">
        <v>27</v>
      </c>
      <c r="G14" s="0">
        <v>50000</v>
      </c>
      <c r="H14" s="0" t="s">
        <v>39</v>
      </c>
    </row>
    <row r="15" spans="1:13" x14ac:dyDescent="0.45">
      <c r="A15" s="0" t="str">
        <f t="shared" si="0"/>
        <v>s1_pass_12</v>
      </c>
      <c r="B15" s="0" t="s">
        <v>0</v>
      </c>
      <c r="C15" s="0" t="s">
        <v>26</v>
      </c>
      <c r="D15" s="0">
        <v>12</v>
      </c>
      <c r="E15" s="0">
        <f t="shared" si="1"/>
        <v>3350</v>
      </c>
      <c r="F15" s="0" t="s">
        <v>29</v>
      </c>
      <c r="G15" s="0">
        <v>150</v>
      </c>
    </row>
    <row r="16" spans="1:13" x14ac:dyDescent="0.45">
      <c r="A16" s="0" t="str">
        <f t="shared" si="0"/>
        <v>s1_pass_13</v>
      </c>
      <c r="B16" s="0" t="s">
        <v>0</v>
      </c>
      <c r="C16" s="0" t="s">
        <v>26</v>
      </c>
      <c r="D16" s="0">
        <v>13</v>
      </c>
      <c r="E16" s="0">
        <f t="shared" si="1"/>
        <v>3950</v>
      </c>
      <c r="F16" s="0" t="s">
        <v>30</v>
      </c>
      <c r="G16" s="0">
        <v>5</v>
      </c>
      <c r="H16" s="0" t="s">
        <v>40</v>
      </c>
    </row>
    <row r="17" spans="1:13" x14ac:dyDescent="0.45">
      <c r="A17" s="0" t="str">
        <f t="shared" si="0"/>
        <v>s1_pass_14</v>
      </c>
      <c r="B17" s="0" t="s">
        <v>0</v>
      </c>
      <c r="C17" s="0" t="s">
        <v>26</v>
      </c>
      <c r="D17" s="0">
        <v>14</v>
      </c>
      <c r="E17" s="0">
        <f t="shared" si="1"/>
        <v>4600</v>
      </c>
      <c r="F17" s="0" t="s">
        <v>27</v>
      </c>
      <c r="G17" s="0">
        <v>75000</v>
      </c>
    </row>
    <row r="18" spans="1:13" x14ac:dyDescent="0.45">
      <c r="A18" s="0" t="str">
        <f t="shared" si="0"/>
        <v>s1_pass_15</v>
      </c>
      <c r="B18" s="0" t="s">
        <v>0</v>
      </c>
      <c r="C18" s="0" t="s">
        <v>26</v>
      </c>
      <c r="D18" s="0">
        <v>15</v>
      </c>
      <c r="E18" s="0">
        <f t="shared" si="1"/>
        <v>5300</v>
      </c>
      <c r="F18" s="0" t="s">
        <v>32</v>
      </c>
      <c r="G18" s="0">
        <v>30</v>
      </c>
      <c r="H18" s="0" t="s">
        <v>41</v>
      </c>
    </row>
    <row r="19" spans="1:13" x14ac:dyDescent="0.45">
      <c r="A19" s="0" t="str">
        <f t="shared" si="0"/>
        <v>s1_pass_16</v>
      </c>
      <c r="B19" s="0" t="s">
        <v>0</v>
      </c>
      <c r="C19" s="0" t="s">
        <v>26</v>
      </c>
      <c r="D19" s="0">
        <v>16</v>
      </c>
      <c r="E19" s="0">
        <f t="shared" si="1"/>
        <v>6050</v>
      </c>
      <c r="F19" s="0" t="s">
        <v>34</v>
      </c>
      <c r="G19" s="0">
        <v>15</v>
      </c>
    </row>
    <row r="20" spans="1:13" x14ac:dyDescent="0.45">
      <c r="A20" s="0" t="str">
        <f t="shared" si="0"/>
        <v>s1_pass_17</v>
      </c>
      <c r="B20" s="0" t="s">
        <v>0</v>
      </c>
      <c r="C20" s="0" t="s">
        <v>26</v>
      </c>
      <c r="D20" s="0">
        <v>17</v>
      </c>
      <c r="E20" s="0">
        <f t="shared" si="1"/>
        <v>6850</v>
      </c>
      <c r="F20" s="0" t="s">
        <v>35</v>
      </c>
      <c r="G20" s="0">
        <v>3</v>
      </c>
      <c r="H20" s="0" t="s">
        <v>42</v>
      </c>
    </row>
    <row r="21" spans="1:13" x14ac:dyDescent="0.45">
      <c r="A21" s="0" t="str">
        <f t="shared" si="0"/>
        <v>s1_pass_18</v>
      </c>
      <c r="B21" s="0" t="s">
        <v>0</v>
      </c>
      <c r="C21" s="0" t="s">
        <v>26</v>
      </c>
      <c r="D21" s="0">
        <v>18</v>
      </c>
      <c r="E21" s="0">
        <f t="shared" si="1"/>
        <v>7700</v>
      </c>
      <c r="F21" s="0" t="s">
        <v>27</v>
      </c>
      <c r="G21" s="0">
        <v>100000</v>
      </c>
    </row>
    <row r="22" spans="1:13" x14ac:dyDescent="0.45">
      <c r="A22" s="0" t="str">
        <f t="shared" si="0"/>
        <v>s1_pass_19</v>
      </c>
      <c r="B22" s="0" t="s">
        <v>0</v>
      </c>
      <c r="C22" s="0" t="s">
        <v>26</v>
      </c>
      <c r="D22" s="0">
        <v>19</v>
      </c>
      <c r="E22" s="0">
        <f t="shared" si="1"/>
        <v>8600</v>
      </c>
      <c r="F22" s="0" t="s">
        <v>29</v>
      </c>
      <c r="G22" s="0">
        <v>300</v>
      </c>
      <c r="H22" s="0" t="s">
        <v>43</v>
      </c>
    </row>
    <row r="23" spans="1:13" x14ac:dyDescent="0.45">
      <c r="A23" s="0" t="str">
        <f t="shared" si="0"/>
        <v>s1_pass_20</v>
      </c>
      <c r="B23" s="0" t="s">
        <v>0</v>
      </c>
      <c r="C23" s="0" t="s">
        <v>26</v>
      </c>
      <c r="D23" s="0">
        <v>20</v>
      </c>
      <c r="E23" s="0">
        <f t="shared" si="1"/>
        <v>9550</v>
      </c>
      <c r="F23" s="0" t="s">
        <v>30</v>
      </c>
      <c r="G23" s="0">
        <v>20</v>
      </c>
      <c r="I23" s="0" t="s">
        <v>38</v>
      </c>
    </row>
    <row r="24" spans="1:13" x14ac:dyDescent="0.45">
      <c r="A24" s="0" t="str">
        <f t="shared" si="0"/>
        <v>s1_pass_21</v>
      </c>
      <c r="B24" s="0" t="s">
        <v>0</v>
      </c>
      <c r="C24" s="0" t="s">
        <v>26</v>
      </c>
      <c r="D24" s="0">
        <v>21</v>
      </c>
      <c r="E24" s="0">
        <f t="shared" si="1"/>
        <v>10550</v>
      </c>
      <c r="F24" s="0" t="s">
        <v>27</v>
      </c>
      <c r="G24" s="0">
        <v>50000</v>
      </c>
      <c r="H24" s="0" t="s">
        <v>44</v>
      </c>
    </row>
    <row r="25" spans="1:13" x14ac:dyDescent="0.45">
      <c r="A25" s="0" t="str">
        <f t="shared" si="0"/>
        <v>s1_pass_22</v>
      </c>
      <c r="B25" s="0" t="s">
        <v>0</v>
      </c>
      <c r="C25" s="0" t="s">
        <v>26</v>
      </c>
      <c r="D25" s="0">
        <v>22</v>
      </c>
      <c r="E25" s="0">
        <f t="shared" si="1"/>
        <v>11600</v>
      </c>
      <c r="F25" s="0" t="s">
        <v>29</v>
      </c>
      <c r="G25" s="0">
        <v>150</v>
      </c>
    </row>
    <row r="26" spans="1:13" x14ac:dyDescent="0.45">
      <c r="A26" s="0" t="str">
        <f t="shared" si="0"/>
        <v>s1_pass_23</v>
      </c>
      <c r="B26" s="0" t="s">
        <v>0</v>
      </c>
      <c r="C26" s="0" t="s">
        <v>26</v>
      </c>
      <c r="D26" s="0">
        <v>23</v>
      </c>
      <c r="E26" s="0">
        <f t="shared" si="1"/>
        <v>12700</v>
      </c>
      <c r="F26" s="0" t="s">
        <v>30</v>
      </c>
      <c r="G26" s="0">
        <v>5</v>
      </c>
      <c r="H26" s="0" t="s">
        <v>45</v>
      </c>
    </row>
    <row r="27" spans="1:13" x14ac:dyDescent="0.45">
      <c r="A27" s="0" t="str">
        <f t="shared" si="0"/>
        <v>s1_pass_24</v>
      </c>
      <c r="B27" s="0" t="s">
        <v>0</v>
      </c>
      <c r="C27" s="0" t="s">
        <v>26</v>
      </c>
      <c r="D27" s="0">
        <v>24</v>
      </c>
      <c r="E27" s="0">
        <f t="shared" si="1"/>
        <v>13850</v>
      </c>
      <c r="F27" s="0" t="s">
        <v>27</v>
      </c>
      <c r="G27" s="0">
        <v>75000</v>
      </c>
    </row>
    <row r="28" spans="1:13" x14ac:dyDescent="0.45">
      <c r="A28" s="0" t="str">
        <f t="shared" si="0"/>
        <v>s1_pass_25</v>
      </c>
      <c r="B28" s="0" t="s">
        <v>0</v>
      </c>
      <c r="C28" s="0" t="s">
        <v>26</v>
      </c>
      <c r="D28" s="0">
        <v>25</v>
      </c>
      <c r="E28" s="0">
        <f t="shared" si="1"/>
        <v>15050</v>
      </c>
      <c r="F28" s="0" t="s">
        <v>32</v>
      </c>
      <c r="G28" s="0">
        <v>30</v>
      </c>
      <c r="H28" s="0" t="s">
        <v>46</v>
      </c>
    </row>
    <row r="29" spans="1:13" x14ac:dyDescent="0.45">
      <c r="A29" s="0" t="str">
        <f t="shared" si="0"/>
        <v>s1_pass_26</v>
      </c>
      <c r="B29" s="0" t="s">
        <v>0</v>
      </c>
      <c r="C29" s="0" t="s">
        <v>26</v>
      </c>
      <c r="D29" s="0">
        <v>26</v>
      </c>
      <c r="E29" s="0">
        <f t="shared" si="1"/>
        <v>16300</v>
      </c>
      <c r="F29" s="0" t="s">
        <v>34</v>
      </c>
      <c r="G29" s="0">
        <v>15</v>
      </c>
    </row>
    <row r="30" spans="1:13" x14ac:dyDescent="0.45">
      <c r="A30" s="0" t="str">
        <f t="shared" si="0"/>
        <v>s1_pass_27</v>
      </c>
      <c r="B30" s="0" t="s">
        <v>0</v>
      </c>
      <c r="C30" s="0" t="s">
        <v>26</v>
      </c>
      <c r="D30" s="0">
        <v>27</v>
      </c>
      <c r="E30" s="0">
        <f t="shared" si="1"/>
        <v>17600</v>
      </c>
      <c r="F30" s="0" t="s">
        <v>35</v>
      </c>
      <c r="G30" s="0">
        <v>3</v>
      </c>
      <c r="H30" s="0" t="s">
        <v>47</v>
      </c>
    </row>
    <row r="31" spans="1:13" x14ac:dyDescent="0.45">
      <c r="A31" s="0" t="str">
        <f t="shared" si="0"/>
        <v>s1_pass_28</v>
      </c>
      <c r="B31" s="0" t="s">
        <v>0</v>
      </c>
      <c r="C31" s="0" t="s">
        <v>26</v>
      </c>
      <c r="D31" s="0">
        <v>28</v>
      </c>
      <c r="E31" s="0">
        <f t="shared" si="1"/>
        <v>18950</v>
      </c>
      <c r="F31" s="0" t="s">
        <v>27</v>
      </c>
      <c r="G31" s="0">
        <v>100000</v>
      </c>
    </row>
    <row r="32" spans="1:13" x14ac:dyDescent="0.45">
      <c r="A32" s="0" t="str">
        <f t="shared" si="0"/>
        <v>s1_pass_29</v>
      </c>
      <c r="B32" s="0" t="s">
        <v>0</v>
      </c>
      <c r="C32" s="0" t="s">
        <v>26</v>
      </c>
      <c r="D32" s="0">
        <v>29</v>
      </c>
      <c r="E32" s="0">
        <f t="shared" si="1"/>
        <v>20350</v>
      </c>
      <c r="F32" s="0" t="s">
        <v>29</v>
      </c>
      <c r="G32" s="0">
        <v>300</v>
      </c>
      <c r="H32" s="0" t="s">
        <v>48</v>
      </c>
    </row>
    <row r="33" spans="1:13" x14ac:dyDescent="0.45">
      <c r="A33" s="0" t="str">
        <f t="shared" si="0"/>
        <v>s1_pass_30</v>
      </c>
      <c r="B33" s="0" t="s">
        <v>0</v>
      </c>
      <c r="C33" s="0" t="s">
        <v>26</v>
      </c>
      <c r="D33" s="0">
        <v>30</v>
      </c>
      <c r="E33" s="0">
        <f t="shared" si="1"/>
        <v>21800</v>
      </c>
      <c r="F33" s="0" t="s">
        <v>34</v>
      </c>
      <c r="G33" s="0">
        <v>60</v>
      </c>
      <c r="I33" s="0" t="s">
        <v>38</v>
      </c>
    </row>
    <row r="34" spans="1:13" x14ac:dyDescent="0.45">
      <c r="A34" s="0" t="str">
        <f t="shared" si="0"/>
        <v>s1_pass_31</v>
      </c>
      <c r="B34" s="0" t="s">
        <v>0</v>
      </c>
      <c r="C34" s="0" t="s">
        <v>26</v>
      </c>
      <c r="D34" s="0">
        <v>31</v>
      </c>
      <c r="E34" s="0">
        <f t="shared" si="1"/>
        <v>23300</v>
      </c>
      <c r="F34" s="0" t="s">
        <v>27</v>
      </c>
      <c r="G34" s="0">
        <v>50000</v>
      </c>
    </row>
    <row r="35" spans="1:13" x14ac:dyDescent="0.45">
      <c r="A35" s="0" t="str">
        <f t="shared" si="0"/>
        <v>s1_pass_32</v>
      </c>
      <c r="B35" s="0" t="s">
        <v>0</v>
      </c>
      <c r="C35" s="0" t="s">
        <v>26</v>
      </c>
      <c r="D35" s="0">
        <v>32</v>
      </c>
      <c r="E35" s="0">
        <f t="shared" si="1"/>
        <v>24850</v>
      </c>
      <c r="F35" s="0" t="s">
        <v>29</v>
      </c>
      <c r="G35" s="0">
        <v>150</v>
      </c>
    </row>
    <row r="36" spans="1:13" x14ac:dyDescent="0.45">
      <c r="A36" s="0" t="str">
        <f t="shared" ref="A36:A67" si="2">C36&amp;"_pass_"&amp;D36</f>
        <v>s1_pass_33</v>
      </c>
      <c r="B36" s="0" t="s">
        <v>0</v>
      </c>
      <c r="C36" s="0" t="s">
        <v>26</v>
      </c>
      <c r="D36" s="0">
        <v>33</v>
      </c>
      <c r="E36" s="0">
        <f t="shared" si="1"/>
        <v>26450</v>
      </c>
      <c r="F36" s="0" t="s">
        <v>30</v>
      </c>
      <c r="G36" s="0">
        <v>5</v>
      </c>
    </row>
    <row r="37" spans="1:13" x14ac:dyDescent="0.45">
      <c r="A37" s="0" t="str">
        <f t="shared" si="2"/>
        <v>s1_pass_34</v>
      </c>
      <c r="B37" s="0" t="s">
        <v>0</v>
      </c>
      <c r="C37" s="0" t="s">
        <v>26</v>
      </c>
      <c r="D37" s="0">
        <v>34</v>
      </c>
      <c r="E37" s="0">
        <f t="shared" ref="E37:E68" si="3">E36+ROUNDUP($E$4*D36,-1)</f>
        <v>28100</v>
      </c>
      <c r="F37" s="0" t="s">
        <v>27</v>
      </c>
      <c r="G37" s="0">
        <v>75000</v>
      </c>
    </row>
    <row r="38" spans="1:13" x14ac:dyDescent="0.45">
      <c r="A38" s="0" t="str">
        <f t="shared" si="2"/>
        <v>s1_pass_35</v>
      </c>
      <c r="B38" s="0" t="s">
        <v>0</v>
      </c>
      <c r="C38" s="0" t="s">
        <v>26</v>
      </c>
      <c r="D38" s="0">
        <v>35</v>
      </c>
      <c r="E38" s="0">
        <f t="shared" si="3"/>
        <v>29800</v>
      </c>
      <c r="F38" s="0" t="s">
        <v>32</v>
      </c>
      <c r="G38" s="0">
        <v>30</v>
      </c>
    </row>
    <row r="39" spans="1:13" x14ac:dyDescent="0.45">
      <c r="A39" s="0" t="str">
        <f t="shared" si="2"/>
        <v>s1_pass_36</v>
      </c>
      <c r="B39" s="0" t="s">
        <v>0</v>
      </c>
      <c r="C39" s="0" t="s">
        <v>26</v>
      </c>
      <c r="D39" s="0">
        <v>36</v>
      </c>
      <c r="E39" s="0">
        <f t="shared" si="3"/>
        <v>31550</v>
      </c>
      <c r="F39" s="0" t="s">
        <v>34</v>
      </c>
      <c r="G39" s="0">
        <v>15</v>
      </c>
    </row>
    <row r="40" spans="1:13" x14ac:dyDescent="0.45">
      <c r="A40" s="0" t="str">
        <f t="shared" si="2"/>
        <v>s1_pass_37</v>
      </c>
      <c r="B40" s="0" t="s">
        <v>0</v>
      </c>
      <c r="C40" s="0" t="s">
        <v>26</v>
      </c>
      <c r="D40" s="0">
        <v>37</v>
      </c>
      <c r="E40" s="0">
        <f t="shared" si="3"/>
        <v>33350</v>
      </c>
      <c r="F40" s="0" t="s">
        <v>35</v>
      </c>
      <c r="G40" s="0">
        <v>3</v>
      </c>
    </row>
    <row r="41" spans="1:13" x14ac:dyDescent="0.45">
      <c r="A41" s="0" t="str">
        <f t="shared" si="2"/>
        <v>s1_pass_38</v>
      </c>
      <c r="B41" s="0" t="s">
        <v>0</v>
      </c>
      <c r="C41" s="0" t="s">
        <v>26</v>
      </c>
      <c r="D41" s="0">
        <v>38</v>
      </c>
      <c r="E41" s="0">
        <f t="shared" si="3"/>
        <v>35200</v>
      </c>
      <c r="F41" s="0" t="s">
        <v>27</v>
      </c>
      <c r="G41" s="0">
        <v>100000</v>
      </c>
    </row>
    <row r="42" spans="1:13" x14ac:dyDescent="0.45">
      <c r="A42" s="0" t="str">
        <f t="shared" si="2"/>
        <v>s1_pass_39</v>
      </c>
      <c r="B42" s="0" t="s">
        <v>0</v>
      </c>
      <c r="C42" s="0" t="s">
        <v>26</v>
      </c>
      <c r="D42" s="0">
        <v>39</v>
      </c>
      <c r="E42" s="0">
        <f t="shared" si="3"/>
        <v>37100</v>
      </c>
      <c r="F42" s="0" t="s">
        <v>29</v>
      </c>
      <c r="G42" s="0">
        <v>300</v>
      </c>
    </row>
    <row r="43" spans="1:13" x14ac:dyDescent="0.45">
      <c r="A43" s="0" t="str">
        <f t="shared" si="2"/>
        <v>s1_pass_40</v>
      </c>
      <c r="B43" s="0" t="s">
        <v>0</v>
      </c>
      <c r="C43" s="0" t="s">
        <v>26</v>
      </c>
      <c r="D43" s="0">
        <v>40</v>
      </c>
      <c r="E43" s="0">
        <f t="shared" si="3"/>
        <v>39050</v>
      </c>
      <c r="F43" s="0" t="s">
        <v>35</v>
      </c>
      <c r="G43" s="0">
        <v>10</v>
      </c>
      <c r="I43" s="0" t="s">
        <v>38</v>
      </c>
    </row>
    <row r="44" spans="1:13" x14ac:dyDescent="0.45">
      <c r="A44" s="0" t="str">
        <f t="shared" si="2"/>
        <v>s1_pass_41</v>
      </c>
      <c r="B44" s="0" t="s">
        <v>0</v>
      </c>
      <c r="C44" s="0" t="s">
        <v>26</v>
      </c>
      <c r="D44" s="0">
        <v>41</v>
      </c>
      <c r="E44" s="0">
        <f t="shared" si="3"/>
        <v>41050</v>
      </c>
      <c r="F44" s="0" t="s">
        <v>27</v>
      </c>
      <c r="G44" s="0">
        <v>50000</v>
      </c>
    </row>
    <row r="45" spans="1:13" x14ac:dyDescent="0.45">
      <c r="A45" s="0" t="str">
        <f t="shared" si="2"/>
        <v>s1_pass_42</v>
      </c>
      <c r="B45" s="0" t="s">
        <v>0</v>
      </c>
      <c r="C45" s="0" t="s">
        <v>26</v>
      </c>
      <c r="D45" s="0">
        <v>42</v>
      </c>
      <c r="E45" s="0">
        <f t="shared" si="3"/>
        <v>43100</v>
      </c>
      <c r="F45" s="0" t="s">
        <v>29</v>
      </c>
      <c r="G45" s="0">
        <v>150</v>
      </c>
    </row>
    <row r="46" spans="1:13" x14ac:dyDescent="0.45">
      <c r="A46" s="0" t="str">
        <f t="shared" si="2"/>
        <v>s1_pass_43</v>
      </c>
      <c r="B46" s="0" t="s">
        <v>0</v>
      </c>
      <c r="C46" s="0" t="s">
        <v>26</v>
      </c>
      <c r="D46" s="0">
        <v>43</v>
      </c>
      <c r="E46" s="0">
        <f t="shared" si="3"/>
        <v>45200</v>
      </c>
      <c r="F46" s="0" t="s">
        <v>30</v>
      </c>
      <c r="G46" s="0">
        <v>5</v>
      </c>
    </row>
    <row r="47" spans="1:13" x14ac:dyDescent="0.45">
      <c r="A47" s="0" t="str">
        <f t="shared" si="2"/>
        <v>s1_pass_44</v>
      </c>
      <c r="B47" s="0" t="s">
        <v>0</v>
      </c>
      <c r="C47" s="0" t="s">
        <v>26</v>
      </c>
      <c r="D47" s="0">
        <v>44</v>
      </c>
      <c r="E47" s="0">
        <f t="shared" si="3"/>
        <v>47350</v>
      </c>
      <c r="F47" s="0" t="s">
        <v>27</v>
      </c>
      <c r="G47" s="0">
        <v>75000</v>
      </c>
    </row>
    <row r="48" spans="1:13" x14ac:dyDescent="0.45">
      <c r="A48" s="0" t="str">
        <f t="shared" si="2"/>
        <v>s1_pass_45</v>
      </c>
      <c r="B48" s="0" t="s">
        <v>0</v>
      </c>
      <c r="C48" s="0" t="s">
        <v>26</v>
      </c>
      <c r="D48" s="0">
        <v>45</v>
      </c>
      <c r="E48" s="0">
        <f t="shared" si="3"/>
        <v>49550</v>
      </c>
      <c r="F48" s="0" t="s">
        <v>32</v>
      </c>
      <c r="G48" s="0">
        <v>30</v>
      </c>
    </row>
    <row r="49" spans="1:13" x14ac:dyDescent="0.45">
      <c r="A49" s="0" t="str">
        <f t="shared" si="2"/>
        <v>s1_pass_46</v>
      </c>
      <c r="B49" s="0" t="s">
        <v>0</v>
      </c>
      <c r="C49" s="0" t="s">
        <v>26</v>
      </c>
      <c r="D49" s="0">
        <v>46</v>
      </c>
      <c r="E49" s="0">
        <f t="shared" si="3"/>
        <v>51800</v>
      </c>
      <c r="F49" s="0" t="s">
        <v>34</v>
      </c>
      <c r="G49" s="0">
        <v>15</v>
      </c>
    </row>
    <row r="50" spans="1:13" x14ac:dyDescent="0.45">
      <c r="A50" s="0" t="str">
        <f t="shared" si="2"/>
        <v>s1_pass_47</v>
      </c>
      <c r="B50" s="0" t="s">
        <v>0</v>
      </c>
      <c r="C50" s="0" t="s">
        <v>26</v>
      </c>
      <c r="D50" s="0">
        <v>47</v>
      </c>
      <c r="E50" s="0">
        <f t="shared" si="3"/>
        <v>54100</v>
      </c>
      <c r="F50" s="0" t="s">
        <v>35</v>
      </c>
      <c r="G50" s="0">
        <v>3</v>
      </c>
    </row>
    <row r="51" spans="1:13" x14ac:dyDescent="0.45">
      <c r="A51" s="0" t="str">
        <f t="shared" si="2"/>
        <v>s1_pass_48</v>
      </c>
      <c r="B51" s="0" t="s">
        <v>0</v>
      </c>
      <c r="C51" s="0" t="s">
        <v>26</v>
      </c>
      <c r="D51" s="0">
        <v>48</v>
      </c>
      <c r="E51" s="0">
        <f t="shared" si="3"/>
        <v>56450</v>
      </c>
      <c r="F51" s="0" t="s">
        <v>27</v>
      </c>
      <c r="G51" s="0">
        <v>100000</v>
      </c>
    </row>
    <row r="52" spans="1:13" x14ac:dyDescent="0.45">
      <c r="A52" s="0" t="str">
        <f t="shared" si="2"/>
        <v>s1_pass_49</v>
      </c>
      <c r="B52" s="0" t="s">
        <v>0</v>
      </c>
      <c r="C52" s="0" t="s">
        <v>26</v>
      </c>
      <c r="D52" s="0">
        <v>49</v>
      </c>
      <c r="E52" s="0">
        <f t="shared" si="3"/>
        <v>58850</v>
      </c>
      <c r="F52" s="0" t="s">
        <v>29</v>
      </c>
      <c r="G52" s="0">
        <v>300</v>
      </c>
    </row>
    <row r="53" spans="1:13" x14ac:dyDescent="0.45">
      <c r="A53" s="0" t="str">
        <f t="shared" si="2"/>
        <v>s1_pass_50</v>
      </c>
      <c r="B53" s="0" t="s">
        <v>0</v>
      </c>
      <c r="C53" s="0" t="s">
        <v>26</v>
      </c>
      <c r="D53" s="0">
        <v>50</v>
      </c>
      <c r="E53" s="0">
        <f t="shared" si="3"/>
        <v>61300</v>
      </c>
      <c r="F53" s="0" t="s">
        <v>49</v>
      </c>
      <c r="G53" s="0">
        <v>2</v>
      </c>
      <c r="I53" s="0" t="s">
        <v>38</v>
      </c>
    </row>
    <row r="54" spans="1:13" x14ac:dyDescent="0.45">
      <c r="A54" s="0" t="str">
        <f t="shared" si="2"/>
        <v>s1_pass_51</v>
      </c>
      <c r="B54" s="0" t="s">
        <v>0</v>
      </c>
      <c r="C54" s="0" t="s">
        <v>26</v>
      </c>
      <c r="D54" s="0">
        <v>51</v>
      </c>
      <c r="E54" s="0">
        <f t="shared" si="3"/>
        <v>63800</v>
      </c>
      <c r="F54" s="0" t="s">
        <v>27</v>
      </c>
      <c r="G54" s="0">
        <v>50000</v>
      </c>
    </row>
    <row r="55" spans="1:13" x14ac:dyDescent="0.45">
      <c r="A55" s="0" t="str">
        <f t="shared" si="2"/>
        <v>s1_pass_52</v>
      </c>
      <c r="B55" s="0" t="s">
        <v>0</v>
      </c>
      <c r="C55" s="0" t="s">
        <v>26</v>
      </c>
      <c r="D55" s="0">
        <v>52</v>
      </c>
      <c r="E55" s="0">
        <f t="shared" si="3"/>
        <v>66350</v>
      </c>
      <c r="F55" s="0" t="s">
        <v>29</v>
      </c>
      <c r="G55" s="0">
        <v>150</v>
      </c>
    </row>
    <row r="56" spans="1:13" x14ac:dyDescent="0.45">
      <c r="A56" s="0" t="str">
        <f t="shared" si="2"/>
        <v>s1_pass_53</v>
      </c>
      <c r="B56" s="0" t="s">
        <v>0</v>
      </c>
      <c r="C56" s="0" t="s">
        <v>26</v>
      </c>
      <c r="D56" s="0">
        <v>53</v>
      </c>
      <c r="E56" s="0">
        <f t="shared" si="3"/>
        <v>68950</v>
      </c>
      <c r="F56" s="0" t="s">
        <v>30</v>
      </c>
      <c r="G56" s="0">
        <v>5</v>
      </c>
    </row>
    <row r="57" spans="1:13" x14ac:dyDescent="0.45">
      <c r="A57" s="0" t="str">
        <f t="shared" si="2"/>
        <v>s1_pass_54</v>
      </c>
      <c r="B57" s="0" t="s">
        <v>0</v>
      </c>
      <c r="C57" s="0" t="s">
        <v>26</v>
      </c>
      <c r="D57" s="0">
        <v>54</v>
      </c>
      <c r="E57" s="0">
        <f t="shared" si="3"/>
        <v>71600</v>
      </c>
      <c r="F57" s="0" t="s">
        <v>27</v>
      </c>
      <c r="G57" s="0">
        <v>75000</v>
      </c>
    </row>
    <row r="58" spans="1:13" x14ac:dyDescent="0.45">
      <c r="A58" s="0" t="str">
        <f t="shared" si="2"/>
        <v>s1_pass_55</v>
      </c>
      <c r="B58" s="0" t="s">
        <v>0</v>
      </c>
      <c r="C58" s="0" t="s">
        <v>26</v>
      </c>
      <c r="D58" s="0">
        <v>55</v>
      </c>
      <c r="E58" s="0">
        <f t="shared" si="3"/>
        <v>74300</v>
      </c>
      <c r="F58" s="0" t="s">
        <v>32</v>
      </c>
      <c r="G58" s="0">
        <v>30</v>
      </c>
    </row>
    <row r="59" spans="1:13" x14ac:dyDescent="0.45">
      <c r="A59" s="0" t="str">
        <f t="shared" si="2"/>
        <v>s1_pass_56</v>
      </c>
      <c r="B59" s="0" t="s">
        <v>0</v>
      </c>
      <c r="C59" s="0" t="s">
        <v>26</v>
      </c>
      <c r="D59" s="0">
        <v>56</v>
      </c>
      <c r="E59" s="0">
        <f t="shared" si="3"/>
        <v>77050</v>
      </c>
      <c r="F59" s="0" t="s">
        <v>34</v>
      </c>
      <c r="G59" s="0">
        <v>15</v>
      </c>
    </row>
    <row r="60" spans="1:13" x14ac:dyDescent="0.45">
      <c r="A60" s="0" t="str">
        <f t="shared" si="2"/>
        <v>s1_pass_57</v>
      </c>
      <c r="B60" s="0" t="s">
        <v>0</v>
      </c>
      <c r="C60" s="0" t="s">
        <v>26</v>
      </c>
      <c r="D60" s="0">
        <v>57</v>
      </c>
      <c r="E60" s="0">
        <f t="shared" si="3"/>
        <v>79850</v>
      </c>
      <c r="F60" s="0" t="s">
        <v>35</v>
      </c>
      <c r="G60" s="0">
        <v>3</v>
      </c>
    </row>
    <row r="61" spans="1:13" x14ac:dyDescent="0.45">
      <c r="A61" s="0" t="str">
        <f t="shared" si="2"/>
        <v>s1_pass_58</v>
      </c>
      <c r="B61" s="0" t="s">
        <v>0</v>
      </c>
      <c r="C61" s="0" t="s">
        <v>26</v>
      </c>
      <c r="D61" s="0">
        <v>58</v>
      </c>
      <c r="E61" s="0">
        <f t="shared" si="3"/>
        <v>82700</v>
      </c>
      <c r="F61" s="0" t="s">
        <v>27</v>
      </c>
      <c r="G61" s="0">
        <v>100000</v>
      </c>
    </row>
    <row r="62" spans="1:13" x14ac:dyDescent="0.45">
      <c r="A62" s="0" t="str">
        <f t="shared" si="2"/>
        <v>s1_pass_59</v>
      </c>
      <c r="B62" s="0" t="s">
        <v>0</v>
      </c>
      <c r="C62" s="0" t="s">
        <v>26</v>
      </c>
      <c r="D62" s="0">
        <v>59</v>
      </c>
      <c r="E62" s="0">
        <f t="shared" si="3"/>
        <v>85600</v>
      </c>
      <c r="F62" s="0" t="s">
        <v>29</v>
      </c>
      <c r="G62" s="0">
        <v>300</v>
      </c>
    </row>
    <row r="63" spans="1:13" x14ac:dyDescent="0.45">
      <c r="A63" s="0" t="str">
        <f t="shared" si="2"/>
        <v>s1_pass_60</v>
      </c>
      <c r="B63" s="0" t="s">
        <v>0</v>
      </c>
      <c r="C63" s="0" t="s">
        <v>26</v>
      </c>
      <c r="D63" s="0">
        <v>60</v>
      </c>
      <c r="E63" s="0">
        <f t="shared" si="3"/>
        <v>88550</v>
      </c>
      <c r="F63" s="0" t="s">
        <v>50</v>
      </c>
      <c r="G63" s="0">
        <v>50</v>
      </c>
      <c r="I63" s="0" t="s">
        <v>38</v>
      </c>
    </row>
    <row r="64" spans="1:13" x14ac:dyDescent="0.45">
      <c r="A64" s="0" t="str">
        <f t="shared" si="2"/>
        <v>s1_pass_61</v>
      </c>
      <c r="B64" s="0" t="s">
        <v>0</v>
      </c>
      <c r="C64" s="0" t="s">
        <v>26</v>
      </c>
      <c r="D64" s="0">
        <v>61</v>
      </c>
      <c r="E64" s="0">
        <f t="shared" si="3"/>
        <v>91550</v>
      </c>
      <c r="F64" s="0" t="s">
        <v>27</v>
      </c>
      <c r="G64" s="0">
        <v>50000</v>
      </c>
    </row>
    <row r="65" spans="1:13" x14ac:dyDescent="0.45">
      <c r="A65" s="0" t="str">
        <f t="shared" si="2"/>
        <v>s1_pass_62</v>
      </c>
      <c r="B65" s="0" t="s">
        <v>0</v>
      </c>
      <c r="C65" s="0" t="s">
        <v>26</v>
      </c>
      <c r="D65" s="0">
        <v>62</v>
      </c>
      <c r="E65" s="0">
        <f t="shared" si="3"/>
        <v>94600</v>
      </c>
      <c r="F65" s="0" t="s">
        <v>29</v>
      </c>
      <c r="G65" s="0">
        <v>150</v>
      </c>
    </row>
    <row r="66" spans="1:13" x14ac:dyDescent="0.45">
      <c r="A66" s="0" t="str">
        <f t="shared" si="2"/>
        <v>s1_pass_63</v>
      </c>
      <c r="B66" s="0" t="s">
        <v>0</v>
      </c>
      <c r="C66" s="0" t="s">
        <v>26</v>
      </c>
      <c r="D66" s="0">
        <v>63</v>
      </c>
      <c r="E66" s="0">
        <f t="shared" si="3"/>
        <v>97700</v>
      </c>
      <c r="F66" s="0" t="s">
        <v>30</v>
      </c>
      <c r="G66" s="0">
        <v>5</v>
      </c>
    </row>
    <row r="67" spans="1:13" x14ac:dyDescent="0.45">
      <c r="A67" s="0" t="str">
        <f t="shared" si="2"/>
        <v>s1_pass_64</v>
      </c>
      <c r="B67" s="0" t="s">
        <v>0</v>
      </c>
      <c r="C67" s="0" t="s">
        <v>26</v>
      </c>
      <c r="D67" s="0">
        <v>64</v>
      </c>
      <c r="E67" s="0">
        <f t="shared" si="3"/>
        <v>100850</v>
      </c>
      <c r="F67" s="0" t="s">
        <v>27</v>
      </c>
      <c r="G67" s="0">
        <v>75000</v>
      </c>
    </row>
    <row r="68" spans="1:13" x14ac:dyDescent="0.45">
      <c r="A68" s="0" t="str">
        <f t="shared" ref="A68:A103" si="4">C68&amp;"_pass_"&amp;D68</f>
        <v>s1_pass_65</v>
      </c>
      <c r="B68" s="0" t="s">
        <v>0</v>
      </c>
      <c r="C68" s="0" t="s">
        <v>26</v>
      </c>
      <c r="D68" s="0">
        <v>65</v>
      </c>
      <c r="E68" s="0">
        <f t="shared" si="3"/>
        <v>104050</v>
      </c>
      <c r="F68" s="0" t="s">
        <v>32</v>
      </c>
      <c r="G68" s="0">
        <v>30</v>
      </c>
    </row>
    <row r="69" spans="1:13" x14ac:dyDescent="0.45">
      <c r="A69" s="0" t="str">
        <f t="shared" si="4"/>
        <v>s1_pass_66</v>
      </c>
      <c r="B69" s="0" t="s">
        <v>0</v>
      </c>
      <c r="C69" s="0" t="s">
        <v>26</v>
      </c>
      <c r="D69" s="0">
        <v>66</v>
      </c>
      <c r="E69" s="0">
        <f t="shared" ref="E69:E103" si="5">E68+ROUNDUP($E$4*D68,-1)</f>
        <v>107300</v>
      </c>
      <c r="F69" s="0" t="s">
        <v>34</v>
      </c>
      <c r="G69" s="0">
        <v>15</v>
      </c>
    </row>
    <row r="70" spans="1:13" x14ac:dyDescent="0.45">
      <c r="A70" s="0" t="str">
        <f t="shared" si="4"/>
        <v>s1_pass_67</v>
      </c>
      <c r="B70" s="0" t="s">
        <v>0</v>
      </c>
      <c r="C70" s="0" t="s">
        <v>26</v>
      </c>
      <c r="D70" s="0">
        <v>67</v>
      </c>
      <c r="E70" s="0">
        <f t="shared" si="5"/>
        <v>110600</v>
      </c>
      <c r="F70" s="0" t="s">
        <v>35</v>
      </c>
      <c r="G70" s="0">
        <v>3</v>
      </c>
    </row>
    <row r="71" spans="1:13" x14ac:dyDescent="0.45">
      <c r="A71" s="0" t="str">
        <f t="shared" si="4"/>
        <v>s1_pass_68</v>
      </c>
      <c r="B71" s="0" t="s">
        <v>0</v>
      </c>
      <c r="C71" s="0" t="s">
        <v>26</v>
      </c>
      <c r="D71" s="0">
        <v>68</v>
      </c>
      <c r="E71" s="0">
        <f t="shared" si="5"/>
        <v>113950</v>
      </c>
      <c r="F71" s="0" t="s">
        <v>27</v>
      </c>
      <c r="G71" s="0">
        <v>100000</v>
      </c>
    </row>
    <row r="72" spans="1:13" x14ac:dyDescent="0.45">
      <c r="A72" s="0" t="str">
        <f t="shared" si="4"/>
        <v>s1_pass_69</v>
      </c>
      <c r="B72" s="0" t="s">
        <v>0</v>
      </c>
      <c r="C72" s="0" t="s">
        <v>26</v>
      </c>
      <c r="D72" s="0">
        <v>69</v>
      </c>
      <c r="E72" s="0">
        <f t="shared" si="5"/>
        <v>117350</v>
      </c>
      <c r="F72" s="0" t="s">
        <v>29</v>
      </c>
      <c r="G72" s="0">
        <v>300</v>
      </c>
    </row>
    <row r="73" spans="1:13" x14ac:dyDescent="0.45">
      <c r="A73" s="0" t="str">
        <f t="shared" si="4"/>
        <v>s1_pass_70</v>
      </c>
      <c r="B73" s="0" t="s">
        <v>0</v>
      </c>
      <c r="C73" s="0" t="s">
        <v>26</v>
      </c>
      <c r="D73" s="0">
        <v>70</v>
      </c>
      <c r="E73" s="0">
        <f t="shared" si="5"/>
        <v>120800</v>
      </c>
      <c r="F73" s="0" t="s">
        <v>51</v>
      </c>
      <c r="G73" s="0">
        <v>1</v>
      </c>
      <c r="I73" s="0" t="s">
        <v>38</v>
      </c>
    </row>
    <row r="74" spans="1:13" x14ac:dyDescent="0.45">
      <c r="A74" s="0" t="str">
        <f t="shared" si="4"/>
        <v>s1_pass_71</v>
      </c>
      <c r="B74" s="0" t="s">
        <v>0</v>
      </c>
      <c r="C74" s="0" t="s">
        <v>26</v>
      </c>
      <c r="D74" s="0">
        <v>71</v>
      </c>
      <c r="E74" s="0">
        <f t="shared" si="5"/>
        <v>124300</v>
      </c>
      <c r="F74" s="0" t="s">
        <v>27</v>
      </c>
      <c r="G74" s="0">
        <v>50000</v>
      </c>
    </row>
    <row r="75" spans="1:13" x14ac:dyDescent="0.45">
      <c r="A75" s="0" t="str">
        <f t="shared" si="4"/>
        <v>s1_pass_72</v>
      </c>
      <c r="B75" s="0" t="s">
        <v>0</v>
      </c>
      <c r="C75" s="0" t="s">
        <v>26</v>
      </c>
      <c r="D75" s="0">
        <v>72</v>
      </c>
      <c r="E75" s="0">
        <f t="shared" si="5"/>
        <v>127850</v>
      </c>
      <c r="F75" s="0" t="s">
        <v>29</v>
      </c>
      <c r="G75" s="0">
        <v>150</v>
      </c>
    </row>
    <row r="76" spans="1:13" x14ac:dyDescent="0.45">
      <c r="A76" s="0" t="str">
        <f t="shared" si="4"/>
        <v>s1_pass_73</v>
      </c>
      <c r="B76" s="0" t="s">
        <v>0</v>
      </c>
      <c r="C76" s="0" t="s">
        <v>26</v>
      </c>
      <c r="D76" s="0">
        <v>73</v>
      </c>
      <c r="E76" s="0">
        <f t="shared" si="5"/>
        <v>131450</v>
      </c>
      <c r="F76" s="0" t="s">
        <v>30</v>
      </c>
      <c r="G76" s="0">
        <v>5</v>
      </c>
    </row>
    <row r="77" spans="1:13" x14ac:dyDescent="0.45">
      <c r="A77" s="0" t="str">
        <f t="shared" si="4"/>
        <v>s1_pass_74</v>
      </c>
      <c r="B77" s="0" t="s">
        <v>0</v>
      </c>
      <c r="C77" s="0" t="s">
        <v>26</v>
      </c>
      <c r="D77" s="0">
        <v>74</v>
      </c>
      <c r="E77" s="0">
        <f t="shared" si="5"/>
        <v>135100</v>
      </c>
      <c r="F77" s="0" t="s">
        <v>27</v>
      </c>
      <c r="G77" s="0">
        <v>75000</v>
      </c>
    </row>
    <row r="78" spans="1:13" x14ac:dyDescent="0.45">
      <c r="A78" s="0" t="str">
        <f t="shared" si="4"/>
        <v>s1_pass_75</v>
      </c>
      <c r="B78" s="0" t="s">
        <v>0</v>
      </c>
      <c r="C78" s="0" t="s">
        <v>26</v>
      </c>
      <c r="D78" s="0">
        <v>75</v>
      </c>
      <c r="E78" s="0">
        <f t="shared" si="5"/>
        <v>138800</v>
      </c>
      <c r="F78" s="0" t="s">
        <v>32</v>
      </c>
      <c r="G78" s="0">
        <v>30</v>
      </c>
    </row>
    <row r="79" spans="1:13" x14ac:dyDescent="0.45">
      <c r="A79" s="0" t="str">
        <f t="shared" si="4"/>
        <v>s1_pass_76</v>
      </c>
      <c r="B79" s="0" t="s">
        <v>0</v>
      </c>
      <c r="C79" s="0" t="s">
        <v>26</v>
      </c>
      <c r="D79" s="0">
        <v>76</v>
      </c>
      <c r="E79" s="0">
        <f t="shared" si="5"/>
        <v>142550</v>
      </c>
      <c r="F79" s="0" t="s">
        <v>34</v>
      </c>
      <c r="G79" s="0">
        <v>15</v>
      </c>
    </row>
    <row r="80" spans="1:13" x14ac:dyDescent="0.45">
      <c r="A80" s="0" t="str">
        <f t="shared" si="4"/>
        <v>s1_pass_77</v>
      </c>
      <c r="B80" s="0" t="s">
        <v>0</v>
      </c>
      <c r="C80" s="0" t="s">
        <v>26</v>
      </c>
      <c r="D80" s="0">
        <v>77</v>
      </c>
      <c r="E80" s="0">
        <f t="shared" si="5"/>
        <v>146350</v>
      </c>
      <c r="F80" s="0" t="s">
        <v>35</v>
      </c>
      <c r="G80" s="0">
        <v>3</v>
      </c>
    </row>
    <row r="81" spans="1:13" x14ac:dyDescent="0.45">
      <c r="A81" s="0" t="str">
        <f t="shared" si="4"/>
        <v>s1_pass_78</v>
      </c>
      <c r="B81" s="0" t="s">
        <v>0</v>
      </c>
      <c r="C81" s="0" t="s">
        <v>26</v>
      </c>
      <c r="D81" s="0">
        <v>78</v>
      </c>
      <c r="E81" s="0">
        <f t="shared" si="5"/>
        <v>150200</v>
      </c>
      <c r="F81" s="0" t="s">
        <v>27</v>
      </c>
      <c r="G81" s="0">
        <v>100000</v>
      </c>
    </row>
    <row r="82" spans="1:13" x14ac:dyDescent="0.45">
      <c r="A82" s="0" t="str">
        <f t="shared" si="4"/>
        <v>s1_pass_79</v>
      </c>
      <c r="B82" s="0" t="s">
        <v>0</v>
      </c>
      <c r="C82" s="0" t="s">
        <v>26</v>
      </c>
      <c r="D82" s="0">
        <v>79</v>
      </c>
      <c r="E82" s="0">
        <f t="shared" si="5"/>
        <v>154100</v>
      </c>
      <c r="F82" s="0" t="s">
        <v>29</v>
      </c>
      <c r="G82" s="0">
        <v>300</v>
      </c>
    </row>
    <row r="83" spans="1:13" x14ac:dyDescent="0.45">
      <c r="A83" s="0" t="str">
        <f t="shared" si="4"/>
        <v>s1_pass_80</v>
      </c>
      <c r="B83" s="0" t="s">
        <v>0</v>
      </c>
      <c r="C83" s="0" t="s">
        <v>26</v>
      </c>
      <c r="D83" s="0">
        <v>80</v>
      </c>
      <c r="E83" s="0">
        <f t="shared" si="5"/>
        <v>158050</v>
      </c>
      <c r="F83" s="0" t="s">
        <v>52</v>
      </c>
      <c r="G83" s="0">
        <v>5</v>
      </c>
      <c r="I83" s="0" t="s">
        <v>38</v>
      </c>
    </row>
    <row r="84" spans="1:13" x14ac:dyDescent="0.45">
      <c r="A84" s="0" t="str">
        <f t="shared" si="4"/>
        <v>s1_pass_81</v>
      </c>
      <c r="B84" s="0" t="s">
        <v>0</v>
      </c>
      <c r="C84" s="0" t="s">
        <v>26</v>
      </c>
      <c r="D84" s="0">
        <v>81</v>
      </c>
      <c r="E84" s="0">
        <f t="shared" si="5"/>
        <v>162050</v>
      </c>
      <c r="F84" s="0" t="s">
        <v>27</v>
      </c>
      <c r="G84" s="0">
        <v>50000</v>
      </c>
    </row>
    <row r="85" spans="1:13" x14ac:dyDescent="0.45">
      <c r="A85" s="0" t="str">
        <f t="shared" si="4"/>
        <v>s1_pass_82</v>
      </c>
      <c r="B85" s="0" t="s">
        <v>0</v>
      </c>
      <c r="C85" s="0" t="s">
        <v>26</v>
      </c>
      <c r="D85" s="0">
        <v>82</v>
      </c>
      <c r="E85" s="0">
        <f t="shared" si="5"/>
        <v>166100</v>
      </c>
      <c r="F85" s="0" t="s">
        <v>29</v>
      </c>
      <c r="G85" s="0">
        <v>150</v>
      </c>
    </row>
    <row r="86" spans="1:13" x14ac:dyDescent="0.45">
      <c r="A86" s="0" t="str">
        <f t="shared" si="4"/>
        <v>s1_pass_83</v>
      </c>
      <c r="B86" s="0" t="s">
        <v>0</v>
      </c>
      <c r="C86" s="0" t="s">
        <v>26</v>
      </c>
      <c r="D86" s="0">
        <v>83</v>
      </c>
      <c r="E86" s="0">
        <f t="shared" si="5"/>
        <v>170200</v>
      </c>
      <c r="F86" s="0" t="s">
        <v>30</v>
      </c>
      <c r="G86" s="0">
        <v>5</v>
      </c>
    </row>
    <row r="87" spans="1:13" x14ac:dyDescent="0.45">
      <c r="A87" s="0" t="str">
        <f t="shared" si="4"/>
        <v>s1_pass_84</v>
      </c>
      <c r="B87" s="0" t="s">
        <v>0</v>
      </c>
      <c r="C87" s="0" t="s">
        <v>26</v>
      </c>
      <c r="D87" s="0">
        <v>84</v>
      </c>
      <c r="E87" s="0">
        <f t="shared" si="5"/>
        <v>174350</v>
      </c>
      <c r="F87" s="0" t="s">
        <v>27</v>
      </c>
      <c r="G87" s="0">
        <v>75000</v>
      </c>
    </row>
    <row r="88" spans="1:13" x14ac:dyDescent="0.45">
      <c r="A88" s="0" t="str">
        <f t="shared" si="4"/>
        <v>s1_pass_85</v>
      </c>
      <c r="B88" s="0" t="s">
        <v>0</v>
      </c>
      <c r="C88" s="0" t="s">
        <v>26</v>
      </c>
      <c r="D88" s="0">
        <v>85</v>
      </c>
      <c r="E88" s="0">
        <f t="shared" si="5"/>
        <v>178550</v>
      </c>
      <c r="F88" s="0" t="s">
        <v>32</v>
      </c>
      <c r="G88" s="0">
        <v>30</v>
      </c>
    </row>
    <row r="89" spans="1:13" x14ac:dyDescent="0.45">
      <c r="A89" s="0" t="str">
        <f t="shared" si="4"/>
        <v>s1_pass_86</v>
      </c>
      <c r="B89" s="0" t="s">
        <v>0</v>
      </c>
      <c r="C89" s="0" t="s">
        <v>26</v>
      </c>
      <c r="D89" s="0">
        <v>86</v>
      </c>
      <c r="E89" s="0">
        <f t="shared" si="5"/>
        <v>182800</v>
      </c>
      <c r="F89" s="0" t="s">
        <v>34</v>
      </c>
      <c r="G89" s="0">
        <v>15</v>
      </c>
    </row>
    <row r="90" spans="1:13" x14ac:dyDescent="0.45">
      <c r="A90" s="0" t="str">
        <f t="shared" si="4"/>
        <v>s1_pass_87</v>
      </c>
      <c r="B90" s="0" t="s">
        <v>0</v>
      </c>
      <c r="C90" s="0" t="s">
        <v>26</v>
      </c>
      <c r="D90" s="0">
        <v>87</v>
      </c>
      <c r="E90" s="0">
        <f t="shared" si="5"/>
        <v>187100</v>
      </c>
      <c r="F90" s="0" t="s">
        <v>35</v>
      </c>
      <c r="G90" s="0">
        <v>3</v>
      </c>
    </row>
    <row r="91" spans="1:13" x14ac:dyDescent="0.45">
      <c r="A91" s="0" t="str">
        <f t="shared" si="4"/>
        <v>s1_pass_88</v>
      </c>
      <c r="B91" s="0" t="s">
        <v>0</v>
      </c>
      <c r="C91" s="0" t="s">
        <v>26</v>
      </c>
      <c r="D91" s="0">
        <v>88</v>
      </c>
      <c r="E91" s="0">
        <f t="shared" si="5"/>
        <v>191450</v>
      </c>
      <c r="F91" s="0" t="s">
        <v>27</v>
      </c>
      <c r="G91" s="0">
        <v>100000</v>
      </c>
    </row>
    <row r="92" spans="1:13" x14ac:dyDescent="0.45">
      <c r="A92" s="0" t="str">
        <f t="shared" si="4"/>
        <v>s1_pass_89</v>
      </c>
      <c r="B92" s="0" t="s">
        <v>0</v>
      </c>
      <c r="C92" s="0" t="s">
        <v>26</v>
      </c>
      <c r="D92" s="0">
        <v>89</v>
      </c>
      <c r="E92" s="0">
        <f t="shared" si="5"/>
        <v>195850</v>
      </c>
      <c r="F92" s="0" t="s">
        <v>29</v>
      </c>
      <c r="G92" s="0">
        <v>300</v>
      </c>
    </row>
    <row r="93" spans="1:13" x14ac:dyDescent="0.45">
      <c r="A93" s="0" t="str">
        <f t="shared" si="4"/>
        <v>s1_pass_90</v>
      </c>
      <c r="B93" s="0" t="s">
        <v>0</v>
      </c>
      <c r="C93" s="0" t="s">
        <v>26</v>
      </c>
      <c r="D93" s="0">
        <v>90</v>
      </c>
      <c r="E93" s="0">
        <f t="shared" si="5"/>
        <v>200300</v>
      </c>
      <c r="F93" s="0" t="s">
        <v>32</v>
      </c>
      <c r="G93" s="0">
        <v>300</v>
      </c>
      <c r="I93" s="0" t="s">
        <v>38</v>
      </c>
    </row>
    <row r="94" spans="1:13" x14ac:dyDescent="0.45">
      <c r="A94" s="0" t="str">
        <f t="shared" si="4"/>
        <v>s1_pass_91</v>
      </c>
      <c r="B94" s="0" t="s">
        <v>0</v>
      </c>
      <c r="C94" s="0" t="s">
        <v>26</v>
      </c>
      <c r="D94" s="0">
        <v>91</v>
      </c>
      <c r="E94" s="0">
        <f t="shared" si="5"/>
        <v>204800</v>
      </c>
      <c r="F94" s="0" t="s">
        <v>27</v>
      </c>
      <c r="G94" s="0">
        <v>50000</v>
      </c>
    </row>
    <row r="95" spans="1:13" x14ac:dyDescent="0.45">
      <c r="A95" s="0" t="str">
        <f t="shared" si="4"/>
        <v>s1_pass_92</v>
      </c>
      <c r="B95" s="0" t="s">
        <v>0</v>
      </c>
      <c r="C95" s="0" t="s">
        <v>26</v>
      </c>
      <c r="D95" s="0">
        <v>92</v>
      </c>
      <c r="E95" s="0">
        <f t="shared" si="5"/>
        <v>209350</v>
      </c>
      <c r="F95" s="0" t="s">
        <v>29</v>
      </c>
      <c r="G95" s="0">
        <v>150</v>
      </c>
    </row>
    <row r="96" spans="1:13" x14ac:dyDescent="0.45">
      <c r="A96" s="0" t="str">
        <f t="shared" si="4"/>
        <v>s1_pass_93</v>
      </c>
      <c r="B96" s="0" t="s">
        <v>0</v>
      </c>
      <c r="C96" s="0" t="s">
        <v>26</v>
      </c>
      <c r="D96" s="0">
        <v>93</v>
      </c>
      <c r="E96" s="0">
        <f t="shared" si="5"/>
        <v>213950</v>
      </c>
      <c r="F96" s="0" t="s">
        <v>30</v>
      </c>
      <c r="G96" s="0">
        <v>5</v>
      </c>
    </row>
    <row r="97" spans="1:13" x14ac:dyDescent="0.45">
      <c r="A97" s="0" t="str">
        <f t="shared" si="4"/>
        <v>s1_pass_94</v>
      </c>
      <c r="B97" s="0" t="s">
        <v>0</v>
      </c>
      <c r="C97" s="0" t="s">
        <v>26</v>
      </c>
      <c r="D97" s="0">
        <v>94</v>
      </c>
      <c r="E97" s="0">
        <f t="shared" si="5"/>
        <v>218600</v>
      </c>
      <c r="F97" s="0" t="s">
        <v>27</v>
      </c>
      <c r="G97" s="0">
        <v>75000</v>
      </c>
    </row>
    <row r="98" spans="1:13" x14ac:dyDescent="0.45">
      <c r="A98" s="0" t="str">
        <f t="shared" si="4"/>
        <v>s1_pass_95</v>
      </c>
      <c r="B98" s="0" t="s">
        <v>0</v>
      </c>
      <c r="C98" s="0" t="s">
        <v>26</v>
      </c>
      <c r="D98" s="0">
        <v>95</v>
      </c>
      <c r="E98" s="0">
        <f t="shared" si="5"/>
        <v>223300</v>
      </c>
      <c r="F98" s="0" t="s">
        <v>32</v>
      </c>
      <c r="G98" s="0">
        <v>30</v>
      </c>
    </row>
    <row r="99" spans="1:13" x14ac:dyDescent="0.45">
      <c r="A99" s="0" t="str">
        <f t="shared" si="4"/>
        <v>s1_pass_96</v>
      </c>
      <c r="B99" s="0" t="s">
        <v>0</v>
      </c>
      <c r="C99" s="0" t="s">
        <v>26</v>
      </c>
      <c r="D99" s="0">
        <v>96</v>
      </c>
      <c r="E99" s="0">
        <f t="shared" si="5"/>
        <v>228050</v>
      </c>
      <c r="F99" s="0" t="s">
        <v>34</v>
      </c>
      <c r="G99" s="0">
        <v>15</v>
      </c>
    </row>
    <row r="100" spans="1:13" x14ac:dyDescent="0.45">
      <c r="A100" s="0" t="str">
        <f t="shared" si="4"/>
        <v>s1_pass_97</v>
      </c>
      <c r="B100" s="0" t="s">
        <v>0</v>
      </c>
      <c r="C100" s="0" t="s">
        <v>26</v>
      </c>
      <c r="D100" s="0">
        <v>97</v>
      </c>
      <c r="E100" s="0">
        <f t="shared" si="5"/>
        <v>232850</v>
      </c>
      <c r="F100" s="0" t="s">
        <v>35</v>
      </c>
      <c r="G100" s="0">
        <v>3</v>
      </c>
    </row>
    <row r="101" spans="1:13" x14ac:dyDescent="0.45">
      <c r="A101" s="0" t="str">
        <f t="shared" si="4"/>
        <v>s1_pass_98</v>
      </c>
      <c r="B101" s="0" t="s">
        <v>0</v>
      </c>
      <c r="C101" s="0" t="s">
        <v>26</v>
      </c>
      <c r="D101" s="0">
        <v>98</v>
      </c>
      <c r="E101" s="0">
        <f t="shared" si="5"/>
        <v>237700</v>
      </c>
      <c r="F101" s="0" t="s">
        <v>27</v>
      </c>
      <c r="G101" s="0">
        <v>100000</v>
      </c>
    </row>
    <row r="102" spans="1:13" x14ac:dyDescent="0.45">
      <c r="A102" s="0" t="str">
        <f t="shared" si="4"/>
        <v>s1_pass_99</v>
      </c>
      <c r="B102" s="0" t="s">
        <v>0</v>
      </c>
      <c r="C102" s="0" t="s">
        <v>26</v>
      </c>
      <c r="D102" s="0">
        <v>99</v>
      </c>
      <c r="E102" s="0">
        <f t="shared" si="5"/>
        <v>242600</v>
      </c>
      <c r="F102" s="0" t="s">
        <v>29</v>
      </c>
      <c r="G102" s="0">
        <v>300</v>
      </c>
    </row>
    <row r="103" spans="1:13" x14ac:dyDescent="0.45">
      <c r="A103" s="0" t="str">
        <f t="shared" si="4"/>
        <v>s1_pass_100</v>
      </c>
      <c r="B103" s="0" t="s">
        <v>0</v>
      </c>
      <c r="C103" s="0" t="s">
        <v>26</v>
      </c>
      <c r="D103" s="0">
        <v>100</v>
      </c>
      <c r="E103" s="0">
        <f t="shared" si="5"/>
        <v>247550</v>
      </c>
      <c r="F103" s="0" t="s">
        <v>53</v>
      </c>
      <c r="G103" s="0">
        <v>1</v>
      </c>
      <c r="I103" s="0" t="s">
        <v>38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W13"/>
  <sheetViews>
    <sheetView workbookViewId="0">
      <selection activeCell="I3" sqref="I3"/>
    </sheetView>
  </sheetViews>
  <sheetFormatPr defaultRowHeight="17" x14ac:dyDescent="0.45"/>
  <cols>
    <col min="1" max="1" width="13.332031" style="0" customWidth="1"/>
    <col min="2" max="2" width="14.832031" style="0" customWidth="1"/>
    <col min="3" max="3" width="19.5" style="0" customWidth="1"/>
    <col min="4" max="4" width="14.832031" style="0" customWidth="1"/>
    <col min="5" max="5" width="20.332031" style="0" customWidth="1"/>
    <col min="6" max="6" width="15.582031" style="0" customWidth="1"/>
    <col min="7" max="7" width="20.332031" style="0" customWidth="1"/>
    <col min="8" max="9" width="23.082031" style="0" customWidth="1"/>
    <col min="10" max="10" width="15.582031" style="0" customWidth="1"/>
    <col min="11" max="11" width="16.082031" style="0" customWidth="1"/>
    <col min="12" max="12" width="22.082031" style="0" customWidth="1"/>
    <col min="13" max="13" width="13.5" style="0" customWidth="1"/>
    <col min="14" max="14" width="11.582031" style="0" customWidth="1"/>
    <col min="15" max="15" width="13.75" style="0" customWidth="1"/>
    <col min="16" max="16" width="36" style="0" customWidth="1"/>
    <col min="17" max="17" width="15.582031" style="0" customWidth="1"/>
    <col min="18" max="18" width="16.082031" style="0" customWidth="1"/>
    <col min="19" max="19" width="22.082031" style="0" customWidth="1"/>
    <col min="20" max="20" width="13.5" style="0" customWidth="1"/>
    <col min="21" max="21" width="11.582031" style="0" customWidth="1"/>
    <col min="22" max="22" width="13.75" style="0" customWidth="1"/>
    <col min="23" max="23" width="36" style="0" customWidth="1"/>
  </cols>
  <sheetData>
    <row r="1" spans="1:2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</row>
    <row r="2" spans="1:23" x14ac:dyDescent="0.45">
      <c r="A2" s="0" t="s">
        <v>1</v>
      </c>
      <c r="C2" s="0" t="s">
        <v>2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 t="s">
        <v>59</v>
      </c>
      <c r="J2" s="0" t="s">
        <v>60</v>
      </c>
      <c r="K2" s="0" t="s">
        <v>61</v>
      </c>
      <c r="L2" s="0" t="s">
        <v>62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60</v>
      </c>
      <c r="R2" s="0" t="s">
        <v>61</v>
      </c>
      <c r="S2" s="0" t="s">
        <v>62</v>
      </c>
      <c r="T2" s="0" t="s">
        <v>9</v>
      </c>
      <c r="U2" s="0" t="s">
        <v>10</v>
      </c>
      <c r="V2" s="0" t="s">
        <v>11</v>
      </c>
      <c r="W2" s="0" t="s">
        <v>12</v>
      </c>
    </row>
    <row r="3" spans="1:2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68</v>
      </c>
      <c r="J3" s="1" t="s">
        <v>67</v>
      </c>
      <c r="K3" s="1" t="s">
        <v>18</v>
      </c>
      <c r="L3" s="1" t="s">
        <v>69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</row>
    <row r="4" spans="1:23" x14ac:dyDescent="0.45">
      <c r="A4" s="0" t="str">
        <f t="shared" ref="A4:A13" si="0">C4&amp;"_level_"&amp;D4</f>
        <v>s1_level_1</v>
      </c>
      <c r="B4" s="0" t="s">
        <v>0</v>
      </c>
      <c r="C4" s="0" t="s">
        <v>26</v>
      </c>
      <c r="D4" s="0">
        <v>1</v>
      </c>
      <c r="E4" s="0" t="s">
        <v>77</v>
      </c>
      <c r="F4" s="0" t="s">
        <v>78</v>
      </c>
      <c r="G4" s="0" t="s">
        <v>27</v>
      </c>
      <c r="H4" s="0">
        <v>0</v>
      </c>
      <c r="I4" s="0">
        <v>1</v>
      </c>
      <c r="J4" s="0" t="s">
        <v>79</v>
      </c>
      <c r="K4" s="0" t="s">
        <v>27</v>
      </c>
      <c r="L4" s="0">
        <v>100000</v>
      </c>
      <c r="Q4" s="0" t="s">
        <v>80</v>
      </c>
      <c r="R4" s="0" t="s">
        <v>27</v>
      </c>
      <c r="S4" s="0">
        <v>50000</v>
      </c>
    </row>
    <row r="5" spans="1:23" x14ac:dyDescent="0.45">
      <c r="A5" s="0" t="str">
        <f t="shared" si="0"/>
        <v>s1_level_2</v>
      </c>
      <c r="B5" s="0" t="s">
        <v>0</v>
      </c>
      <c r="C5" s="0" t="s">
        <v>26</v>
      </c>
      <c r="D5" s="0">
        <v>2</v>
      </c>
      <c r="E5" s="0" t="s">
        <v>77</v>
      </c>
      <c r="F5" s="0" t="s">
        <v>81</v>
      </c>
      <c r="G5" s="0" t="s">
        <v>27</v>
      </c>
      <c r="H5" s="0">
        <v>200</v>
      </c>
      <c r="I5" s="0">
        <v>1</v>
      </c>
      <c r="J5" s="0" t="s">
        <v>80</v>
      </c>
      <c r="K5" s="0" t="s">
        <v>27</v>
      </c>
      <c r="L5" s="0">
        <v>100000</v>
      </c>
      <c r="Q5" s="0" t="s">
        <v>80</v>
      </c>
      <c r="R5" s="0" t="s">
        <v>29</v>
      </c>
      <c r="S5" s="0">
        <v>200</v>
      </c>
    </row>
    <row r="6" spans="1:23" x14ac:dyDescent="0.45">
      <c r="A6" s="0" t="str">
        <f t="shared" si="0"/>
        <v>s1_level_3</v>
      </c>
      <c r="B6" s="0" t="s">
        <v>0</v>
      </c>
      <c r="C6" s="0" t="s">
        <v>26</v>
      </c>
      <c r="D6" s="0">
        <v>3</v>
      </c>
      <c r="E6" s="0" t="s">
        <v>82</v>
      </c>
      <c r="F6" s="0" t="s">
        <v>83</v>
      </c>
      <c r="G6" s="0" t="s">
        <v>27</v>
      </c>
      <c r="H6" s="0">
        <v>450</v>
      </c>
      <c r="I6" s="0">
        <v>2</v>
      </c>
      <c r="J6" s="0" t="s">
        <v>79</v>
      </c>
      <c r="K6" s="0" t="s">
        <v>27</v>
      </c>
      <c r="L6" s="0">
        <v>100000</v>
      </c>
      <c r="Q6" s="0" t="s">
        <v>80</v>
      </c>
      <c r="R6" s="0" t="s">
        <v>32</v>
      </c>
      <c r="S6" s="0">
        <v>50</v>
      </c>
    </row>
    <row r="7" spans="1:23" x14ac:dyDescent="0.45">
      <c r="A7" s="0" t="str">
        <f t="shared" si="0"/>
        <v>s1_level_4</v>
      </c>
      <c r="B7" s="0" t="s">
        <v>0</v>
      </c>
      <c r="C7" s="0" t="s">
        <v>26</v>
      </c>
      <c r="D7" s="0">
        <v>4</v>
      </c>
      <c r="E7" s="0" t="s">
        <v>82</v>
      </c>
      <c r="F7" s="0" t="s">
        <v>84</v>
      </c>
      <c r="G7" s="0" t="s">
        <v>27</v>
      </c>
      <c r="H7" s="0">
        <v>800</v>
      </c>
      <c r="I7" s="0">
        <v>2</v>
      </c>
      <c r="J7" s="0" t="s">
        <v>80</v>
      </c>
      <c r="K7" s="0" t="s">
        <v>30</v>
      </c>
      <c r="L7" s="0">
        <v>5</v>
      </c>
      <c r="Q7" s="0" t="s">
        <v>80</v>
      </c>
      <c r="R7" s="0" t="s">
        <v>27</v>
      </c>
      <c r="S7" s="0">
        <v>150000</v>
      </c>
    </row>
    <row r="8" spans="1:23" x14ac:dyDescent="0.45">
      <c r="A8" s="0" t="str">
        <f t="shared" si="0"/>
        <v>s1_level_5</v>
      </c>
      <c r="B8" s="0" t="s">
        <v>0</v>
      </c>
      <c r="C8" s="0" t="s">
        <v>26</v>
      </c>
      <c r="D8" s="0">
        <v>5</v>
      </c>
      <c r="E8" s="0" t="s">
        <v>85</v>
      </c>
      <c r="F8" s="0" t="s">
        <v>86</v>
      </c>
      <c r="G8" s="0" t="s">
        <v>27</v>
      </c>
      <c r="H8" s="0">
        <v>1250</v>
      </c>
      <c r="I8" s="0">
        <v>3</v>
      </c>
      <c r="J8" s="0" t="s">
        <v>79</v>
      </c>
      <c r="K8" s="0" t="s">
        <v>27</v>
      </c>
      <c r="L8" s="0">
        <v>100000</v>
      </c>
      <c r="Q8" s="0" t="s">
        <v>80</v>
      </c>
      <c r="R8" s="0" t="s">
        <v>34</v>
      </c>
      <c r="S8" s="0">
        <v>30</v>
      </c>
    </row>
    <row r="9" spans="1:23" x14ac:dyDescent="0.45">
      <c r="A9" s="0" t="str">
        <f t="shared" si="0"/>
        <v>s1_level_6</v>
      </c>
      <c r="B9" s="0" t="s">
        <v>0</v>
      </c>
      <c r="C9" s="0" t="s">
        <v>26</v>
      </c>
      <c r="D9" s="0">
        <v>6</v>
      </c>
      <c r="E9" s="0" t="s">
        <v>85</v>
      </c>
      <c r="F9" s="0" t="s">
        <v>87</v>
      </c>
      <c r="G9" s="0" t="s">
        <v>27</v>
      </c>
      <c r="H9" s="0">
        <v>1800</v>
      </c>
      <c r="I9" s="0">
        <v>3</v>
      </c>
      <c r="J9" s="0" t="s">
        <v>80</v>
      </c>
      <c r="K9" s="0" t="s">
        <v>35</v>
      </c>
      <c r="L9" s="0">
        <v>5</v>
      </c>
      <c r="Q9" s="0" t="s">
        <v>80</v>
      </c>
      <c r="R9" s="0" t="s">
        <v>29</v>
      </c>
      <c r="S9" s="0">
        <v>400</v>
      </c>
    </row>
    <row r="10" spans="1:23" x14ac:dyDescent="0.45">
      <c r="A10" s="0" t="str">
        <f t="shared" si="0"/>
        <v>s1_level_7</v>
      </c>
      <c r="B10" s="0" t="s">
        <v>0</v>
      </c>
      <c r="C10" s="0" t="s">
        <v>26</v>
      </c>
      <c r="D10" s="0">
        <v>7</v>
      </c>
      <c r="E10" s="0" t="s">
        <v>88</v>
      </c>
      <c r="F10" s="0" t="s">
        <v>89</v>
      </c>
      <c r="G10" s="0" t="s">
        <v>27</v>
      </c>
      <c r="H10" s="0">
        <v>2450</v>
      </c>
      <c r="I10" s="0">
        <v>4</v>
      </c>
      <c r="J10" s="0" t="s">
        <v>79</v>
      </c>
      <c r="K10" s="0" t="s">
        <v>27</v>
      </c>
      <c r="L10" s="0">
        <v>100000</v>
      </c>
      <c r="Q10" s="0" t="s">
        <v>80</v>
      </c>
      <c r="R10" s="0" t="s">
        <v>50</v>
      </c>
      <c r="S10" s="0">
        <v>30</v>
      </c>
    </row>
    <row r="11" spans="1:23" x14ac:dyDescent="0.45">
      <c r="A11" s="0" t="str">
        <f t="shared" si="0"/>
        <v>s1_level_8</v>
      </c>
      <c r="B11" s="0" t="s">
        <v>0</v>
      </c>
      <c r="C11" s="0" t="s">
        <v>26</v>
      </c>
      <c r="D11" s="0">
        <v>8</v>
      </c>
      <c r="E11" s="0" t="s">
        <v>88</v>
      </c>
      <c r="F11" s="0" t="s">
        <v>90</v>
      </c>
      <c r="G11" s="0" t="s">
        <v>27</v>
      </c>
      <c r="H11" s="0">
        <v>3200</v>
      </c>
      <c r="I11" s="0">
        <v>4</v>
      </c>
      <c r="J11" s="0" t="s">
        <v>80</v>
      </c>
      <c r="K11" s="0" t="s">
        <v>32</v>
      </c>
      <c r="L11" s="0">
        <v>150</v>
      </c>
      <c r="Q11" s="0" t="s">
        <v>80</v>
      </c>
      <c r="R11" s="0" t="s">
        <v>34</v>
      </c>
      <c r="S11" s="0">
        <v>60</v>
      </c>
    </row>
    <row r="12" spans="1:23" x14ac:dyDescent="0.45">
      <c r="A12" s="0" t="str">
        <f t="shared" si="0"/>
        <v>s1_level_9</v>
      </c>
      <c r="B12" s="0" t="s">
        <v>0</v>
      </c>
      <c r="C12" s="0" t="s">
        <v>26</v>
      </c>
      <c r="D12" s="0">
        <v>9</v>
      </c>
      <c r="E12" s="0" t="s">
        <v>91</v>
      </c>
      <c r="F12" s="0" t="s">
        <v>92</v>
      </c>
      <c r="G12" s="0" t="s">
        <v>27</v>
      </c>
      <c r="H12" s="0">
        <v>4050</v>
      </c>
      <c r="I12" s="0">
        <v>5</v>
      </c>
      <c r="J12" s="0" t="s">
        <v>79</v>
      </c>
      <c r="K12" s="0" t="s">
        <v>27</v>
      </c>
      <c r="L12" s="0">
        <v>100000</v>
      </c>
      <c r="Q12" s="0" t="s">
        <v>80</v>
      </c>
      <c r="R12" s="0" t="s">
        <v>49</v>
      </c>
      <c r="S12" s="0">
        <v>2</v>
      </c>
    </row>
    <row r="13" spans="1:23" x14ac:dyDescent="0.45">
      <c r="A13" s="0" t="str">
        <f t="shared" si="0"/>
        <v>s1_level_10</v>
      </c>
      <c r="B13" s="0" t="s">
        <v>0</v>
      </c>
      <c r="C13" s="0" t="s">
        <v>26</v>
      </c>
      <c r="D13" s="0">
        <v>10</v>
      </c>
      <c r="E13" s="0" t="s">
        <v>91</v>
      </c>
      <c r="F13" s="0" t="s">
        <v>93</v>
      </c>
      <c r="G13" s="0" t="s">
        <v>27</v>
      </c>
      <c r="H13" s="0">
        <v>5000</v>
      </c>
      <c r="I13" s="0">
        <v>5</v>
      </c>
      <c r="J13" s="0" t="s">
        <v>80</v>
      </c>
      <c r="K13" s="0" t="s">
        <v>52</v>
      </c>
      <c r="L13" s="0">
        <v>5</v>
      </c>
      <c r="Q13" s="0" t="s">
        <v>80</v>
      </c>
      <c r="R13" s="0" t="s">
        <v>53</v>
      </c>
      <c r="S13" s="0">
        <v>1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F9"/>
  <sheetViews>
    <sheetView workbookViewId="0"/>
  </sheetViews>
  <sheetFormatPr defaultRowHeight="17" x14ac:dyDescent="0.45"/>
  <cols>
    <col min="1" max="1" width="14.5" style="0" customWidth="1"/>
    <col min="2" max="2" width="14.832031" style="0" customWidth="1"/>
    <col min="3" max="3" width="11.332031" style="0" customWidth="1"/>
    <col min="4" max="5" width="17.75" style="0" customWidth="1"/>
    <col min="6" max="6" width="23.582031" style="0" customWidth="1"/>
  </cols>
  <sheetData>
    <row r="1" spans="1:6" x14ac:dyDescent="0.45">
      <c r="A1" s="0" t="s">
        <v>0</v>
      </c>
      <c r="B1" s="0" t="s">
        <v>0</v>
      </c>
      <c r="E1" s="0" t="s">
        <v>0</v>
      </c>
      <c r="F1" s="0" t="s">
        <v>0</v>
      </c>
    </row>
    <row r="2" spans="1:6" s="13" customFormat="1" x14ac:dyDescent="0.45">
      <c r="A2" s="13" t="s">
        <v>94</v>
      </c>
      <c r="C2" s="13" t="s">
        <v>95</v>
      </c>
      <c r="D2" s="13" t="s">
        <v>96</v>
      </c>
      <c r="E2" s="13" t="s">
        <v>97</v>
      </c>
      <c r="F2" s="13" t="s">
        <v>98</v>
      </c>
    </row>
    <row r="3" spans="1:6" s="1" customFormat="1" x14ac:dyDescent="0.45">
      <c r="A3" s="1" t="s">
        <v>99</v>
      </c>
      <c r="B3" s="1" t="s">
        <v>14</v>
      </c>
      <c r="E3" s="1" t="s">
        <v>100</v>
      </c>
      <c r="F3" s="1" t="s">
        <v>101</v>
      </c>
    </row>
    <row r="4" spans="1:6" x14ac:dyDescent="0.45">
      <c r="A4" s="13" t="str">
        <f>_xlfn.TEXTJOIN("_",TRUE,C4,D4)</f>
        <v>survival</v>
      </c>
      <c r="B4" s="13" t="s">
        <v>0</v>
      </c>
      <c r="C4" s="13"/>
      <c r="D4" s="13" t="s">
        <v>102</v>
      </c>
      <c r="E4" s="13">
        <v>1</v>
      </c>
      <c r="F4" s="13" t="str">
        <f>"s1_node_"&amp;D4&amp;"_name"</f>
        <v>s1_node_survival_name</v>
      </c>
    </row>
    <row r="5" spans="1:6" x14ac:dyDescent="0.45">
      <c r="A5" s="13" t="str">
        <f>_xlfn.TEXTJOIN("_",TRUE,C5,D5)</f>
        <v>economy</v>
      </c>
      <c r="B5" s="13" t="s">
        <v>0</v>
      </c>
      <c r="C5" s="13"/>
      <c r="D5" s="13" t="s">
        <v>103</v>
      </c>
      <c r="E5" s="13">
        <v>2</v>
      </c>
      <c r="F5" s="13" t="str">
        <f>"s1_node_"&amp;D5&amp;"_name"</f>
        <v>s1_node_economy_name</v>
      </c>
    </row>
    <row r="6" spans="1:6" x14ac:dyDescent="0.45">
      <c r="A6" s="13" t="str">
        <f>_xlfn.TEXTJOIN("_",TRUE,C6,D6)</f>
        <v>recruit</v>
      </c>
      <c r="B6" s="13" t="s">
        <v>0</v>
      </c>
      <c r="C6" s="13"/>
      <c r="D6" s="13" t="s">
        <v>104</v>
      </c>
      <c r="E6" s="13">
        <v>3</v>
      </c>
      <c r="F6" s="13" t="str">
        <f>"s1_node_"&amp;D6&amp;"_name"</f>
        <v>s1_node_recruit_name</v>
      </c>
    </row>
    <row r="7" spans="1:6" x14ac:dyDescent="0.45">
      <c r="A7" s="13" t="str">
        <f>_xlfn.TEXTJOIN("_",TRUE,C7,D7)</f>
        <v>relic</v>
      </c>
      <c r="B7" s="13" t="s">
        <v>0</v>
      </c>
      <c r="C7" s="13"/>
      <c r="D7" s="13" t="s">
        <v>105</v>
      </c>
      <c r="E7" s="13">
        <v>4</v>
      </c>
      <c r="F7" s="13" t="str">
        <f>"s1_node_"&amp;D7&amp;"_name"</f>
        <v>s1_node_relic_name</v>
      </c>
    </row>
    <row r="8" spans="1:6" x14ac:dyDescent="0.45">
      <c r="A8" s="13" t="str">
        <f>_xlfn.TEXTJOIN("_",TRUE,C8,D8)</f>
        <v>battle</v>
      </c>
      <c r="B8" s="13" t="s">
        <v>0</v>
      </c>
      <c r="C8" s="13"/>
      <c r="D8" s="13" t="s">
        <v>106</v>
      </c>
      <c r="E8" s="13">
        <v>5</v>
      </c>
      <c r="F8" s="13" t="str">
        <f>"s1_node_"&amp;D8&amp;"_name"</f>
        <v>s1_node_battle_name</v>
      </c>
    </row>
    <row r="9" spans="1:6" x14ac:dyDescent="0.45">
      <c r="A9" s="13" t="str">
        <f>_xlfn.TEXTJOIN("_",TRUE,C9,D9)</f>
        <v>archive</v>
      </c>
      <c r="B9" s="13" t="s">
        <v>0</v>
      </c>
      <c r="C9" s="13"/>
      <c r="D9" s="13" t="s">
        <v>107</v>
      </c>
      <c r="E9" s="13">
        <v>6</v>
      </c>
      <c r="F9" s="13" t="str">
        <f>"s1_node_"&amp;D9&amp;"_name"</f>
        <v>s1_node_archive_name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outlinePr summaryBelow="1" summaryRight="1"/>
  </sheetPr>
  <dimension ref="A1:T1323"/>
  <sheetViews>
    <sheetView workbookViewId="0">
      <selection activeCell="F5" sqref="F5"/>
    </sheetView>
  </sheetViews>
  <sheetFormatPr defaultRowHeight="17" x14ac:dyDescent="0.45"/>
  <cols>
    <col min="1" max="1" width="23.582031" style="0" customWidth="1"/>
    <col min="2" max="2" width="14.832031" style="0" customWidth="1"/>
    <col min="3" max="3" width="17.332031" style="0" customWidth="1"/>
    <col min="4" max="4" width="13.082031" style="0" customWidth="1"/>
    <col min="5" max="6" width="25.332031" style="0" customWidth="1"/>
    <col min="7" max="7" width="23" style="0" customWidth="1"/>
    <col min="8" max="8" width="16.332031" style="0" customWidth="1"/>
    <col min="9" max="9" width="22.332031" style="0" customWidth="1"/>
    <col min="10" max="11" width="20.332031" style="0" customWidth="1"/>
    <col min="12" max="12" width="15.75" style="0" customWidth="1"/>
    <col min="13" max="14" width="14.832031" style="0" customWidth="1"/>
    <col min="15" max="15" width="24.332031" style="0" customWidth="1"/>
    <col min="16" max="16" width="21.75" style="0" customWidth="1"/>
    <col min="17" max="19" width="20.332031" style="0" customWidth="1"/>
    <col min="20" max="20" width="27.082031" style="0" customWidth="1"/>
  </cols>
  <sheetData>
    <row r="1" spans="1:20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</row>
    <row r="2" spans="1:20" x14ac:dyDescent="0.45">
      <c r="A2" s="0" t="s">
        <v>1</v>
      </c>
      <c r="C2" s="0" t="s">
        <v>2</v>
      </c>
      <c r="D2" s="0" t="s">
        <v>108</v>
      </c>
      <c r="E2" s="0" t="s">
        <v>109</v>
      </c>
      <c r="F2" s="0" t="s">
        <v>109</v>
      </c>
      <c r="G2" s="0" t="s">
        <v>110</v>
      </c>
      <c r="H2" s="0" t="s">
        <v>111</v>
      </c>
      <c r="I2" s="0" t="s">
        <v>112</v>
      </c>
      <c r="J2" s="0" t="s">
        <v>113</v>
      </c>
      <c r="K2" s="13" t="s">
        <v>115</v>
      </c>
      <c r="L2" s="0" t="s">
        <v>114</v>
      </c>
      <c r="M2" s="0" t="s">
        <v>116</v>
      </c>
      <c r="N2" s="0" t="s">
        <v>117</v>
      </c>
      <c r="O2" s="0" t="s">
        <v>118</v>
      </c>
      <c r="P2" s="0" t="s">
        <v>119</v>
      </c>
      <c r="Q2" s="0" t="s">
        <v>120</v>
      </c>
      <c r="R2" s="0" t="s">
        <v>121</v>
      </c>
      <c r="S2" s="0" t="s">
        <v>122</v>
      </c>
      <c r="T2" s="0" t="s">
        <v>123</v>
      </c>
    </row>
    <row r="3" spans="1:20" s="1" customFormat="1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124</v>
      </c>
      <c r="F3" s="1" t="s">
        <v>126</v>
      </c>
      <c r="G3" s="1" t="s">
        <v>125</v>
      </c>
      <c r="H3" s="1" t="s">
        <v>68</v>
      </c>
      <c r="I3" s="1" t="s">
        <v>127</v>
      </c>
      <c r="J3" s="1" t="s">
        <v>128</v>
      </c>
      <c r="L3" s="1" t="s">
        <v>129</v>
      </c>
      <c r="M3" s="1" t="s">
        <v>130</v>
      </c>
      <c r="N3" s="1" t="s">
        <v>131</v>
      </c>
      <c r="O3" s="1" t="s">
        <v>133</v>
      </c>
      <c r="P3" s="1" t="s">
        <v>134</v>
      </c>
      <c r="Q3" s="1" t="s">
        <v>135</v>
      </c>
      <c r="R3" s="1" t="s">
        <v>132</v>
      </c>
      <c r="S3" s="1" t="s">
        <v>136</v>
      </c>
      <c r="T3" s="1" t="s">
        <v>137</v>
      </c>
    </row>
    <row r="4" spans="1:20" x14ac:dyDescent="0.45">
      <c r="A4" s="13" t="str">
        <f>_xlfn.TEXTJOIN("_",TRUE,C4,"node",D4,M4,N4)</f>
        <v>s1_node_survival_1_4</v>
      </c>
      <c r="B4" s="13" t="s">
        <v>0</v>
      </c>
      <c r="C4" s="13" t="s">
        <v>26</v>
      </c>
      <c r="D4" s="13" t="s">
        <v>102</v>
      </c>
      <c r="E4" s="13" t="str">
        <f>"s1_node_"&amp;D4&amp;"_name"</f>
        <v>s1_node_survival_name</v>
      </c>
      <c r="F4" s="13" t="str">
        <f>"s1_node_"&amp;D4&amp;"_desc"</f>
        <v>s1_node_survival_desc</v>
      </c>
      <c r="G4" s="13" t="s">
        <v>138</v>
      </c>
      <c r="H4" s="13">
        <v>1</v>
      </c>
      <c r="I4" s="13" t="s">
        <v>27</v>
      </c>
      <c r="J4" s="13" t="s">
        <v>139</v>
      </c>
      <c r="K4" s="13">
        <v>80</v>
      </c>
      <c r="L4" s="13">
        <v>3</v>
      </c>
      <c r="M4" s="13">
        <v>1</v>
      </c>
      <c r="N4" s="13">
        <v>4</v>
      </c>
      <c r="O4" s="13"/>
      <c r="P4" s="13"/>
      <c r="Q4" s="13"/>
      <c r="R4" s="13"/>
      <c r="S4" s="13"/>
      <c r="T4" s="13" t="str">
        <f>_xlfn.TEXTJOIN("_",TRUE,C4,"node_eff",D4,M4,N4)</f>
        <v>s1_node_eff_survival_1_4</v>
      </c>
    </row>
    <row r="5" spans="1:20" x14ac:dyDescent="0.45">
      <c r="A5" s="13" t="str">
        <f>_xlfn.TEXTJOIN("_",TRUE,C5,"node",D5,M5,N5)</f>
        <v>s1_node_survival_2_2</v>
      </c>
      <c r="B5" s="13" t="s">
        <v>0</v>
      </c>
      <c r="C5" s="13" t="s">
        <v>26</v>
      </c>
      <c r="D5" s="13" t="s">
        <v>102</v>
      </c>
      <c r="E5" s="13" t="str">
        <f>"s1_node_"&amp;D5&amp;"_name"</f>
        <v>s1_node_survival_name</v>
      </c>
      <c r="F5" s="13" t="str">
        <f>"s1_node_"&amp;D5&amp;"_desc"</f>
        <v>s1_node_survival_desc</v>
      </c>
      <c r="G5" s="13" t="s">
        <v>138</v>
      </c>
      <c r="H5" s="13">
        <v>1</v>
      </c>
      <c r="I5" s="13" t="s">
        <v>27</v>
      </c>
      <c r="J5" s="13" t="s">
        <v>140</v>
      </c>
      <c r="K5" s="13">
        <v>120</v>
      </c>
      <c r="L5" s="13">
        <v>3</v>
      </c>
      <c r="M5" s="13">
        <v>2</v>
      </c>
      <c r="N5" s="13">
        <v>2</v>
      </c>
      <c r="O5" s="13" t="s">
        <v>141</v>
      </c>
      <c r="P5" s="13"/>
      <c r="Q5" s="13"/>
      <c r="R5" s="13"/>
      <c r="S5" s="13"/>
      <c r="T5" s="13" t="str">
        <f>_xlfn.TEXTJOIN("_",TRUE,C5,"node_eff",D5,M5,N5)</f>
        <v>s1_node_eff_survival_2_2</v>
      </c>
    </row>
    <row r="6" spans="1:20" x14ac:dyDescent="0.45">
      <c r="A6" s="13" t="str">
        <f>_xlfn.TEXTJOIN("_",TRUE,C6,"node",D6,M6,N6)</f>
        <v>s1_node_survival_2_6</v>
      </c>
      <c r="B6" s="13" t="s">
        <v>0</v>
      </c>
      <c r="C6" s="13" t="s">
        <v>26</v>
      </c>
      <c r="D6" s="13" t="s">
        <v>102</v>
      </c>
      <c r="E6" s="13" t="str">
        <f>"s1_node_"&amp;D6&amp;"_name"</f>
        <v>s1_node_survival_name</v>
      </c>
      <c r="F6" s="13" t="str">
        <f>"s1_node_"&amp;D6&amp;"_desc"</f>
        <v>s1_node_survival_desc</v>
      </c>
      <c r="G6" s="13" t="s">
        <v>142</v>
      </c>
      <c r="H6" s="13">
        <v>1</v>
      </c>
      <c r="I6" s="13" t="s">
        <v>27</v>
      </c>
      <c r="J6" s="13" t="s">
        <v>140</v>
      </c>
      <c r="K6" s="13">
        <v>120</v>
      </c>
      <c r="L6" s="13">
        <v>3</v>
      </c>
      <c r="M6" s="13">
        <v>2</v>
      </c>
      <c r="N6" s="13">
        <v>6</v>
      </c>
      <c r="O6" s="13" t="s">
        <v>141</v>
      </c>
      <c r="P6" s="13"/>
      <c r="Q6" s="13"/>
      <c r="R6" s="13"/>
      <c r="S6" s="13"/>
      <c r="T6" s="13" t="str">
        <f>_xlfn.TEXTJOIN("_",TRUE,C6,"node_eff",D6,M6,N6)</f>
        <v>s1_node_eff_survival_2_6</v>
      </c>
    </row>
    <row r="7" spans="1:20" x14ac:dyDescent="0.45">
      <c r="A7" s="13" t="str">
        <f>_xlfn.TEXTJOIN("_",TRUE,C7,"node",D7,M7,N7)</f>
        <v>s1_node_survival_3_2</v>
      </c>
      <c r="B7" s="13" t="s">
        <v>0</v>
      </c>
      <c r="C7" s="13" t="s">
        <v>26</v>
      </c>
      <c r="D7" s="13" t="s">
        <v>102</v>
      </c>
      <c r="E7" s="13" t="str">
        <f>"s1_node_"&amp;D7&amp;"_name"</f>
        <v>s1_node_survival_name</v>
      </c>
      <c r="F7" s="13" t="str">
        <f>"s1_node_"&amp;D7&amp;"_desc"</f>
        <v>s1_node_survival_desc</v>
      </c>
      <c r="G7" s="13" t="s">
        <v>142</v>
      </c>
      <c r="H7" s="13">
        <v>1</v>
      </c>
      <c r="I7" s="13" t="s">
        <v>27</v>
      </c>
      <c r="J7" s="13" t="s">
        <v>143</v>
      </c>
      <c r="K7" s="13">
        <v>150</v>
      </c>
      <c r="L7" s="13">
        <v>3</v>
      </c>
      <c r="M7" s="13">
        <v>3</v>
      </c>
      <c r="N7" s="13">
        <v>2</v>
      </c>
      <c r="O7" s="13" t="s">
        <v>144</v>
      </c>
      <c r="P7" s="13"/>
      <c r="Q7" s="13"/>
      <c r="R7" s="13"/>
      <c r="S7" s="13"/>
      <c r="T7" s="13" t="str">
        <f>_xlfn.TEXTJOIN("_",TRUE,C7,"node_eff",D7,M7,N7)</f>
        <v>s1_node_eff_survival_3_2</v>
      </c>
    </row>
    <row r="8" spans="1:20" x14ac:dyDescent="0.45">
      <c r="A8" s="13" t="str">
        <f>_xlfn.TEXTJOIN("_",TRUE,C8,"node",D8,M8,N8)</f>
        <v>s1_node_survival_3_6</v>
      </c>
      <c r="B8" s="13" t="s">
        <v>0</v>
      </c>
      <c r="C8" s="13" t="s">
        <v>26</v>
      </c>
      <c r="D8" s="13" t="s">
        <v>102</v>
      </c>
      <c r="E8" s="13" t="str">
        <f>"s1_node_"&amp;D8&amp;"_name"</f>
        <v>s1_node_survival_name</v>
      </c>
      <c r="F8" s="13" t="str">
        <f>"s1_node_"&amp;D8&amp;"_desc"</f>
        <v>s1_node_survival_desc</v>
      </c>
      <c r="G8" s="13" t="s">
        <v>138</v>
      </c>
      <c r="H8" s="13">
        <v>1</v>
      </c>
      <c r="I8" s="13" t="s">
        <v>27</v>
      </c>
      <c r="J8" s="13" t="s">
        <v>143</v>
      </c>
      <c r="K8" s="13">
        <v>150</v>
      </c>
      <c r="L8" s="13">
        <v>3</v>
      </c>
      <c r="M8" s="13">
        <v>3</v>
      </c>
      <c r="N8" s="13">
        <v>6</v>
      </c>
      <c r="O8" s="13" t="s">
        <v>145</v>
      </c>
      <c r="P8" s="13"/>
      <c r="Q8" s="13"/>
      <c r="R8" s="13"/>
      <c r="S8" s="13"/>
      <c r="T8" s="13" t="str">
        <f>_xlfn.TEXTJOIN("_",TRUE,C8,"node_eff",D8,M8,N8)</f>
        <v>s1_node_eff_survival_3_6</v>
      </c>
    </row>
    <row r="9" spans="1:20" x14ac:dyDescent="0.45">
      <c r="A9" s="13" t="str">
        <f>_xlfn.TEXTJOIN("_",TRUE,C9,"node",D9,M9,N9)</f>
        <v>s1_node_survival_4_2</v>
      </c>
      <c r="B9" s="13" t="s">
        <v>0</v>
      </c>
      <c r="C9" s="13" t="s">
        <v>26</v>
      </c>
      <c r="D9" s="13" t="s">
        <v>102</v>
      </c>
      <c r="E9" s="13" t="str">
        <f>"s1_node_"&amp;D9&amp;"_name"</f>
        <v>s1_node_survival_name</v>
      </c>
      <c r="F9" s="13" t="str">
        <f>"s1_node_"&amp;D9&amp;"_desc"</f>
        <v>s1_node_survival_desc</v>
      </c>
      <c r="G9" s="13" t="s">
        <v>138</v>
      </c>
      <c r="H9" s="13">
        <v>1</v>
      </c>
      <c r="I9" s="13" t="s">
        <v>27</v>
      </c>
      <c r="J9" s="13" t="s">
        <v>146</v>
      </c>
      <c r="K9" s="13">
        <v>180</v>
      </c>
      <c r="L9" s="13">
        <v>3</v>
      </c>
      <c r="M9" s="13">
        <v>4</v>
      </c>
      <c r="N9" s="13">
        <v>2</v>
      </c>
      <c r="O9" s="13" t="s">
        <v>147</v>
      </c>
      <c r="P9" s="13"/>
      <c r="Q9" s="13"/>
      <c r="R9" s="13"/>
      <c r="S9" s="13"/>
      <c r="T9" s="13" t="str">
        <f>_xlfn.TEXTJOIN("_",TRUE,C9,"node_eff",D9,M9,N9)</f>
        <v>s1_node_eff_survival_4_2</v>
      </c>
    </row>
    <row r="10" spans="1:20" x14ac:dyDescent="0.45">
      <c r="A10" s="13" t="str">
        <f>_xlfn.TEXTJOIN("_",TRUE,C10,"node",D10,M10,N10)</f>
        <v>s1_node_survival_4_6</v>
      </c>
      <c r="B10" s="13" t="s">
        <v>0</v>
      </c>
      <c r="C10" s="13" t="s">
        <v>26</v>
      </c>
      <c r="D10" s="13" t="s">
        <v>102</v>
      </c>
      <c r="E10" s="13" t="str">
        <f>"s1_node_"&amp;D10&amp;"_name"</f>
        <v>s1_node_survival_name</v>
      </c>
      <c r="F10" s="13" t="str">
        <f>"s1_node_"&amp;D10&amp;"_desc"</f>
        <v>s1_node_survival_desc</v>
      </c>
      <c r="G10" s="13" t="s">
        <v>138</v>
      </c>
      <c r="H10" s="13">
        <v>1</v>
      </c>
      <c r="I10" s="13" t="s">
        <v>27</v>
      </c>
      <c r="J10" s="13" t="s">
        <v>146</v>
      </c>
      <c r="K10" s="13">
        <v>180</v>
      </c>
      <c r="L10" s="13">
        <v>3</v>
      </c>
      <c r="M10" s="13">
        <v>4</v>
      </c>
      <c r="N10" s="13">
        <v>6</v>
      </c>
      <c r="O10" s="13" t="s">
        <v>148</v>
      </c>
      <c r="P10" s="13"/>
      <c r="Q10" s="13"/>
      <c r="R10" s="13"/>
      <c r="S10" s="13"/>
      <c r="T10" s="13" t="str">
        <f>_xlfn.TEXTJOIN("_",TRUE,C10,"node_eff",D10,M10,N10)</f>
        <v>s1_node_eff_survival_4_6</v>
      </c>
    </row>
    <row r="11" spans="1:20" x14ac:dyDescent="0.45">
      <c r="A11" s="13" t="str">
        <f>_xlfn.TEXTJOIN("_",TRUE,C11,"node",D11,M11,N11)</f>
        <v>s1_node_survival_5_2</v>
      </c>
      <c r="B11" s="13" t="s">
        <v>0</v>
      </c>
      <c r="C11" s="13" t="s">
        <v>26</v>
      </c>
      <c r="D11" s="13" t="s">
        <v>102</v>
      </c>
      <c r="E11" s="13" t="str">
        <f>"s1_node_"&amp;D11&amp;"_name"</f>
        <v>s1_node_survival_name</v>
      </c>
      <c r="F11" s="13" t="str">
        <f>"s1_node_"&amp;D11&amp;"_desc"</f>
        <v>s1_node_survival_desc</v>
      </c>
      <c r="G11" s="13" t="s">
        <v>149</v>
      </c>
      <c r="H11" s="13">
        <v>1</v>
      </c>
      <c r="I11" s="13" t="s">
        <v>27</v>
      </c>
      <c r="J11" s="13" t="s">
        <v>150</v>
      </c>
      <c r="K11" s="13">
        <v>220</v>
      </c>
      <c r="L11" s="13">
        <v>3</v>
      </c>
      <c r="M11" s="13">
        <v>5</v>
      </c>
      <c r="N11" s="13">
        <v>2</v>
      </c>
      <c r="O11" s="13" t="s">
        <v>151</v>
      </c>
      <c r="P11" s="13"/>
      <c r="Q11" s="13"/>
      <c r="R11" s="13"/>
      <c r="S11" s="13"/>
      <c r="T11" s="13" t="str">
        <f>_xlfn.TEXTJOIN("_",TRUE,C11,"node_eff",D11,M11,N11)</f>
        <v>s1_node_eff_survival_5_2</v>
      </c>
    </row>
    <row r="12" spans="1:20" x14ac:dyDescent="0.45">
      <c r="A12" s="13" t="str">
        <f>_xlfn.TEXTJOIN("_",TRUE,C12,"node",D12,M12,N12)</f>
        <v>s1_node_survival_5_6</v>
      </c>
      <c r="B12" s="13" t="s">
        <v>0</v>
      </c>
      <c r="C12" s="13" t="s">
        <v>26</v>
      </c>
      <c r="D12" s="13" t="s">
        <v>102</v>
      </c>
      <c r="E12" s="13" t="str">
        <f>"s1_node_"&amp;D12&amp;"_name"</f>
        <v>s1_node_survival_name</v>
      </c>
      <c r="F12" s="13" t="str">
        <f>"s1_node_"&amp;D12&amp;"_desc"</f>
        <v>s1_node_survival_desc</v>
      </c>
      <c r="G12" s="13" t="s">
        <v>149</v>
      </c>
      <c r="H12" s="13">
        <v>1</v>
      </c>
      <c r="I12" s="13" t="s">
        <v>27</v>
      </c>
      <c r="J12" s="13" t="s">
        <v>150</v>
      </c>
      <c r="K12" s="13">
        <v>220</v>
      </c>
      <c r="L12" s="13">
        <v>3</v>
      </c>
      <c r="M12" s="13">
        <v>5</v>
      </c>
      <c r="N12" s="13">
        <v>6</v>
      </c>
      <c r="O12" s="13" t="s">
        <v>152</v>
      </c>
      <c r="P12" s="13"/>
      <c r="Q12" s="13"/>
      <c r="R12" s="13"/>
      <c r="S12" s="13"/>
      <c r="T12" s="13" t="str">
        <f>_xlfn.TEXTJOIN("_",TRUE,C12,"node_eff",D12,M12,N12)</f>
        <v>s1_node_eff_survival_5_6</v>
      </c>
    </row>
    <row r="13" spans="1:20" x14ac:dyDescent="0.45">
      <c r="A13" s="13" t="str">
        <f>_xlfn.TEXTJOIN("_",TRUE,C13,"node",D13,M13,N13)</f>
        <v>s1_node_survival_6_4</v>
      </c>
      <c r="B13" s="13" t="s">
        <v>0</v>
      </c>
      <c r="C13" s="13" t="s">
        <v>26</v>
      </c>
      <c r="D13" s="13" t="s">
        <v>102</v>
      </c>
      <c r="E13" s="13" t="str">
        <f>"s1_node_"&amp;D13&amp;"_name"</f>
        <v>s1_node_survival_name</v>
      </c>
      <c r="F13" s="13" t="str">
        <f>"s1_node_"&amp;D13&amp;"_desc"</f>
        <v>s1_node_survival_desc</v>
      </c>
      <c r="G13" s="13" t="s">
        <v>138</v>
      </c>
      <c r="H13" s="13">
        <v>1</v>
      </c>
      <c r="I13" s="13" t="s">
        <v>27</v>
      </c>
      <c r="J13" s="13" t="s">
        <v>153</v>
      </c>
      <c r="K13" s="13">
        <v>250</v>
      </c>
      <c r="L13" s="13">
        <v>3</v>
      </c>
      <c r="M13" s="13">
        <v>6</v>
      </c>
      <c r="N13" s="13">
        <v>4</v>
      </c>
      <c r="O13" s="13" t="s">
        <v>154</v>
      </c>
      <c r="P13" s="13" t="s">
        <v>155</v>
      </c>
      <c r="Q13" s="13"/>
      <c r="R13" s="13"/>
      <c r="S13" s="13"/>
      <c r="T13" s="13" t="str">
        <f>_xlfn.TEXTJOIN("_",TRUE,C13,"node_eff",D13,M13,N13)</f>
        <v>s1_node_eff_survival_6_4</v>
      </c>
    </row>
    <row r="14" spans="1:20" x14ac:dyDescent="0.45">
      <c r="A14" s="13" t="str">
        <f>_xlfn.TEXTJOIN("_",TRUE,C14,"node",D14,M14,N14)</f>
        <v>s1_node_survival_7_2</v>
      </c>
      <c r="B14" s="13" t="s">
        <v>0</v>
      </c>
      <c r="C14" s="13" t="s">
        <v>26</v>
      </c>
      <c r="D14" s="13" t="s">
        <v>102</v>
      </c>
      <c r="E14" s="13" t="str">
        <f>"s1_node_"&amp;D14&amp;"_name"</f>
        <v>s1_node_survival_name</v>
      </c>
      <c r="F14" s="13" t="str">
        <f>"s1_node_"&amp;D14&amp;"_desc"</f>
        <v>s1_node_survival_desc</v>
      </c>
      <c r="G14" s="13" t="s">
        <v>138</v>
      </c>
      <c r="H14" s="13">
        <v>1</v>
      </c>
      <c r="I14" s="13" t="s">
        <v>27</v>
      </c>
      <c r="J14" s="13" t="s">
        <v>156</v>
      </c>
      <c r="K14" s="13">
        <v>290</v>
      </c>
      <c r="L14" s="13">
        <v>3</v>
      </c>
      <c r="M14" s="13">
        <v>7</v>
      </c>
      <c r="N14" s="13">
        <v>2</v>
      </c>
      <c r="O14" s="13" t="s">
        <v>157</v>
      </c>
      <c r="P14" s="13"/>
      <c r="Q14" s="13"/>
      <c r="R14" s="13"/>
      <c r="S14" s="13"/>
      <c r="T14" s="13" t="str">
        <f>_xlfn.TEXTJOIN("_",TRUE,C14,"node_eff",D14,M14,N14)</f>
        <v>s1_node_eff_survival_7_2</v>
      </c>
    </row>
    <row r="15" spans="1:20" x14ac:dyDescent="0.45">
      <c r="A15" s="13" t="str">
        <f>_xlfn.TEXTJOIN("_",TRUE,C15,"node",D15,M15,N15)</f>
        <v>s1_node_survival_7_6</v>
      </c>
      <c r="B15" s="13" t="s">
        <v>0</v>
      </c>
      <c r="C15" s="13" t="s">
        <v>26</v>
      </c>
      <c r="D15" s="13" t="s">
        <v>102</v>
      </c>
      <c r="E15" s="13" t="str">
        <f>"s1_node_"&amp;D15&amp;"_name"</f>
        <v>s1_node_survival_name</v>
      </c>
      <c r="F15" s="13" t="str">
        <f>"s1_node_"&amp;D15&amp;"_desc"</f>
        <v>s1_node_survival_desc</v>
      </c>
      <c r="G15" s="13" t="s">
        <v>142</v>
      </c>
      <c r="H15" s="13">
        <v>1</v>
      </c>
      <c r="I15" s="13" t="s">
        <v>27</v>
      </c>
      <c r="J15" s="13" t="s">
        <v>156</v>
      </c>
      <c r="K15" s="13">
        <v>290</v>
      </c>
      <c r="L15" s="13">
        <v>3</v>
      </c>
      <c r="M15" s="13">
        <v>7</v>
      </c>
      <c r="N15" s="13">
        <v>6</v>
      </c>
      <c r="O15" s="13" t="s">
        <v>157</v>
      </c>
      <c r="P15" s="13"/>
      <c r="Q15" s="13"/>
      <c r="R15" s="13"/>
      <c r="S15" s="13"/>
      <c r="T15" s="13" t="str">
        <f>_xlfn.TEXTJOIN("_",TRUE,C15,"node_eff",D15,M15,N15)</f>
        <v>s1_node_eff_survival_7_6</v>
      </c>
    </row>
    <row r="16" spans="1:20" x14ac:dyDescent="0.45">
      <c r="A16" s="13" t="str">
        <f>_xlfn.TEXTJOIN("_",TRUE,C16,"node",D16,M16,N16)</f>
        <v>s1_node_survival_8_2</v>
      </c>
      <c r="B16" s="13" t="s">
        <v>0</v>
      </c>
      <c r="C16" s="13" t="s">
        <v>26</v>
      </c>
      <c r="D16" s="13" t="s">
        <v>102</v>
      </c>
      <c r="E16" s="13" t="str">
        <f>"s1_node_"&amp;D16&amp;"_name"</f>
        <v>s1_node_survival_name</v>
      </c>
      <c r="F16" s="13" t="str">
        <f>"s1_node_"&amp;D16&amp;"_desc"</f>
        <v>s1_node_survival_desc</v>
      </c>
      <c r="G16" s="13" t="s">
        <v>142</v>
      </c>
      <c r="H16" s="13">
        <v>1</v>
      </c>
      <c r="I16" s="13" t="s">
        <v>27</v>
      </c>
      <c r="J16" s="13" t="s">
        <v>158</v>
      </c>
      <c r="K16" s="13">
        <v>320</v>
      </c>
      <c r="L16" s="13">
        <v>3</v>
      </c>
      <c r="M16" s="13">
        <v>8</v>
      </c>
      <c r="N16" s="13">
        <v>2</v>
      </c>
      <c r="O16" s="13" t="s">
        <v>159</v>
      </c>
      <c r="P16" s="13"/>
      <c r="Q16" s="13"/>
      <c r="R16" s="13"/>
      <c r="S16" s="13"/>
      <c r="T16" s="13" t="str">
        <f>_xlfn.TEXTJOIN("_",TRUE,C16,"node_eff",D16,M16,N16)</f>
        <v>s1_node_eff_survival_8_2</v>
      </c>
    </row>
    <row r="17" spans="1:20" x14ac:dyDescent="0.45">
      <c r="A17" s="13" t="str">
        <f>_xlfn.TEXTJOIN("_",TRUE,C17,"node",D17,M17,N17)</f>
        <v>s1_node_survival_8_6</v>
      </c>
      <c r="B17" s="13" t="s">
        <v>0</v>
      </c>
      <c r="C17" s="13" t="s">
        <v>26</v>
      </c>
      <c r="D17" s="13" t="s">
        <v>102</v>
      </c>
      <c r="E17" s="13" t="str">
        <f>"s1_node_"&amp;D17&amp;"_name"</f>
        <v>s1_node_survival_name</v>
      </c>
      <c r="F17" s="13" t="str">
        <f>"s1_node_"&amp;D17&amp;"_desc"</f>
        <v>s1_node_survival_desc</v>
      </c>
      <c r="G17" s="13" t="s">
        <v>138</v>
      </c>
      <c r="H17" s="13">
        <v>1</v>
      </c>
      <c r="I17" s="13" t="s">
        <v>27</v>
      </c>
      <c r="J17" s="13" t="s">
        <v>158</v>
      </c>
      <c r="K17" s="13">
        <v>320</v>
      </c>
      <c r="L17" s="13">
        <v>3</v>
      </c>
      <c r="M17" s="13">
        <v>8</v>
      </c>
      <c r="N17" s="13">
        <v>6</v>
      </c>
      <c r="O17" s="13" t="s">
        <v>160</v>
      </c>
      <c r="P17" s="13"/>
      <c r="Q17" s="13"/>
      <c r="R17" s="13"/>
      <c r="S17" s="13"/>
      <c r="T17" s="13" t="str">
        <f>_xlfn.TEXTJOIN("_",TRUE,C17,"node_eff",D17,M17,N17)</f>
        <v>s1_node_eff_survival_8_6</v>
      </c>
    </row>
    <row r="18" spans="1:20" x14ac:dyDescent="0.45">
      <c r="A18" s="13" t="str">
        <f>_xlfn.TEXTJOIN("_",TRUE,C18,"node",D18,M18,N18)</f>
        <v>s1_node_survival_9_2</v>
      </c>
      <c r="B18" s="13" t="s">
        <v>0</v>
      </c>
      <c r="C18" s="13" t="s">
        <v>26</v>
      </c>
      <c r="D18" s="13" t="s">
        <v>102</v>
      </c>
      <c r="E18" s="13" t="str">
        <f>"s1_node_"&amp;D18&amp;"_name"</f>
        <v>s1_node_survival_name</v>
      </c>
      <c r="F18" s="13" t="str">
        <f>"s1_node_"&amp;D18&amp;"_desc"</f>
        <v>s1_node_survival_desc</v>
      </c>
      <c r="G18" s="13" t="s">
        <v>138</v>
      </c>
      <c r="H18" s="13">
        <v>1</v>
      </c>
      <c r="I18" s="13" t="s">
        <v>27</v>
      </c>
      <c r="J18" s="13" t="s">
        <v>161</v>
      </c>
      <c r="K18" s="13">
        <v>360</v>
      </c>
      <c r="L18" s="13">
        <v>3</v>
      </c>
      <c r="M18" s="13">
        <v>9</v>
      </c>
      <c r="N18" s="13">
        <v>2</v>
      </c>
      <c r="O18" s="13" t="s">
        <v>162</v>
      </c>
      <c r="P18" s="13"/>
      <c r="Q18" s="13"/>
      <c r="R18" s="13"/>
      <c r="S18" s="13"/>
      <c r="T18" s="13" t="str">
        <f>_xlfn.TEXTJOIN("_",TRUE,C18,"node_eff",D18,M18,N18)</f>
        <v>s1_node_eff_survival_9_2</v>
      </c>
    </row>
    <row r="19" spans="1:20" x14ac:dyDescent="0.45">
      <c r="A19" s="13" t="str">
        <f>_xlfn.TEXTJOIN("_",TRUE,C19,"node",D19,M19,N19)</f>
        <v>s1_node_survival_9_6</v>
      </c>
      <c r="B19" s="13" t="s">
        <v>0</v>
      </c>
      <c r="C19" s="13" t="s">
        <v>26</v>
      </c>
      <c r="D19" s="13" t="s">
        <v>102</v>
      </c>
      <c r="E19" s="13" t="str">
        <f>"s1_node_"&amp;D19&amp;"_name"</f>
        <v>s1_node_survival_name</v>
      </c>
      <c r="F19" s="13" t="str">
        <f>"s1_node_"&amp;D19&amp;"_desc"</f>
        <v>s1_node_survival_desc</v>
      </c>
      <c r="G19" s="13" t="s">
        <v>138</v>
      </c>
      <c r="H19" s="13">
        <v>1</v>
      </c>
      <c r="I19" s="13" t="s">
        <v>27</v>
      </c>
      <c r="J19" s="13" t="s">
        <v>161</v>
      </c>
      <c r="K19" s="13">
        <v>360</v>
      </c>
      <c r="L19" s="13">
        <v>3</v>
      </c>
      <c r="M19" s="13">
        <v>9</v>
      </c>
      <c r="N19" s="13">
        <v>6</v>
      </c>
      <c r="O19" s="13" t="s">
        <v>163</v>
      </c>
      <c r="P19" s="13"/>
      <c r="Q19" s="13"/>
      <c r="R19" s="13"/>
      <c r="S19" s="13"/>
      <c r="T19" s="13" t="str">
        <f>_xlfn.TEXTJOIN("_",TRUE,C19,"node_eff",D19,M19,N19)</f>
        <v>s1_node_eff_survival_9_6</v>
      </c>
    </row>
    <row r="20" spans="1:20" x14ac:dyDescent="0.45">
      <c r="A20" s="13" t="str">
        <f>_xlfn.TEXTJOIN("_",TRUE,C20,"node",D20,M20,N20)</f>
        <v>s1_node_survival_10_2</v>
      </c>
      <c r="B20" s="13" t="s">
        <v>0</v>
      </c>
      <c r="C20" s="13" t="s">
        <v>26</v>
      </c>
      <c r="D20" s="13" t="s">
        <v>102</v>
      </c>
      <c r="E20" s="13" t="str">
        <f>"s1_node_"&amp;D20&amp;"_name"</f>
        <v>s1_node_survival_name</v>
      </c>
      <c r="F20" s="13" t="str">
        <f>"s1_node_"&amp;D20&amp;"_desc"</f>
        <v>s1_node_survival_desc</v>
      </c>
      <c r="G20" s="13" t="s">
        <v>149</v>
      </c>
      <c r="H20" s="13">
        <v>1</v>
      </c>
      <c r="I20" s="13" t="s">
        <v>27</v>
      </c>
      <c r="J20" s="13" t="s">
        <v>164</v>
      </c>
      <c r="K20" s="13">
        <v>390</v>
      </c>
      <c r="L20" s="13">
        <v>3</v>
      </c>
      <c r="M20" s="13">
        <v>10</v>
      </c>
      <c r="N20" s="13">
        <v>2</v>
      </c>
      <c r="O20" s="13" t="s">
        <v>165</v>
      </c>
      <c r="P20" s="13"/>
      <c r="Q20" s="13"/>
      <c r="R20" s="13"/>
      <c r="S20" s="13"/>
      <c r="T20" s="13" t="str">
        <f>_xlfn.TEXTJOIN("_",TRUE,C20,"node_eff",D20,M20,N20)</f>
        <v>s1_node_eff_survival_10_2</v>
      </c>
    </row>
    <row r="21" spans="1:20" x14ac:dyDescent="0.45">
      <c r="A21" s="13" t="str">
        <f>_xlfn.TEXTJOIN("_",TRUE,C21,"node",D21,M21,N21)</f>
        <v>s1_node_survival_10_6</v>
      </c>
      <c r="B21" s="13" t="s">
        <v>0</v>
      </c>
      <c r="C21" s="13" t="s">
        <v>26</v>
      </c>
      <c r="D21" s="13" t="s">
        <v>102</v>
      </c>
      <c r="E21" s="13" t="str">
        <f>"s1_node_"&amp;D21&amp;"_name"</f>
        <v>s1_node_survival_name</v>
      </c>
      <c r="F21" s="13" t="str">
        <f>"s1_node_"&amp;D21&amp;"_desc"</f>
        <v>s1_node_survival_desc</v>
      </c>
      <c r="G21" s="13" t="s">
        <v>149</v>
      </c>
      <c r="H21" s="13">
        <v>1</v>
      </c>
      <c r="I21" s="13" t="s">
        <v>27</v>
      </c>
      <c r="J21" s="13" t="s">
        <v>164</v>
      </c>
      <c r="K21" s="13">
        <v>390</v>
      </c>
      <c r="L21" s="13">
        <v>3</v>
      </c>
      <c r="M21" s="13">
        <v>10</v>
      </c>
      <c r="N21" s="13">
        <v>6</v>
      </c>
      <c r="O21" s="13" t="s">
        <v>166</v>
      </c>
      <c r="P21" s="13"/>
      <c r="Q21" s="13"/>
      <c r="R21" s="13"/>
      <c r="S21" s="13"/>
      <c r="T21" s="13" t="str">
        <f>_xlfn.TEXTJOIN("_",TRUE,C21,"node_eff",D21,M21,N21)</f>
        <v>s1_node_eff_survival_10_6</v>
      </c>
    </row>
    <row r="22" spans="1:20" x14ac:dyDescent="0.45">
      <c r="A22" s="13" t="str">
        <f>_xlfn.TEXTJOIN("_",TRUE,C22,"node",D22,M22,N22)</f>
        <v>s1_node_survival_11_4</v>
      </c>
      <c r="B22" s="13" t="s">
        <v>0</v>
      </c>
      <c r="C22" s="13" t="s">
        <v>26</v>
      </c>
      <c r="D22" s="13" t="s">
        <v>102</v>
      </c>
      <c r="E22" s="13" t="str">
        <f>"s1_node_"&amp;D22&amp;"_name"</f>
        <v>s1_node_survival_name</v>
      </c>
      <c r="F22" s="13" t="str">
        <f>"s1_node_"&amp;D22&amp;"_desc"</f>
        <v>s1_node_survival_desc</v>
      </c>
      <c r="G22" s="13" t="s">
        <v>138</v>
      </c>
      <c r="H22" s="13">
        <v>1</v>
      </c>
      <c r="I22" s="13" t="s">
        <v>27</v>
      </c>
      <c r="J22" s="13" t="s">
        <v>167</v>
      </c>
      <c r="K22" s="13">
        <v>430</v>
      </c>
      <c r="L22" s="13">
        <v>3</v>
      </c>
      <c r="M22" s="13">
        <v>11</v>
      </c>
      <c r="N22" s="13">
        <v>4</v>
      </c>
      <c r="O22" s="13" t="s">
        <v>168</v>
      </c>
      <c r="P22" s="13" t="s">
        <v>169</v>
      </c>
      <c r="Q22" s="13"/>
      <c r="R22" s="13"/>
      <c r="S22" s="13"/>
      <c r="T22" s="13" t="str">
        <f>_xlfn.TEXTJOIN("_",TRUE,C22,"node_eff",D22,M22,N22)</f>
        <v>s1_node_eff_survival_11_4</v>
      </c>
    </row>
    <row r="23" spans="1:20" x14ac:dyDescent="0.45">
      <c r="A23" s="13" t="str">
        <f>_xlfn.TEXTJOIN("_",TRUE,C23,"node",D23,M23,N23)</f>
        <v>s1_node_survival_12_2</v>
      </c>
      <c r="B23" s="13" t="s">
        <v>0</v>
      </c>
      <c r="C23" s="13" t="s">
        <v>26</v>
      </c>
      <c r="D23" s="13" t="s">
        <v>102</v>
      </c>
      <c r="E23" s="13" t="str">
        <f>"s1_node_"&amp;D23&amp;"_name"</f>
        <v>s1_node_survival_name</v>
      </c>
      <c r="F23" s="13" t="str">
        <f>"s1_node_"&amp;D23&amp;"_desc"</f>
        <v>s1_node_survival_desc</v>
      </c>
      <c r="G23" s="13" t="s">
        <v>138</v>
      </c>
      <c r="H23" s="13">
        <v>1</v>
      </c>
      <c r="I23" s="13" t="s">
        <v>27</v>
      </c>
      <c r="J23" s="13" t="s">
        <v>170</v>
      </c>
      <c r="K23" s="13">
        <v>460</v>
      </c>
      <c r="L23" s="13">
        <v>3</v>
      </c>
      <c r="M23" s="13">
        <v>12</v>
      </c>
      <c r="N23" s="13">
        <v>2</v>
      </c>
      <c r="O23" s="13" t="s">
        <v>171</v>
      </c>
      <c r="P23" s="13"/>
      <c r="Q23" s="13"/>
      <c r="R23" s="13"/>
      <c r="S23" s="13"/>
      <c r="T23" s="13" t="str">
        <f>_xlfn.TEXTJOIN("_",TRUE,C23,"node_eff",D23,M23,N23)</f>
        <v>s1_node_eff_survival_12_2</v>
      </c>
    </row>
    <row r="24" spans="1:20" x14ac:dyDescent="0.45">
      <c r="A24" s="13" t="str">
        <f>_xlfn.TEXTJOIN("_",TRUE,C24,"node",D24,M24,N24)</f>
        <v>s1_node_survival_12_6</v>
      </c>
      <c r="B24" s="13" t="s">
        <v>0</v>
      </c>
      <c r="C24" s="13" t="s">
        <v>26</v>
      </c>
      <c r="D24" s="13" t="s">
        <v>102</v>
      </c>
      <c r="E24" s="13" t="str">
        <f>"s1_node_"&amp;D24&amp;"_name"</f>
        <v>s1_node_survival_name</v>
      </c>
      <c r="F24" s="13" t="str">
        <f>"s1_node_"&amp;D24&amp;"_desc"</f>
        <v>s1_node_survival_desc</v>
      </c>
      <c r="G24" s="13" t="s">
        <v>142</v>
      </c>
      <c r="H24" s="13">
        <v>1</v>
      </c>
      <c r="I24" s="13" t="s">
        <v>27</v>
      </c>
      <c r="J24" s="13" t="s">
        <v>170</v>
      </c>
      <c r="K24" s="13">
        <v>460</v>
      </c>
      <c r="L24" s="13">
        <v>3</v>
      </c>
      <c r="M24" s="13">
        <v>12</v>
      </c>
      <c r="N24" s="13">
        <v>6</v>
      </c>
      <c r="O24" s="13" t="s">
        <v>171</v>
      </c>
      <c r="P24" s="13"/>
      <c r="Q24" s="13"/>
      <c r="R24" s="13"/>
      <c r="S24" s="13"/>
      <c r="T24" s="13" t="str">
        <f>_xlfn.TEXTJOIN("_",TRUE,C24,"node_eff",D24,M24,N24)</f>
        <v>s1_node_eff_survival_12_6</v>
      </c>
    </row>
    <row r="25" spans="1:20" x14ac:dyDescent="0.45">
      <c r="A25" s="13" t="str">
        <f>_xlfn.TEXTJOIN("_",TRUE,C25,"node",D25,M25,N25)</f>
        <v>s1_node_survival_13_2</v>
      </c>
      <c r="B25" s="13" t="s">
        <v>0</v>
      </c>
      <c r="C25" s="13" t="s">
        <v>26</v>
      </c>
      <c r="D25" s="13" t="s">
        <v>102</v>
      </c>
      <c r="E25" s="13" t="str">
        <f>"s1_node_"&amp;D25&amp;"_name"</f>
        <v>s1_node_survival_name</v>
      </c>
      <c r="F25" s="13" t="str">
        <f>"s1_node_"&amp;D25&amp;"_desc"</f>
        <v>s1_node_survival_desc</v>
      </c>
      <c r="G25" s="13" t="s">
        <v>142</v>
      </c>
      <c r="H25" s="13">
        <v>1</v>
      </c>
      <c r="I25" s="13" t="s">
        <v>27</v>
      </c>
      <c r="J25" s="13" t="s">
        <v>172</v>
      </c>
      <c r="K25" s="13">
        <v>500</v>
      </c>
      <c r="L25" s="13">
        <v>3</v>
      </c>
      <c r="M25" s="13">
        <v>13</v>
      </c>
      <c r="N25" s="13">
        <v>2</v>
      </c>
      <c r="O25" s="13" t="s">
        <v>173</v>
      </c>
      <c r="P25" s="13"/>
      <c r="Q25" s="13"/>
      <c r="R25" s="13"/>
      <c r="S25" s="13"/>
      <c r="T25" s="13" t="str">
        <f>_xlfn.TEXTJOIN("_",TRUE,C25,"node_eff",D25,M25,N25)</f>
        <v>s1_node_eff_survival_13_2</v>
      </c>
    </row>
    <row r="26" spans="1:20" x14ac:dyDescent="0.45">
      <c r="A26" s="13" t="str">
        <f>_xlfn.TEXTJOIN("_",TRUE,C26,"node",D26,M26,N26)</f>
        <v>s1_node_survival_13_6</v>
      </c>
      <c r="B26" s="13" t="s">
        <v>0</v>
      </c>
      <c r="C26" s="13" t="s">
        <v>26</v>
      </c>
      <c r="D26" s="13" t="s">
        <v>102</v>
      </c>
      <c r="E26" s="13" t="str">
        <f>"s1_node_"&amp;D26&amp;"_name"</f>
        <v>s1_node_survival_name</v>
      </c>
      <c r="F26" s="13" t="str">
        <f>"s1_node_"&amp;D26&amp;"_desc"</f>
        <v>s1_node_survival_desc</v>
      </c>
      <c r="G26" s="13" t="s">
        <v>138</v>
      </c>
      <c r="H26" s="13">
        <v>1</v>
      </c>
      <c r="I26" s="13" t="s">
        <v>27</v>
      </c>
      <c r="J26" s="13" t="s">
        <v>172</v>
      </c>
      <c r="K26" s="13">
        <v>500</v>
      </c>
      <c r="L26" s="13">
        <v>3</v>
      </c>
      <c r="M26" s="13">
        <v>13</v>
      </c>
      <c r="N26" s="13">
        <v>6</v>
      </c>
      <c r="O26" s="13" t="s">
        <v>174</v>
      </c>
      <c r="P26" s="13"/>
      <c r="Q26" s="13"/>
      <c r="R26" s="13"/>
      <c r="S26" s="13"/>
      <c r="T26" s="13" t="str">
        <f>_xlfn.TEXTJOIN("_",TRUE,C26,"node_eff",D26,M26,N26)</f>
        <v>s1_node_eff_survival_13_6</v>
      </c>
    </row>
    <row r="27" spans="1:20" x14ac:dyDescent="0.45">
      <c r="A27" s="13" t="str">
        <f>_xlfn.TEXTJOIN("_",TRUE,C27,"node",D27,M27,N27)</f>
        <v>s1_node_survival_14_2</v>
      </c>
      <c r="B27" s="13" t="s">
        <v>0</v>
      </c>
      <c r="C27" s="13" t="s">
        <v>26</v>
      </c>
      <c r="D27" s="13" t="s">
        <v>102</v>
      </c>
      <c r="E27" s="13" t="str">
        <f>"s1_node_"&amp;D27&amp;"_name"</f>
        <v>s1_node_survival_name</v>
      </c>
      <c r="F27" s="13" t="str">
        <f>"s1_node_"&amp;D27&amp;"_desc"</f>
        <v>s1_node_survival_desc</v>
      </c>
      <c r="G27" s="13" t="s">
        <v>138</v>
      </c>
      <c r="H27" s="13">
        <v>1</v>
      </c>
      <c r="I27" s="13" t="s">
        <v>27</v>
      </c>
      <c r="J27" s="13" t="s">
        <v>175</v>
      </c>
      <c r="K27" s="13">
        <v>530</v>
      </c>
      <c r="L27" s="13">
        <v>3</v>
      </c>
      <c r="M27" s="13">
        <v>14</v>
      </c>
      <c r="N27" s="13">
        <v>2</v>
      </c>
      <c r="O27" s="13" t="s">
        <v>176</v>
      </c>
      <c r="P27" s="13"/>
      <c r="Q27" s="13"/>
      <c r="R27" s="13"/>
      <c r="S27" s="13"/>
      <c r="T27" s="13" t="str">
        <f>_xlfn.TEXTJOIN("_",TRUE,C27,"node_eff",D27,M27,N27)</f>
        <v>s1_node_eff_survival_14_2</v>
      </c>
    </row>
    <row r="28" spans="1:20" x14ac:dyDescent="0.45">
      <c r="A28" s="13" t="str">
        <f>_xlfn.TEXTJOIN("_",TRUE,C28,"node",D28,M28,N28)</f>
        <v>s1_node_survival_14_6</v>
      </c>
      <c r="B28" s="13" t="s">
        <v>0</v>
      </c>
      <c r="C28" s="13" t="s">
        <v>26</v>
      </c>
      <c r="D28" s="13" t="s">
        <v>102</v>
      </c>
      <c r="E28" s="13" t="str">
        <f>"s1_node_"&amp;D28&amp;"_name"</f>
        <v>s1_node_survival_name</v>
      </c>
      <c r="F28" s="13" t="str">
        <f>"s1_node_"&amp;D28&amp;"_desc"</f>
        <v>s1_node_survival_desc</v>
      </c>
      <c r="G28" s="13" t="s">
        <v>138</v>
      </c>
      <c r="H28" s="13">
        <v>1</v>
      </c>
      <c r="I28" s="13" t="s">
        <v>27</v>
      </c>
      <c r="J28" s="13" t="s">
        <v>175</v>
      </c>
      <c r="K28" s="13">
        <v>530</v>
      </c>
      <c r="L28" s="13">
        <v>3</v>
      </c>
      <c r="M28" s="13">
        <v>14</v>
      </c>
      <c r="N28" s="13">
        <v>6</v>
      </c>
      <c r="O28" s="13" t="s">
        <v>177</v>
      </c>
      <c r="P28" s="13"/>
      <c r="Q28" s="13"/>
      <c r="R28" s="13"/>
      <c r="S28" s="13"/>
      <c r="T28" s="13" t="str">
        <f>_xlfn.TEXTJOIN("_",TRUE,C28,"node_eff",D28,M28,N28)</f>
        <v>s1_node_eff_survival_14_6</v>
      </c>
    </row>
    <row r="29" spans="1:20" x14ac:dyDescent="0.45">
      <c r="A29" s="13" t="str">
        <f>_xlfn.TEXTJOIN("_",TRUE,C29,"node",D29,M29,N29)</f>
        <v>s1_node_survival_15_2</v>
      </c>
      <c r="B29" s="13" t="s">
        <v>0</v>
      </c>
      <c r="C29" s="13" t="s">
        <v>26</v>
      </c>
      <c r="D29" s="13" t="s">
        <v>102</v>
      </c>
      <c r="E29" s="13" t="str">
        <f>"s1_node_"&amp;D29&amp;"_name"</f>
        <v>s1_node_survival_name</v>
      </c>
      <c r="F29" s="13" t="str">
        <f>"s1_node_"&amp;D29&amp;"_desc"</f>
        <v>s1_node_survival_desc</v>
      </c>
      <c r="G29" s="13" t="s">
        <v>149</v>
      </c>
      <c r="H29" s="13">
        <v>1</v>
      </c>
      <c r="I29" s="13" t="s">
        <v>27</v>
      </c>
      <c r="J29" s="13" t="s">
        <v>178</v>
      </c>
      <c r="K29" s="13">
        <v>570</v>
      </c>
      <c r="L29" s="13">
        <v>3</v>
      </c>
      <c r="M29" s="13">
        <v>15</v>
      </c>
      <c r="N29" s="13">
        <v>2</v>
      </c>
      <c r="O29" s="13" t="s">
        <v>179</v>
      </c>
      <c r="P29" s="13"/>
      <c r="Q29" s="13"/>
      <c r="R29" s="13"/>
      <c r="S29" s="13"/>
      <c r="T29" s="13" t="str">
        <f>_xlfn.TEXTJOIN("_",TRUE,C29,"node_eff",D29,M29,N29)</f>
        <v>s1_node_eff_survival_15_2</v>
      </c>
    </row>
    <row r="30" spans="1:20" x14ac:dyDescent="0.45">
      <c r="A30" s="13" t="str">
        <f>_xlfn.TEXTJOIN("_",TRUE,C30,"node",D30,M30,N30)</f>
        <v>s1_node_survival_15_6</v>
      </c>
      <c r="B30" s="13" t="s">
        <v>0</v>
      </c>
      <c r="C30" s="13" t="s">
        <v>26</v>
      </c>
      <c r="D30" s="13" t="s">
        <v>102</v>
      </c>
      <c r="E30" s="13" t="str">
        <f>"s1_node_"&amp;D30&amp;"_name"</f>
        <v>s1_node_survival_name</v>
      </c>
      <c r="F30" s="13" t="str">
        <f>"s1_node_"&amp;D30&amp;"_desc"</f>
        <v>s1_node_survival_desc</v>
      </c>
      <c r="G30" s="13" t="s">
        <v>149</v>
      </c>
      <c r="H30" s="13">
        <v>1</v>
      </c>
      <c r="I30" s="13" t="s">
        <v>27</v>
      </c>
      <c r="J30" s="13" t="s">
        <v>178</v>
      </c>
      <c r="K30" s="13">
        <v>570</v>
      </c>
      <c r="L30" s="13">
        <v>3</v>
      </c>
      <c r="M30" s="13">
        <v>15</v>
      </c>
      <c r="N30" s="13">
        <v>6</v>
      </c>
      <c r="O30" s="13" t="s">
        <v>180</v>
      </c>
      <c r="P30" s="13"/>
      <c r="Q30" s="13"/>
      <c r="R30" s="13"/>
      <c r="S30" s="13"/>
      <c r="T30" s="13" t="str">
        <f>_xlfn.TEXTJOIN("_",TRUE,C30,"node_eff",D30,M30,N30)</f>
        <v>s1_node_eff_survival_15_6</v>
      </c>
    </row>
    <row r="31" spans="1:20" x14ac:dyDescent="0.45">
      <c r="A31" s="13" t="str">
        <f>_xlfn.TEXTJOIN("_",TRUE,C31,"node",D31,M31,N31)</f>
        <v>s1_node_survival_16_4</v>
      </c>
      <c r="B31" s="13" t="s">
        <v>0</v>
      </c>
      <c r="C31" s="13" t="s">
        <v>26</v>
      </c>
      <c r="D31" s="13" t="s">
        <v>102</v>
      </c>
      <c r="E31" s="13" t="str">
        <f>"s1_node_"&amp;D31&amp;"_name"</f>
        <v>s1_node_survival_name</v>
      </c>
      <c r="F31" s="13" t="str">
        <f>"s1_node_"&amp;D31&amp;"_desc"</f>
        <v>s1_node_survival_desc</v>
      </c>
      <c r="G31" s="13" t="s">
        <v>138</v>
      </c>
      <c r="H31" s="13">
        <v>1</v>
      </c>
      <c r="I31" s="13" t="s">
        <v>27</v>
      </c>
      <c r="J31" s="13" t="s">
        <v>181</v>
      </c>
      <c r="K31" s="13">
        <v>600</v>
      </c>
      <c r="L31" s="13">
        <v>3</v>
      </c>
      <c r="M31" s="13">
        <v>16</v>
      </c>
      <c r="N31" s="13">
        <v>4</v>
      </c>
      <c r="O31" s="13" t="s">
        <v>182</v>
      </c>
      <c r="P31" s="13" t="s">
        <v>183</v>
      </c>
      <c r="Q31" s="13"/>
      <c r="R31" s="13"/>
      <c r="S31" s="13"/>
      <c r="T31" s="13" t="str">
        <f>_xlfn.TEXTJOIN("_",TRUE,C31,"node_eff",D31,M31,N31)</f>
        <v>s1_node_eff_survival_16_4</v>
      </c>
    </row>
    <row r="32" spans="1:20" x14ac:dyDescent="0.45">
      <c r="A32" s="13" t="str">
        <f>_xlfn.TEXTJOIN("_",TRUE,C32,"node",D32,M32,N32)</f>
        <v>s1_node_survival_17_2</v>
      </c>
      <c r="B32" s="13" t="s">
        <v>0</v>
      </c>
      <c r="C32" s="13" t="s">
        <v>26</v>
      </c>
      <c r="D32" s="13" t="s">
        <v>102</v>
      </c>
      <c r="E32" s="13" t="str">
        <f>"s1_node_"&amp;D32&amp;"_name"</f>
        <v>s1_node_survival_name</v>
      </c>
      <c r="F32" s="13" t="str">
        <f>"s1_node_"&amp;D32&amp;"_desc"</f>
        <v>s1_node_survival_desc</v>
      </c>
      <c r="G32" s="13" t="s">
        <v>138</v>
      </c>
      <c r="H32" s="13">
        <v>1</v>
      </c>
      <c r="I32" s="13" t="s">
        <v>27</v>
      </c>
      <c r="J32" s="13" t="s">
        <v>184</v>
      </c>
      <c r="K32" s="13">
        <v>640</v>
      </c>
      <c r="L32" s="13">
        <v>3</v>
      </c>
      <c r="M32" s="13">
        <v>17</v>
      </c>
      <c r="N32" s="13">
        <v>2</v>
      </c>
      <c r="O32" s="13" t="s">
        <v>185</v>
      </c>
      <c r="P32" s="13"/>
      <c r="Q32" s="13"/>
      <c r="R32" s="13"/>
      <c r="S32" s="13"/>
      <c r="T32" s="13" t="str">
        <f>_xlfn.TEXTJOIN("_",TRUE,C32,"node_eff",D32,M32,N32)</f>
        <v>s1_node_eff_survival_17_2</v>
      </c>
    </row>
    <row r="33" spans="1:20" x14ac:dyDescent="0.45">
      <c r="A33" s="13" t="str">
        <f>_xlfn.TEXTJOIN("_",TRUE,C33,"node",D33,M33,N33)</f>
        <v>s1_node_survival_17_6</v>
      </c>
      <c r="B33" s="13" t="s">
        <v>0</v>
      </c>
      <c r="C33" s="13" t="s">
        <v>26</v>
      </c>
      <c r="D33" s="13" t="s">
        <v>102</v>
      </c>
      <c r="E33" s="13" t="str">
        <f>"s1_node_"&amp;D33&amp;"_name"</f>
        <v>s1_node_survival_name</v>
      </c>
      <c r="F33" s="13" t="str">
        <f>"s1_node_"&amp;D33&amp;"_desc"</f>
        <v>s1_node_survival_desc</v>
      </c>
      <c r="G33" s="13" t="s">
        <v>142</v>
      </c>
      <c r="H33" s="13">
        <v>1</v>
      </c>
      <c r="I33" s="13" t="s">
        <v>27</v>
      </c>
      <c r="J33" s="13" t="s">
        <v>184</v>
      </c>
      <c r="K33" s="13">
        <v>640</v>
      </c>
      <c r="L33" s="13">
        <v>3</v>
      </c>
      <c r="M33" s="13">
        <v>17</v>
      </c>
      <c r="N33" s="13">
        <v>6</v>
      </c>
      <c r="O33" s="13" t="s">
        <v>185</v>
      </c>
      <c r="P33" s="13"/>
      <c r="Q33" s="13"/>
      <c r="R33" s="13"/>
      <c r="S33" s="13"/>
      <c r="T33" s="13" t="str">
        <f>_xlfn.TEXTJOIN("_",TRUE,C33,"node_eff",D33,M33,N33)</f>
        <v>s1_node_eff_survival_17_6</v>
      </c>
    </row>
    <row r="34" spans="1:20" x14ac:dyDescent="0.45">
      <c r="A34" s="13" t="str">
        <f>_xlfn.TEXTJOIN("_",TRUE,C34,"node",D34,M34,N34)</f>
        <v>s1_node_survival_18_2</v>
      </c>
      <c r="B34" s="13" t="s">
        <v>0</v>
      </c>
      <c r="C34" s="13" t="s">
        <v>26</v>
      </c>
      <c r="D34" s="13" t="s">
        <v>102</v>
      </c>
      <c r="E34" s="13" t="str">
        <f>"s1_node_"&amp;D34&amp;"_name"</f>
        <v>s1_node_survival_name</v>
      </c>
      <c r="F34" s="13" t="str">
        <f>"s1_node_"&amp;D34&amp;"_desc"</f>
        <v>s1_node_survival_desc</v>
      </c>
      <c r="G34" s="13" t="s">
        <v>142</v>
      </c>
      <c r="H34" s="13">
        <v>1</v>
      </c>
      <c r="I34" s="13" t="s">
        <v>27</v>
      </c>
      <c r="J34" s="13" t="s">
        <v>186</v>
      </c>
      <c r="K34" s="13">
        <v>670</v>
      </c>
      <c r="L34" s="13">
        <v>3</v>
      </c>
      <c r="M34" s="13">
        <v>18</v>
      </c>
      <c r="N34" s="13">
        <v>2</v>
      </c>
      <c r="O34" s="13" t="s">
        <v>187</v>
      </c>
      <c r="P34" s="13"/>
      <c r="Q34" s="13"/>
      <c r="R34" s="13"/>
      <c r="S34" s="13"/>
      <c r="T34" s="13" t="str">
        <f>_xlfn.TEXTJOIN("_",TRUE,C34,"node_eff",D34,M34,N34)</f>
        <v>s1_node_eff_survival_18_2</v>
      </c>
    </row>
    <row r="35" spans="1:20" x14ac:dyDescent="0.45">
      <c r="A35" s="13" t="str">
        <f>_xlfn.TEXTJOIN("_",TRUE,C35,"node",D35,M35,N35)</f>
        <v>s1_node_survival_18_6</v>
      </c>
      <c r="B35" s="13" t="s">
        <v>0</v>
      </c>
      <c r="C35" s="13" t="s">
        <v>26</v>
      </c>
      <c r="D35" s="13" t="s">
        <v>102</v>
      </c>
      <c r="E35" s="13" t="str">
        <f>"s1_node_"&amp;D35&amp;"_name"</f>
        <v>s1_node_survival_name</v>
      </c>
      <c r="F35" s="13" t="str">
        <f>"s1_node_"&amp;D35&amp;"_desc"</f>
        <v>s1_node_survival_desc</v>
      </c>
      <c r="G35" s="13" t="s">
        <v>138</v>
      </c>
      <c r="H35" s="13">
        <v>1</v>
      </c>
      <c r="I35" s="13" t="s">
        <v>27</v>
      </c>
      <c r="J35" s="13" t="s">
        <v>186</v>
      </c>
      <c r="K35" s="13">
        <v>670</v>
      </c>
      <c r="L35" s="13">
        <v>3</v>
      </c>
      <c r="M35" s="13">
        <v>18</v>
      </c>
      <c r="N35" s="13">
        <v>6</v>
      </c>
      <c r="O35" s="13" t="s">
        <v>188</v>
      </c>
      <c r="P35" s="13"/>
      <c r="Q35" s="13"/>
      <c r="R35" s="13"/>
      <c r="S35" s="13"/>
      <c r="T35" s="13" t="str">
        <f>_xlfn.TEXTJOIN("_",TRUE,C35,"node_eff",D35,M35,N35)</f>
        <v>s1_node_eff_survival_18_6</v>
      </c>
    </row>
    <row r="36" spans="1:20" x14ac:dyDescent="0.45">
      <c r="A36" s="13" t="str">
        <f>_xlfn.TEXTJOIN("_",TRUE,C36,"node",D36,M36,N36)</f>
        <v>s1_node_survival_19_2</v>
      </c>
      <c r="B36" s="13" t="s">
        <v>0</v>
      </c>
      <c r="C36" s="13" t="s">
        <v>26</v>
      </c>
      <c r="D36" s="13" t="s">
        <v>102</v>
      </c>
      <c r="E36" s="13" t="str">
        <f>"s1_node_"&amp;D36&amp;"_name"</f>
        <v>s1_node_survival_name</v>
      </c>
      <c r="F36" s="13" t="str">
        <f>"s1_node_"&amp;D36&amp;"_desc"</f>
        <v>s1_node_survival_desc</v>
      </c>
      <c r="G36" s="13" t="s">
        <v>138</v>
      </c>
      <c r="H36" s="13">
        <v>1</v>
      </c>
      <c r="I36" s="13" t="s">
        <v>27</v>
      </c>
      <c r="J36" s="13" t="s">
        <v>189</v>
      </c>
      <c r="K36" s="13">
        <v>710</v>
      </c>
      <c r="L36" s="13">
        <v>3</v>
      </c>
      <c r="M36" s="13">
        <v>19</v>
      </c>
      <c r="N36" s="13">
        <v>2</v>
      </c>
      <c r="O36" s="13" t="s">
        <v>190</v>
      </c>
      <c r="P36" s="13"/>
      <c r="Q36" s="13"/>
      <c r="R36" s="13"/>
      <c r="S36" s="13"/>
      <c r="T36" s="13" t="str">
        <f>_xlfn.TEXTJOIN("_",TRUE,C36,"node_eff",D36,M36,N36)</f>
        <v>s1_node_eff_survival_19_2</v>
      </c>
    </row>
    <row r="37" spans="1:20" x14ac:dyDescent="0.45">
      <c r="A37" s="13" t="str">
        <f>_xlfn.TEXTJOIN("_",TRUE,C37,"node",D37,M37,N37)</f>
        <v>s1_node_survival_19_6</v>
      </c>
      <c r="B37" s="13" t="s">
        <v>0</v>
      </c>
      <c r="C37" s="13" t="s">
        <v>26</v>
      </c>
      <c r="D37" s="13" t="s">
        <v>102</v>
      </c>
      <c r="E37" s="13" t="str">
        <f>"s1_node_"&amp;D37&amp;"_name"</f>
        <v>s1_node_survival_name</v>
      </c>
      <c r="F37" s="13" t="str">
        <f>"s1_node_"&amp;D37&amp;"_desc"</f>
        <v>s1_node_survival_desc</v>
      </c>
      <c r="G37" s="13" t="s">
        <v>138</v>
      </c>
      <c r="H37" s="13">
        <v>1</v>
      </c>
      <c r="I37" s="13" t="s">
        <v>27</v>
      </c>
      <c r="J37" s="13" t="s">
        <v>189</v>
      </c>
      <c r="K37" s="13">
        <v>710</v>
      </c>
      <c r="L37" s="13">
        <v>3</v>
      </c>
      <c r="M37" s="13">
        <v>19</v>
      </c>
      <c r="N37" s="13">
        <v>6</v>
      </c>
      <c r="O37" s="13" t="s">
        <v>191</v>
      </c>
      <c r="P37" s="13"/>
      <c r="Q37" s="13"/>
      <c r="R37" s="13"/>
      <c r="S37" s="13"/>
      <c r="T37" s="13" t="str">
        <f>_xlfn.TEXTJOIN("_",TRUE,C37,"node_eff",D37,M37,N37)</f>
        <v>s1_node_eff_survival_19_6</v>
      </c>
    </row>
    <row r="38" spans="1:20" x14ac:dyDescent="0.45">
      <c r="A38" s="13" t="str">
        <f>_xlfn.TEXTJOIN("_",TRUE,C38,"node",D38,M38,N38)</f>
        <v>s1_node_survival_20_2</v>
      </c>
      <c r="B38" s="13" t="s">
        <v>0</v>
      </c>
      <c r="C38" s="13" t="s">
        <v>26</v>
      </c>
      <c r="D38" s="13" t="s">
        <v>102</v>
      </c>
      <c r="E38" s="13" t="str">
        <f>"s1_node_"&amp;D38&amp;"_name"</f>
        <v>s1_node_survival_name</v>
      </c>
      <c r="F38" s="13" t="str">
        <f>"s1_node_"&amp;D38&amp;"_desc"</f>
        <v>s1_node_survival_desc</v>
      </c>
      <c r="G38" s="13" t="s">
        <v>149</v>
      </c>
      <c r="H38" s="13">
        <v>1</v>
      </c>
      <c r="I38" s="13" t="s">
        <v>27</v>
      </c>
      <c r="J38" s="13" t="s">
        <v>192</v>
      </c>
      <c r="K38" s="13">
        <v>740</v>
      </c>
      <c r="L38" s="13">
        <v>3</v>
      </c>
      <c r="M38" s="13">
        <v>20</v>
      </c>
      <c r="N38" s="13">
        <v>2</v>
      </c>
      <c r="O38" s="13" t="s">
        <v>193</v>
      </c>
      <c r="P38" s="13"/>
      <c r="Q38" s="13"/>
      <c r="R38" s="13"/>
      <c r="S38" s="13"/>
      <c r="T38" s="13" t="str">
        <f>_xlfn.TEXTJOIN("_",TRUE,C38,"node_eff",D38,M38,N38)</f>
        <v>s1_node_eff_survival_20_2</v>
      </c>
    </row>
    <row r="39" spans="1:20" x14ac:dyDescent="0.45">
      <c r="A39" s="13" t="str">
        <f>_xlfn.TEXTJOIN("_",TRUE,C39,"node",D39,M39,N39)</f>
        <v>s1_node_survival_20_6</v>
      </c>
      <c r="B39" s="13" t="s">
        <v>0</v>
      </c>
      <c r="C39" s="13" t="s">
        <v>26</v>
      </c>
      <c r="D39" s="13" t="s">
        <v>102</v>
      </c>
      <c r="E39" s="13" t="str">
        <f>"s1_node_"&amp;D39&amp;"_name"</f>
        <v>s1_node_survival_name</v>
      </c>
      <c r="F39" s="13" t="str">
        <f>"s1_node_"&amp;D39&amp;"_desc"</f>
        <v>s1_node_survival_desc</v>
      </c>
      <c r="G39" s="13" t="s">
        <v>149</v>
      </c>
      <c r="H39" s="13">
        <v>1</v>
      </c>
      <c r="I39" s="13" t="s">
        <v>27</v>
      </c>
      <c r="J39" s="13" t="s">
        <v>192</v>
      </c>
      <c r="K39" s="13">
        <v>740</v>
      </c>
      <c r="L39" s="13">
        <v>3</v>
      </c>
      <c r="M39" s="13">
        <v>20</v>
      </c>
      <c r="N39" s="13">
        <v>6</v>
      </c>
      <c r="O39" s="13" t="s">
        <v>194</v>
      </c>
      <c r="P39" s="13"/>
      <c r="Q39" s="13"/>
      <c r="R39" s="13"/>
      <c r="S39" s="13"/>
      <c r="T39" s="13" t="str">
        <f>_xlfn.TEXTJOIN("_",TRUE,C39,"node_eff",D39,M39,N39)</f>
        <v>s1_node_eff_survival_20_6</v>
      </c>
    </row>
    <row r="40" spans="1:20" x14ac:dyDescent="0.45">
      <c r="A40" s="13" t="str">
        <f>_xlfn.TEXTJOIN("_",TRUE,C40,"node",D40,M40,N40)</f>
        <v>s1_node_survival_21_4</v>
      </c>
      <c r="B40" s="13" t="s">
        <v>0</v>
      </c>
      <c r="C40" s="13" t="s">
        <v>26</v>
      </c>
      <c r="D40" s="13" t="s">
        <v>102</v>
      </c>
      <c r="E40" s="13" t="str">
        <f>"s1_node_"&amp;D40&amp;"_name"</f>
        <v>s1_node_survival_name</v>
      </c>
      <c r="F40" s="13" t="str">
        <f>"s1_node_"&amp;D40&amp;"_desc"</f>
        <v>s1_node_survival_desc</v>
      </c>
      <c r="G40" s="13" t="s">
        <v>138</v>
      </c>
      <c r="H40" s="13">
        <v>2</v>
      </c>
      <c r="I40" s="13" t="s">
        <v>27</v>
      </c>
      <c r="J40" s="13" t="s">
        <v>195</v>
      </c>
      <c r="K40" s="13">
        <v>780</v>
      </c>
      <c r="L40" s="13">
        <v>3</v>
      </c>
      <c r="M40" s="13">
        <v>21</v>
      </c>
      <c r="N40" s="13">
        <v>4</v>
      </c>
      <c r="O40" s="13" t="s">
        <v>196</v>
      </c>
      <c r="P40" s="13" t="s">
        <v>197</v>
      </c>
      <c r="Q40" s="13"/>
      <c r="R40" s="13"/>
      <c r="S40" s="13"/>
      <c r="T40" s="13" t="str">
        <f>_xlfn.TEXTJOIN("_",TRUE,C40,"node_eff",D40,M40,N40)</f>
        <v>s1_node_eff_survival_21_4</v>
      </c>
    </row>
    <row r="41" spans="1:20" x14ac:dyDescent="0.45">
      <c r="A41" s="13" t="str">
        <f>_xlfn.TEXTJOIN("_",TRUE,C41,"node",D41,M41,N41)</f>
        <v>s1_node_survival_22_2</v>
      </c>
      <c r="B41" s="13" t="s">
        <v>0</v>
      </c>
      <c r="C41" s="13" t="s">
        <v>26</v>
      </c>
      <c r="D41" s="13" t="s">
        <v>102</v>
      </c>
      <c r="E41" s="13" t="str">
        <f>"s1_node_"&amp;D41&amp;"_name"</f>
        <v>s1_node_survival_name</v>
      </c>
      <c r="F41" s="13" t="str">
        <f>"s1_node_"&amp;D41&amp;"_desc"</f>
        <v>s1_node_survival_desc</v>
      </c>
      <c r="G41" s="13" t="s">
        <v>138</v>
      </c>
      <c r="H41" s="13">
        <v>2</v>
      </c>
      <c r="I41" s="13" t="s">
        <v>27</v>
      </c>
      <c r="J41" s="13" t="s">
        <v>198</v>
      </c>
      <c r="K41" s="13">
        <v>810</v>
      </c>
      <c r="L41" s="13">
        <v>3</v>
      </c>
      <c r="M41" s="13">
        <v>22</v>
      </c>
      <c r="N41" s="13">
        <v>2</v>
      </c>
      <c r="O41" s="13" t="s">
        <v>199</v>
      </c>
      <c r="P41" s="13"/>
      <c r="Q41" s="13"/>
      <c r="R41" s="13"/>
      <c r="S41" s="13"/>
      <c r="T41" s="13" t="str">
        <f>_xlfn.TEXTJOIN("_",TRUE,C41,"node_eff",D41,M41,N41)</f>
        <v>s1_node_eff_survival_22_2</v>
      </c>
    </row>
    <row r="42" spans="1:20" x14ac:dyDescent="0.45">
      <c r="A42" s="13" t="str">
        <f>_xlfn.TEXTJOIN("_",TRUE,C42,"node",D42,M42,N42)</f>
        <v>s1_node_survival_22_6</v>
      </c>
      <c r="B42" s="13" t="s">
        <v>0</v>
      </c>
      <c r="C42" s="13" t="s">
        <v>26</v>
      </c>
      <c r="D42" s="13" t="s">
        <v>102</v>
      </c>
      <c r="E42" s="13" t="str">
        <f>"s1_node_"&amp;D42&amp;"_name"</f>
        <v>s1_node_survival_name</v>
      </c>
      <c r="F42" s="13" t="str">
        <f>"s1_node_"&amp;D42&amp;"_desc"</f>
        <v>s1_node_survival_desc</v>
      </c>
      <c r="G42" s="13" t="s">
        <v>142</v>
      </c>
      <c r="H42" s="13">
        <v>2</v>
      </c>
      <c r="I42" s="13" t="s">
        <v>27</v>
      </c>
      <c r="J42" s="13" t="s">
        <v>198</v>
      </c>
      <c r="K42" s="13">
        <v>810</v>
      </c>
      <c r="L42" s="13">
        <v>3</v>
      </c>
      <c r="M42" s="13">
        <v>22</v>
      </c>
      <c r="N42" s="13">
        <v>6</v>
      </c>
      <c r="O42" s="13" t="s">
        <v>199</v>
      </c>
      <c r="P42" s="13"/>
      <c r="Q42" s="13"/>
      <c r="R42" s="13"/>
      <c r="S42" s="13"/>
      <c r="T42" s="13" t="str">
        <f>_xlfn.TEXTJOIN("_",TRUE,C42,"node_eff",D42,M42,N42)</f>
        <v>s1_node_eff_survival_22_6</v>
      </c>
    </row>
    <row r="43" spans="1:20" x14ac:dyDescent="0.45">
      <c r="A43" s="13" t="str">
        <f>_xlfn.TEXTJOIN("_",TRUE,C43,"node",D43,M43,N43)</f>
        <v>s1_node_survival_23_2</v>
      </c>
      <c r="B43" s="13" t="s">
        <v>0</v>
      </c>
      <c r="C43" s="13" t="s">
        <v>26</v>
      </c>
      <c r="D43" s="13" t="s">
        <v>102</v>
      </c>
      <c r="E43" s="13" t="str">
        <f>"s1_node_"&amp;D43&amp;"_name"</f>
        <v>s1_node_survival_name</v>
      </c>
      <c r="F43" s="13" t="str">
        <f>"s1_node_"&amp;D43&amp;"_desc"</f>
        <v>s1_node_survival_desc</v>
      </c>
      <c r="G43" s="13" t="s">
        <v>142</v>
      </c>
      <c r="H43" s="13">
        <v>2</v>
      </c>
      <c r="I43" s="13" t="s">
        <v>27</v>
      </c>
      <c r="J43" s="13" t="s">
        <v>200</v>
      </c>
      <c r="K43" s="13">
        <v>840</v>
      </c>
      <c r="L43" s="13">
        <v>3</v>
      </c>
      <c r="M43" s="13">
        <v>23</v>
      </c>
      <c r="N43" s="13">
        <v>2</v>
      </c>
      <c r="O43" s="13" t="s">
        <v>201</v>
      </c>
      <c r="P43" s="13"/>
      <c r="Q43" s="13"/>
      <c r="R43" s="13"/>
      <c r="S43" s="13"/>
      <c r="T43" s="13" t="str">
        <f>_xlfn.TEXTJOIN("_",TRUE,C43,"node_eff",D43,M43,N43)</f>
        <v>s1_node_eff_survival_23_2</v>
      </c>
    </row>
    <row r="44" spans="1:20" x14ac:dyDescent="0.45">
      <c r="A44" s="13" t="str">
        <f>_xlfn.TEXTJOIN("_",TRUE,C44,"node",D44,M44,N44)</f>
        <v>s1_node_survival_23_6</v>
      </c>
      <c r="B44" s="13" t="s">
        <v>0</v>
      </c>
      <c r="C44" s="13" t="s">
        <v>26</v>
      </c>
      <c r="D44" s="13" t="s">
        <v>102</v>
      </c>
      <c r="E44" s="13" t="str">
        <f>"s1_node_"&amp;D44&amp;"_name"</f>
        <v>s1_node_survival_name</v>
      </c>
      <c r="F44" s="13" t="str">
        <f>"s1_node_"&amp;D44&amp;"_desc"</f>
        <v>s1_node_survival_desc</v>
      </c>
      <c r="G44" s="13" t="s">
        <v>138</v>
      </c>
      <c r="H44" s="13">
        <v>2</v>
      </c>
      <c r="I44" s="13" t="s">
        <v>27</v>
      </c>
      <c r="J44" s="13" t="s">
        <v>200</v>
      </c>
      <c r="K44" s="13">
        <v>840</v>
      </c>
      <c r="L44" s="13">
        <v>3</v>
      </c>
      <c r="M44" s="13">
        <v>23</v>
      </c>
      <c r="N44" s="13">
        <v>6</v>
      </c>
      <c r="O44" s="13" t="s">
        <v>202</v>
      </c>
      <c r="P44" s="13"/>
      <c r="Q44" s="13"/>
      <c r="R44" s="13"/>
      <c r="S44" s="13"/>
      <c r="T44" s="13" t="str">
        <f>_xlfn.TEXTJOIN("_",TRUE,C44,"node_eff",D44,M44,N44)</f>
        <v>s1_node_eff_survival_23_6</v>
      </c>
    </row>
    <row r="45" spans="1:20" x14ac:dyDescent="0.45">
      <c r="A45" s="13" t="str">
        <f>_xlfn.TEXTJOIN("_",TRUE,C45,"node",D45,M45,N45)</f>
        <v>s1_node_survival_24_2</v>
      </c>
      <c r="B45" s="13" t="s">
        <v>0</v>
      </c>
      <c r="C45" s="13" t="s">
        <v>26</v>
      </c>
      <c r="D45" s="13" t="s">
        <v>102</v>
      </c>
      <c r="E45" s="13" t="str">
        <f>"s1_node_"&amp;D45&amp;"_name"</f>
        <v>s1_node_survival_name</v>
      </c>
      <c r="F45" s="13" t="str">
        <f>"s1_node_"&amp;D45&amp;"_desc"</f>
        <v>s1_node_survival_desc</v>
      </c>
      <c r="G45" s="13" t="s">
        <v>138</v>
      </c>
      <c r="H45" s="13">
        <v>2</v>
      </c>
      <c r="I45" s="13" t="s">
        <v>27</v>
      </c>
      <c r="J45" s="13" t="s">
        <v>203</v>
      </c>
      <c r="K45" s="13">
        <v>880</v>
      </c>
      <c r="L45" s="13">
        <v>3</v>
      </c>
      <c r="M45" s="13">
        <v>24</v>
      </c>
      <c r="N45" s="13">
        <v>2</v>
      </c>
      <c r="O45" s="13" t="s">
        <v>204</v>
      </c>
      <c r="P45" s="13"/>
      <c r="Q45" s="13"/>
      <c r="R45" s="13"/>
      <c r="S45" s="13"/>
      <c r="T45" s="13" t="str">
        <f>_xlfn.TEXTJOIN("_",TRUE,C45,"node_eff",D45,M45,N45)</f>
        <v>s1_node_eff_survival_24_2</v>
      </c>
    </row>
    <row r="46" spans="1:20" x14ac:dyDescent="0.45">
      <c r="A46" s="13" t="str">
        <f>_xlfn.TEXTJOIN("_",TRUE,C46,"node",D46,M46,N46)</f>
        <v>s1_node_survival_24_6</v>
      </c>
      <c r="B46" s="13" t="s">
        <v>0</v>
      </c>
      <c r="C46" s="13" t="s">
        <v>26</v>
      </c>
      <c r="D46" s="13" t="s">
        <v>102</v>
      </c>
      <c r="E46" s="13" t="str">
        <f>"s1_node_"&amp;D46&amp;"_name"</f>
        <v>s1_node_survival_name</v>
      </c>
      <c r="F46" s="13" t="str">
        <f>"s1_node_"&amp;D46&amp;"_desc"</f>
        <v>s1_node_survival_desc</v>
      </c>
      <c r="G46" s="13" t="s">
        <v>138</v>
      </c>
      <c r="H46" s="13">
        <v>2</v>
      </c>
      <c r="I46" s="13" t="s">
        <v>27</v>
      </c>
      <c r="J46" s="13" t="s">
        <v>203</v>
      </c>
      <c r="K46" s="13">
        <v>880</v>
      </c>
      <c r="L46" s="13">
        <v>3</v>
      </c>
      <c r="M46" s="13">
        <v>24</v>
      </c>
      <c r="N46" s="13">
        <v>6</v>
      </c>
      <c r="O46" s="13" t="s">
        <v>205</v>
      </c>
      <c r="P46" s="13"/>
      <c r="Q46" s="13"/>
      <c r="R46" s="13"/>
      <c r="S46" s="13"/>
      <c r="T46" s="13" t="str">
        <f>_xlfn.TEXTJOIN("_",TRUE,C46,"node_eff",D46,M46,N46)</f>
        <v>s1_node_eff_survival_24_6</v>
      </c>
    </row>
    <row r="47" spans="1:20" x14ac:dyDescent="0.45">
      <c r="A47" s="13" t="str">
        <f>_xlfn.TEXTJOIN("_",TRUE,C47,"node",D47,M47,N47)</f>
        <v>s1_node_survival_25_2</v>
      </c>
      <c r="B47" s="13" t="s">
        <v>0</v>
      </c>
      <c r="C47" s="13" t="s">
        <v>26</v>
      </c>
      <c r="D47" s="13" t="s">
        <v>102</v>
      </c>
      <c r="E47" s="13" t="str">
        <f>"s1_node_"&amp;D47&amp;"_name"</f>
        <v>s1_node_survival_name</v>
      </c>
      <c r="F47" s="13" t="str">
        <f>"s1_node_"&amp;D47&amp;"_desc"</f>
        <v>s1_node_survival_desc</v>
      </c>
      <c r="G47" s="13" t="s">
        <v>149</v>
      </c>
      <c r="H47" s="13">
        <v>2</v>
      </c>
      <c r="I47" s="13" t="s">
        <v>27</v>
      </c>
      <c r="J47" s="13" t="s">
        <v>206</v>
      </c>
      <c r="K47" s="13">
        <v>910</v>
      </c>
      <c r="L47" s="13">
        <v>3</v>
      </c>
      <c r="M47" s="13">
        <v>25</v>
      </c>
      <c r="N47" s="13">
        <v>2</v>
      </c>
      <c r="O47" s="13" t="s">
        <v>207</v>
      </c>
      <c r="P47" s="13"/>
      <c r="Q47" s="13"/>
      <c r="R47" s="13"/>
      <c r="S47" s="13"/>
      <c r="T47" s="13" t="str">
        <f>_xlfn.TEXTJOIN("_",TRUE,C47,"node_eff",D47,M47,N47)</f>
        <v>s1_node_eff_survival_25_2</v>
      </c>
    </row>
    <row r="48" spans="1:20" x14ac:dyDescent="0.45">
      <c r="A48" s="13" t="str">
        <f>_xlfn.TEXTJOIN("_",TRUE,C48,"node",D48,M48,N48)</f>
        <v>s1_node_survival_25_6</v>
      </c>
      <c r="B48" s="13" t="s">
        <v>0</v>
      </c>
      <c r="C48" s="13" t="s">
        <v>26</v>
      </c>
      <c r="D48" s="13" t="s">
        <v>102</v>
      </c>
      <c r="E48" s="13" t="str">
        <f>"s1_node_"&amp;D48&amp;"_name"</f>
        <v>s1_node_survival_name</v>
      </c>
      <c r="F48" s="13" t="str">
        <f>"s1_node_"&amp;D48&amp;"_desc"</f>
        <v>s1_node_survival_desc</v>
      </c>
      <c r="G48" s="13" t="s">
        <v>149</v>
      </c>
      <c r="H48" s="13">
        <v>2</v>
      </c>
      <c r="I48" s="13" t="s">
        <v>27</v>
      </c>
      <c r="J48" s="13" t="s">
        <v>206</v>
      </c>
      <c r="K48" s="13">
        <v>910</v>
      </c>
      <c r="L48" s="13">
        <v>3</v>
      </c>
      <c r="M48" s="13">
        <v>25</v>
      </c>
      <c r="N48" s="13">
        <v>6</v>
      </c>
      <c r="O48" s="13" t="s">
        <v>208</v>
      </c>
      <c r="P48" s="13"/>
      <c r="Q48" s="13"/>
      <c r="R48" s="13"/>
      <c r="S48" s="13"/>
      <c r="T48" s="13" t="str">
        <f>_xlfn.TEXTJOIN("_",TRUE,C48,"node_eff",D48,M48,N48)</f>
        <v>s1_node_eff_survival_25_6</v>
      </c>
    </row>
    <row r="49" spans="1:20" x14ac:dyDescent="0.45">
      <c r="A49" s="13" t="str">
        <f>_xlfn.TEXTJOIN("_",TRUE,C49,"node",D49,M49,N49)</f>
        <v>s1_node_survival_26_4</v>
      </c>
      <c r="B49" s="13" t="s">
        <v>0</v>
      </c>
      <c r="C49" s="13" t="s">
        <v>26</v>
      </c>
      <c r="D49" s="13" t="s">
        <v>102</v>
      </c>
      <c r="E49" s="13" t="str">
        <f>"s1_node_"&amp;D49&amp;"_name"</f>
        <v>s1_node_survival_name</v>
      </c>
      <c r="F49" s="13" t="str">
        <f>"s1_node_"&amp;D49&amp;"_desc"</f>
        <v>s1_node_survival_desc</v>
      </c>
      <c r="G49" s="13" t="s">
        <v>138</v>
      </c>
      <c r="H49" s="13">
        <v>2</v>
      </c>
      <c r="I49" s="13" t="s">
        <v>27</v>
      </c>
      <c r="J49" s="13" t="s">
        <v>209</v>
      </c>
      <c r="K49" s="13">
        <v>950</v>
      </c>
      <c r="L49" s="13">
        <v>3</v>
      </c>
      <c r="M49" s="13">
        <v>26</v>
      </c>
      <c r="N49" s="13">
        <v>4</v>
      </c>
      <c r="O49" s="13" t="s">
        <v>210</v>
      </c>
      <c r="P49" s="13" t="s">
        <v>211</v>
      </c>
      <c r="Q49" s="13"/>
      <c r="R49" s="13"/>
      <c r="S49" s="13"/>
      <c r="T49" s="13" t="str">
        <f>_xlfn.TEXTJOIN("_",TRUE,C49,"node_eff",D49,M49,N49)</f>
        <v>s1_node_eff_survival_26_4</v>
      </c>
    </row>
    <row r="50" spans="1:20" x14ac:dyDescent="0.45">
      <c r="A50" s="13" t="str">
        <f>_xlfn.TEXTJOIN("_",TRUE,C50,"node",D50,M50,N50)</f>
        <v>s1_node_survival_27_2</v>
      </c>
      <c r="B50" s="13" t="s">
        <v>0</v>
      </c>
      <c r="C50" s="13" t="s">
        <v>26</v>
      </c>
      <c r="D50" s="13" t="s">
        <v>102</v>
      </c>
      <c r="E50" s="13" t="str">
        <f>"s1_node_"&amp;D50&amp;"_name"</f>
        <v>s1_node_survival_name</v>
      </c>
      <c r="F50" s="13" t="str">
        <f>"s1_node_"&amp;D50&amp;"_desc"</f>
        <v>s1_node_survival_desc</v>
      </c>
      <c r="G50" s="13" t="s">
        <v>138</v>
      </c>
      <c r="H50" s="13">
        <v>2</v>
      </c>
      <c r="I50" s="13" t="s">
        <v>27</v>
      </c>
      <c r="J50" s="13" t="s">
        <v>212</v>
      </c>
      <c r="K50" s="13">
        <v>980</v>
      </c>
      <c r="L50" s="13">
        <v>3</v>
      </c>
      <c r="M50" s="13">
        <v>27</v>
      </c>
      <c r="N50" s="13">
        <v>2</v>
      </c>
      <c r="O50" s="13" t="s">
        <v>213</v>
      </c>
      <c r="P50" s="13"/>
      <c r="Q50" s="13"/>
      <c r="R50" s="13"/>
      <c r="S50" s="13"/>
      <c r="T50" s="13" t="str">
        <f>_xlfn.TEXTJOIN("_",TRUE,C50,"node_eff",D50,M50,N50)</f>
        <v>s1_node_eff_survival_27_2</v>
      </c>
    </row>
    <row r="51" spans="1:20" x14ac:dyDescent="0.45">
      <c r="A51" s="13" t="str">
        <f>_xlfn.TEXTJOIN("_",TRUE,C51,"node",D51,M51,N51)</f>
        <v>s1_node_survival_27_6</v>
      </c>
      <c r="B51" s="13" t="s">
        <v>0</v>
      </c>
      <c r="C51" s="13" t="s">
        <v>26</v>
      </c>
      <c r="D51" s="13" t="s">
        <v>102</v>
      </c>
      <c r="E51" s="13" t="str">
        <f>"s1_node_"&amp;D51&amp;"_name"</f>
        <v>s1_node_survival_name</v>
      </c>
      <c r="F51" s="13" t="str">
        <f>"s1_node_"&amp;D51&amp;"_desc"</f>
        <v>s1_node_survival_desc</v>
      </c>
      <c r="G51" s="13" t="s">
        <v>142</v>
      </c>
      <c r="H51" s="13">
        <v>2</v>
      </c>
      <c r="I51" s="13" t="s">
        <v>27</v>
      </c>
      <c r="J51" s="13" t="s">
        <v>212</v>
      </c>
      <c r="K51" s="13">
        <v>980</v>
      </c>
      <c r="L51" s="13">
        <v>3</v>
      </c>
      <c r="M51" s="13">
        <v>27</v>
      </c>
      <c r="N51" s="13">
        <v>6</v>
      </c>
      <c r="O51" s="13" t="s">
        <v>213</v>
      </c>
      <c r="P51" s="13"/>
      <c r="Q51" s="13"/>
      <c r="R51" s="13"/>
      <c r="S51" s="13"/>
      <c r="T51" s="13" t="str">
        <f>_xlfn.TEXTJOIN("_",TRUE,C51,"node_eff",D51,M51,N51)</f>
        <v>s1_node_eff_survival_27_6</v>
      </c>
    </row>
    <row r="52" spans="1:20" x14ac:dyDescent="0.45">
      <c r="A52" s="13" t="str">
        <f>_xlfn.TEXTJOIN("_",TRUE,C52,"node",D52,M52,N52)</f>
        <v>s1_node_survival_28_2</v>
      </c>
      <c r="B52" s="13" t="s">
        <v>0</v>
      </c>
      <c r="C52" s="13" t="s">
        <v>26</v>
      </c>
      <c r="D52" s="13" t="s">
        <v>102</v>
      </c>
      <c r="E52" s="13" t="str">
        <f>"s1_node_"&amp;D52&amp;"_name"</f>
        <v>s1_node_survival_name</v>
      </c>
      <c r="F52" s="13" t="str">
        <f>"s1_node_"&amp;D52&amp;"_desc"</f>
        <v>s1_node_survival_desc</v>
      </c>
      <c r="G52" s="13" t="s">
        <v>142</v>
      </c>
      <c r="H52" s="13">
        <v>2</v>
      </c>
      <c r="I52" s="13" t="s">
        <v>27</v>
      </c>
      <c r="J52" s="13" t="s">
        <v>214</v>
      </c>
      <c r="K52" s="13">
        <v>1020</v>
      </c>
      <c r="L52" s="13">
        <v>3</v>
      </c>
      <c r="M52" s="13">
        <v>28</v>
      </c>
      <c r="N52" s="13">
        <v>2</v>
      </c>
      <c r="O52" s="13" t="s">
        <v>215</v>
      </c>
      <c r="P52" s="13"/>
      <c r="Q52" s="13"/>
      <c r="R52" s="13"/>
      <c r="S52" s="13"/>
      <c r="T52" s="13" t="str">
        <f>_xlfn.TEXTJOIN("_",TRUE,C52,"node_eff",D52,M52,N52)</f>
        <v>s1_node_eff_survival_28_2</v>
      </c>
    </row>
    <row r="53" spans="1:20" x14ac:dyDescent="0.45">
      <c r="A53" s="13" t="str">
        <f>_xlfn.TEXTJOIN("_",TRUE,C53,"node",D53,M53,N53)</f>
        <v>s1_node_survival_28_6</v>
      </c>
      <c r="B53" s="13" t="s">
        <v>0</v>
      </c>
      <c r="C53" s="13" t="s">
        <v>26</v>
      </c>
      <c r="D53" s="13" t="s">
        <v>102</v>
      </c>
      <c r="E53" s="13" t="str">
        <f>"s1_node_"&amp;D53&amp;"_name"</f>
        <v>s1_node_survival_name</v>
      </c>
      <c r="F53" s="13" t="str">
        <f>"s1_node_"&amp;D53&amp;"_desc"</f>
        <v>s1_node_survival_desc</v>
      </c>
      <c r="G53" s="13" t="s">
        <v>138</v>
      </c>
      <c r="H53" s="13">
        <v>2</v>
      </c>
      <c r="I53" s="13" t="s">
        <v>27</v>
      </c>
      <c r="J53" s="13" t="s">
        <v>214</v>
      </c>
      <c r="K53" s="13">
        <v>1020</v>
      </c>
      <c r="L53" s="13">
        <v>3</v>
      </c>
      <c r="M53" s="13">
        <v>28</v>
      </c>
      <c r="N53" s="13">
        <v>6</v>
      </c>
      <c r="O53" s="13" t="s">
        <v>216</v>
      </c>
      <c r="P53" s="13"/>
      <c r="Q53" s="13"/>
      <c r="R53" s="13"/>
      <c r="S53" s="13"/>
      <c r="T53" s="13" t="str">
        <f>_xlfn.TEXTJOIN("_",TRUE,C53,"node_eff",D53,M53,N53)</f>
        <v>s1_node_eff_survival_28_6</v>
      </c>
    </row>
    <row r="54" spans="1:20" x14ac:dyDescent="0.45">
      <c r="A54" s="13" t="str">
        <f>_xlfn.TEXTJOIN("_",TRUE,C54,"node",D54,M54,N54)</f>
        <v>s1_node_survival_29_2</v>
      </c>
      <c r="B54" s="13" t="s">
        <v>0</v>
      </c>
      <c r="C54" s="13" t="s">
        <v>26</v>
      </c>
      <c r="D54" s="13" t="s">
        <v>102</v>
      </c>
      <c r="E54" s="13" t="str">
        <f>"s1_node_"&amp;D54&amp;"_name"</f>
        <v>s1_node_survival_name</v>
      </c>
      <c r="F54" s="13" t="str">
        <f>"s1_node_"&amp;D54&amp;"_desc"</f>
        <v>s1_node_survival_desc</v>
      </c>
      <c r="G54" s="13" t="s">
        <v>138</v>
      </c>
      <c r="H54" s="13">
        <v>2</v>
      </c>
      <c r="I54" s="13" t="s">
        <v>27</v>
      </c>
      <c r="J54" s="13" t="s">
        <v>217</v>
      </c>
      <c r="K54" s="13">
        <v>1050</v>
      </c>
      <c r="L54" s="13">
        <v>3</v>
      </c>
      <c r="M54" s="13">
        <v>29</v>
      </c>
      <c r="N54" s="13">
        <v>2</v>
      </c>
      <c r="O54" s="13" t="s">
        <v>218</v>
      </c>
      <c r="P54" s="13"/>
      <c r="Q54" s="13"/>
      <c r="R54" s="13"/>
      <c r="S54" s="13"/>
      <c r="T54" s="13" t="str">
        <f>_xlfn.TEXTJOIN("_",TRUE,C54,"node_eff",D54,M54,N54)</f>
        <v>s1_node_eff_survival_29_2</v>
      </c>
    </row>
    <row r="55" spans="1:20" x14ac:dyDescent="0.45">
      <c r="A55" s="13" t="str">
        <f>_xlfn.TEXTJOIN("_",TRUE,C55,"node",D55,M55,N55)</f>
        <v>s1_node_survival_29_6</v>
      </c>
      <c r="B55" s="13" t="s">
        <v>0</v>
      </c>
      <c r="C55" s="13" t="s">
        <v>26</v>
      </c>
      <c r="D55" s="13" t="s">
        <v>102</v>
      </c>
      <c r="E55" s="13" t="str">
        <f>"s1_node_"&amp;D55&amp;"_name"</f>
        <v>s1_node_survival_name</v>
      </c>
      <c r="F55" s="13" t="str">
        <f>"s1_node_"&amp;D55&amp;"_desc"</f>
        <v>s1_node_survival_desc</v>
      </c>
      <c r="G55" s="13" t="s">
        <v>138</v>
      </c>
      <c r="H55" s="13">
        <v>2</v>
      </c>
      <c r="I55" s="13" t="s">
        <v>27</v>
      </c>
      <c r="J55" s="13" t="s">
        <v>217</v>
      </c>
      <c r="K55" s="13">
        <v>1050</v>
      </c>
      <c r="L55" s="13">
        <v>3</v>
      </c>
      <c r="M55" s="13">
        <v>29</v>
      </c>
      <c r="N55" s="13">
        <v>6</v>
      </c>
      <c r="O55" s="13" t="s">
        <v>219</v>
      </c>
      <c r="P55" s="13"/>
      <c r="Q55" s="13"/>
      <c r="R55" s="13"/>
      <c r="S55" s="13"/>
      <c r="T55" s="13" t="str">
        <f>_xlfn.TEXTJOIN("_",TRUE,C55,"node_eff",D55,M55,N55)</f>
        <v>s1_node_eff_survival_29_6</v>
      </c>
    </row>
    <row r="56" spans="1:20" x14ac:dyDescent="0.45">
      <c r="A56" s="13" t="str">
        <f>_xlfn.TEXTJOIN("_",TRUE,C56,"node",D56,M56,N56)</f>
        <v>s1_node_survival_30_2</v>
      </c>
      <c r="B56" s="13" t="s">
        <v>0</v>
      </c>
      <c r="C56" s="13" t="s">
        <v>26</v>
      </c>
      <c r="D56" s="13" t="s">
        <v>102</v>
      </c>
      <c r="E56" s="13" t="str">
        <f>"s1_node_"&amp;D56&amp;"_name"</f>
        <v>s1_node_survival_name</v>
      </c>
      <c r="F56" s="13" t="str">
        <f>"s1_node_"&amp;D56&amp;"_desc"</f>
        <v>s1_node_survival_desc</v>
      </c>
      <c r="G56" s="13" t="s">
        <v>149</v>
      </c>
      <c r="H56" s="13">
        <v>2</v>
      </c>
      <c r="I56" s="13" t="s">
        <v>27</v>
      </c>
      <c r="J56" s="13" t="s">
        <v>220</v>
      </c>
      <c r="K56" s="13">
        <v>1090</v>
      </c>
      <c r="L56" s="13">
        <v>3</v>
      </c>
      <c r="M56" s="13">
        <v>30</v>
      </c>
      <c r="N56" s="13">
        <v>2</v>
      </c>
      <c r="O56" s="13" t="s">
        <v>221</v>
      </c>
      <c r="P56" s="13"/>
      <c r="Q56" s="13"/>
      <c r="R56" s="13"/>
      <c r="S56" s="13"/>
      <c r="T56" s="13" t="str">
        <f>_xlfn.TEXTJOIN("_",TRUE,C56,"node_eff",D56,M56,N56)</f>
        <v>s1_node_eff_survival_30_2</v>
      </c>
    </row>
    <row r="57" spans="1:20" x14ac:dyDescent="0.45">
      <c r="A57" s="13" t="str">
        <f>_xlfn.TEXTJOIN("_",TRUE,C57,"node",D57,M57,N57)</f>
        <v>s1_node_survival_30_6</v>
      </c>
      <c r="B57" s="13" t="s">
        <v>0</v>
      </c>
      <c r="C57" s="13" t="s">
        <v>26</v>
      </c>
      <c r="D57" s="13" t="s">
        <v>102</v>
      </c>
      <c r="E57" s="13" t="str">
        <f>"s1_node_"&amp;D57&amp;"_name"</f>
        <v>s1_node_survival_name</v>
      </c>
      <c r="F57" s="13" t="str">
        <f>"s1_node_"&amp;D57&amp;"_desc"</f>
        <v>s1_node_survival_desc</v>
      </c>
      <c r="G57" s="13" t="s">
        <v>149</v>
      </c>
      <c r="H57" s="13">
        <v>2</v>
      </c>
      <c r="I57" s="13" t="s">
        <v>27</v>
      </c>
      <c r="J57" s="13" t="s">
        <v>220</v>
      </c>
      <c r="K57" s="13">
        <v>1090</v>
      </c>
      <c r="L57" s="13">
        <v>3</v>
      </c>
      <c r="M57" s="13">
        <v>30</v>
      </c>
      <c r="N57" s="13">
        <v>6</v>
      </c>
      <c r="O57" s="13" t="s">
        <v>222</v>
      </c>
      <c r="P57" s="13"/>
      <c r="Q57" s="13"/>
      <c r="R57" s="13"/>
      <c r="S57" s="13"/>
      <c r="T57" s="13" t="str">
        <f>_xlfn.TEXTJOIN("_",TRUE,C57,"node_eff",D57,M57,N57)</f>
        <v>s1_node_eff_survival_30_6</v>
      </c>
    </row>
    <row r="58" spans="1:20" x14ac:dyDescent="0.45">
      <c r="A58" s="13" t="str">
        <f>_xlfn.TEXTJOIN("_",TRUE,C58,"node",D58,M58,N58)</f>
        <v>s1_node_survival_31_4</v>
      </c>
      <c r="B58" s="13" t="s">
        <v>0</v>
      </c>
      <c r="C58" s="13" t="s">
        <v>26</v>
      </c>
      <c r="D58" s="13" t="s">
        <v>102</v>
      </c>
      <c r="E58" s="13" t="str">
        <f>"s1_node_"&amp;D58&amp;"_name"</f>
        <v>s1_node_survival_name</v>
      </c>
      <c r="F58" s="13" t="str">
        <f>"s1_node_"&amp;D58&amp;"_desc"</f>
        <v>s1_node_survival_desc</v>
      </c>
      <c r="G58" s="13" t="s">
        <v>138</v>
      </c>
      <c r="H58" s="13">
        <v>2</v>
      </c>
      <c r="I58" s="13" t="s">
        <v>27</v>
      </c>
      <c r="J58" s="13" t="s">
        <v>223</v>
      </c>
      <c r="K58" s="13">
        <v>1120</v>
      </c>
      <c r="L58" s="13">
        <v>3</v>
      </c>
      <c r="M58" s="13">
        <v>31</v>
      </c>
      <c r="N58" s="13">
        <v>4</v>
      </c>
      <c r="O58" s="13" t="s">
        <v>224</v>
      </c>
      <c r="P58" s="13" t="s">
        <v>225</v>
      </c>
      <c r="Q58" s="13"/>
      <c r="R58" s="13"/>
      <c r="S58" s="13"/>
      <c r="T58" s="13" t="str">
        <f>_xlfn.TEXTJOIN("_",TRUE,C58,"node_eff",D58,M58,N58)</f>
        <v>s1_node_eff_survival_31_4</v>
      </c>
    </row>
    <row r="59" spans="1:20" x14ac:dyDescent="0.45">
      <c r="A59" s="13" t="str">
        <f>_xlfn.TEXTJOIN("_",TRUE,C59,"node",D59,M59,N59)</f>
        <v>s1_node_survival_32_2</v>
      </c>
      <c r="B59" s="13" t="s">
        <v>0</v>
      </c>
      <c r="C59" s="13" t="s">
        <v>26</v>
      </c>
      <c r="D59" s="13" t="s">
        <v>102</v>
      </c>
      <c r="E59" s="13" t="str">
        <f>"s1_node_"&amp;D59&amp;"_name"</f>
        <v>s1_node_survival_name</v>
      </c>
      <c r="F59" s="13" t="str">
        <f>"s1_node_"&amp;D59&amp;"_desc"</f>
        <v>s1_node_survival_desc</v>
      </c>
      <c r="G59" s="13" t="s">
        <v>138</v>
      </c>
      <c r="H59" s="13">
        <v>2</v>
      </c>
      <c r="I59" s="13" t="s">
        <v>27</v>
      </c>
      <c r="J59" s="13" t="s">
        <v>226</v>
      </c>
      <c r="K59" s="13">
        <v>1160</v>
      </c>
      <c r="L59" s="13">
        <v>3</v>
      </c>
      <c r="M59" s="13">
        <v>32</v>
      </c>
      <c r="N59" s="13">
        <v>2</v>
      </c>
      <c r="O59" s="13" t="s">
        <v>227</v>
      </c>
      <c r="P59" s="13"/>
      <c r="Q59" s="13"/>
      <c r="R59" s="13"/>
      <c r="S59" s="13"/>
      <c r="T59" s="13" t="str">
        <f>_xlfn.TEXTJOIN("_",TRUE,C59,"node_eff",D59,M59,N59)</f>
        <v>s1_node_eff_survival_32_2</v>
      </c>
    </row>
    <row r="60" spans="1:20" x14ac:dyDescent="0.45">
      <c r="A60" s="13" t="str">
        <f>_xlfn.TEXTJOIN("_",TRUE,C60,"node",D60,M60,N60)</f>
        <v>s1_node_survival_32_6</v>
      </c>
      <c r="B60" s="13" t="s">
        <v>0</v>
      </c>
      <c r="C60" s="13" t="s">
        <v>26</v>
      </c>
      <c r="D60" s="13" t="s">
        <v>102</v>
      </c>
      <c r="E60" s="13" t="str">
        <f>"s1_node_"&amp;D60&amp;"_name"</f>
        <v>s1_node_survival_name</v>
      </c>
      <c r="F60" s="13" t="str">
        <f>"s1_node_"&amp;D60&amp;"_desc"</f>
        <v>s1_node_survival_desc</v>
      </c>
      <c r="G60" s="13" t="s">
        <v>142</v>
      </c>
      <c r="H60" s="13">
        <v>2</v>
      </c>
      <c r="I60" s="13" t="s">
        <v>27</v>
      </c>
      <c r="J60" s="13" t="s">
        <v>226</v>
      </c>
      <c r="K60" s="13">
        <v>1160</v>
      </c>
      <c r="L60" s="13">
        <v>3</v>
      </c>
      <c r="M60" s="13">
        <v>32</v>
      </c>
      <c r="N60" s="13">
        <v>6</v>
      </c>
      <c r="O60" s="13" t="s">
        <v>227</v>
      </c>
      <c r="P60" s="13"/>
      <c r="Q60" s="13"/>
      <c r="R60" s="13"/>
      <c r="S60" s="13"/>
      <c r="T60" s="13" t="str">
        <f>_xlfn.TEXTJOIN("_",TRUE,C60,"node_eff",D60,M60,N60)</f>
        <v>s1_node_eff_survival_32_6</v>
      </c>
    </row>
    <row r="61" spans="1:20" x14ac:dyDescent="0.45">
      <c r="A61" s="13" t="str">
        <f>_xlfn.TEXTJOIN("_",TRUE,C61,"node",D61,M61,N61)</f>
        <v>s1_node_survival_33_2</v>
      </c>
      <c r="B61" s="13" t="s">
        <v>0</v>
      </c>
      <c r="C61" s="13" t="s">
        <v>26</v>
      </c>
      <c r="D61" s="13" t="s">
        <v>102</v>
      </c>
      <c r="E61" s="13" t="str">
        <f>"s1_node_"&amp;D61&amp;"_name"</f>
        <v>s1_node_survival_name</v>
      </c>
      <c r="F61" s="13" t="str">
        <f>"s1_node_"&amp;D61&amp;"_desc"</f>
        <v>s1_node_survival_desc</v>
      </c>
      <c r="G61" s="13" t="s">
        <v>142</v>
      </c>
      <c r="H61" s="13">
        <v>2</v>
      </c>
      <c r="I61" s="13" t="s">
        <v>27</v>
      </c>
      <c r="J61" s="13" t="s">
        <v>228</v>
      </c>
      <c r="K61" s="13">
        <v>1190</v>
      </c>
      <c r="L61" s="13">
        <v>3</v>
      </c>
      <c r="M61" s="13">
        <v>33</v>
      </c>
      <c r="N61" s="13">
        <v>2</v>
      </c>
      <c r="O61" s="13" t="s">
        <v>229</v>
      </c>
      <c r="P61" s="13"/>
      <c r="Q61" s="13"/>
      <c r="R61" s="13"/>
      <c r="S61" s="13"/>
      <c r="T61" s="13" t="str">
        <f>_xlfn.TEXTJOIN("_",TRUE,C61,"node_eff",D61,M61,N61)</f>
        <v>s1_node_eff_survival_33_2</v>
      </c>
    </row>
    <row r="62" spans="1:20" x14ac:dyDescent="0.45">
      <c r="A62" s="13" t="str">
        <f>_xlfn.TEXTJOIN("_",TRUE,C62,"node",D62,M62,N62)</f>
        <v>s1_node_survival_33_6</v>
      </c>
      <c r="B62" s="13" t="s">
        <v>0</v>
      </c>
      <c r="C62" s="13" t="s">
        <v>26</v>
      </c>
      <c r="D62" s="13" t="s">
        <v>102</v>
      </c>
      <c r="E62" s="13" t="str">
        <f>"s1_node_"&amp;D62&amp;"_name"</f>
        <v>s1_node_survival_name</v>
      </c>
      <c r="F62" s="13" t="str">
        <f>"s1_node_"&amp;D62&amp;"_desc"</f>
        <v>s1_node_survival_desc</v>
      </c>
      <c r="G62" s="13" t="s">
        <v>138</v>
      </c>
      <c r="H62" s="13">
        <v>2</v>
      </c>
      <c r="I62" s="13" t="s">
        <v>27</v>
      </c>
      <c r="J62" s="13" t="s">
        <v>228</v>
      </c>
      <c r="K62" s="13">
        <v>1190</v>
      </c>
      <c r="L62" s="13">
        <v>3</v>
      </c>
      <c r="M62" s="13">
        <v>33</v>
      </c>
      <c r="N62" s="13">
        <v>6</v>
      </c>
      <c r="O62" s="13" t="s">
        <v>230</v>
      </c>
      <c r="P62" s="13"/>
      <c r="Q62" s="13"/>
      <c r="R62" s="13"/>
      <c r="S62" s="13"/>
      <c r="T62" s="13" t="str">
        <f>_xlfn.TEXTJOIN("_",TRUE,C62,"node_eff",D62,M62,N62)</f>
        <v>s1_node_eff_survival_33_6</v>
      </c>
    </row>
    <row r="63" spans="1:20" x14ac:dyDescent="0.45">
      <c r="A63" s="13" t="str">
        <f>_xlfn.TEXTJOIN("_",TRUE,C63,"node",D63,M63,N63)</f>
        <v>s1_node_survival_34_2</v>
      </c>
      <c r="B63" s="13" t="s">
        <v>0</v>
      </c>
      <c r="C63" s="13" t="s">
        <v>26</v>
      </c>
      <c r="D63" s="13" t="s">
        <v>102</v>
      </c>
      <c r="E63" s="13" t="str">
        <f>"s1_node_"&amp;D63&amp;"_name"</f>
        <v>s1_node_survival_name</v>
      </c>
      <c r="F63" s="13" t="str">
        <f>"s1_node_"&amp;D63&amp;"_desc"</f>
        <v>s1_node_survival_desc</v>
      </c>
      <c r="G63" s="13" t="s">
        <v>138</v>
      </c>
      <c r="H63" s="13">
        <v>2</v>
      </c>
      <c r="I63" s="13" t="s">
        <v>27</v>
      </c>
      <c r="J63" s="13" t="s">
        <v>231</v>
      </c>
      <c r="K63" s="13">
        <v>1230</v>
      </c>
      <c r="L63" s="13">
        <v>3</v>
      </c>
      <c r="M63" s="13">
        <v>34</v>
      </c>
      <c r="N63" s="13">
        <v>2</v>
      </c>
      <c r="O63" s="13" t="s">
        <v>232</v>
      </c>
      <c r="P63" s="13"/>
      <c r="Q63" s="13"/>
      <c r="R63" s="13"/>
      <c r="S63" s="13"/>
      <c r="T63" s="13" t="str">
        <f>_xlfn.TEXTJOIN("_",TRUE,C63,"node_eff",D63,M63,N63)</f>
        <v>s1_node_eff_survival_34_2</v>
      </c>
    </row>
    <row r="64" spans="1:20" x14ac:dyDescent="0.45">
      <c r="A64" s="13" t="str">
        <f>_xlfn.TEXTJOIN("_",TRUE,C64,"node",D64,M64,N64)</f>
        <v>s1_node_survival_34_6</v>
      </c>
      <c r="B64" s="13" t="s">
        <v>0</v>
      </c>
      <c r="C64" s="13" t="s">
        <v>26</v>
      </c>
      <c r="D64" s="13" t="s">
        <v>102</v>
      </c>
      <c r="E64" s="13" t="str">
        <f>"s1_node_"&amp;D64&amp;"_name"</f>
        <v>s1_node_survival_name</v>
      </c>
      <c r="F64" s="13" t="str">
        <f>"s1_node_"&amp;D64&amp;"_desc"</f>
        <v>s1_node_survival_desc</v>
      </c>
      <c r="G64" s="13" t="s">
        <v>138</v>
      </c>
      <c r="H64" s="13">
        <v>2</v>
      </c>
      <c r="I64" s="13" t="s">
        <v>27</v>
      </c>
      <c r="J64" s="13" t="s">
        <v>231</v>
      </c>
      <c r="K64" s="13">
        <v>1230</v>
      </c>
      <c r="L64" s="13">
        <v>3</v>
      </c>
      <c r="M64" s="13">
        <v>34</v>
      </c>
      <c r="N64" s="13">
        <v>6</v>
      </c>
      <c r="O64" s="13" t="s">
        <v>233</v>
      </c>
      <c r="P64" s="13"/>
      <c r="Q64" s="13"/>
      <c r="R64" s="13"/>
      <c r="S64" s="13"/>
      <c r="T64" s="13" t="str">
        <f>_xlfn.TEXTJOIN("_",TRUE,C64,"node_eff",D64,M64,N64)</f>
        <v>s1_node_eff_survival_34_6</v>
      </c>
    </row>
    <row r="65" spans="1:20" x14ac:dyDescent="0.45">
      <c r="A65" s="13" t="str">
        <f>_xlfn.TEXTJOIN("_",TRUE,C65,"node",D65,M65,N65)</f>
        <v>s1_node_survival_35_2</v>
      </c>
      <c r="B65" s="13" t="s">
        <v>0</v>
      </c>
      <c r="C65" s="13" t="s">
        <v>26</v>
      </c>
      <c r="D65" s="13" t="s">
        <v>102</v>
      </c>
      <c r="E65" s="13" t="str">
        <f>"s1_node_"&amp;D65&amp;"_name"</f>
        <v>s1_node_survival_name</v>
      </c>
      <c r="F65" s="13" t="str">
        <f>"s1_node_"&amp;D65&amp;"_desc"</f>
        <v>s1_node_survival_desc</v>
      </c>
      <c r="G65" s="13" t="s">
        <v>149</v>
      </c>
      <c r="H65" s="13">
        <v>2</v>
      </c>
      <c r="I65" s="13" t="s">
        <v>27</v>
      </c>
      <c r="J65" s="13" t="s">
        <v>234</v>
      </c>
      <c r="K65" s="13">
        <v>1260</v>
      </c>
      <c r="L65" s="13">
        <v>3</v>
      </c>
      <c r="M65" s="13">
        <v>35</v>
      </c>
      <c r="N65" s="13">
        <v>2</v>
      </c>
      <c r="O65" s="13" t="s">
        <v>235</v>
      </c>
      <c r="P65" s="13"/>
      <c r="Q65" s="13"/>
      <c r="R65" s="13"/>
      <c r="S65" s="13"/>
      <c r="T65" s="13" t="str">
        <f>_xlfn.TEXTJOIN("_",TRUE,C65,"node_eff",D65,M65,N65)</f>
        <v>s1_node_eff_survival_35_2</v>
      </c>
    </row>
    <row r="66" spans="1:20" x14ac:dyDescent="0.45">
      <c r="A66" s="13" t="str">
        <f>_xlfn.TEXTJOIN("_",TRUE,C66,"node",D66,M66,N66)</f>
        <v>s1_node_survival_35_6</v>
      </c>
      <c r="B66" s="13" t="s">
        <v>0</v>
      </c>
      <c r="C66" s="13" t="s">
        <v>26</v>
      </c>
      <c r="D66" s="13" t="s">
        <v>102</v>
      </c>
      <c r="E66" s="13" t="str">
        <f>"s1_node_"&amp;D66&amp;"_name"</f>
        <v>s1_node_survival_name</v>
      </c>
      <c r="F66" s="13" t="str">
        <f>"s1_node_"&amp;D66&amp;"_desc"</f>
        <v>s1_node_survival_desc</v>
      </c>
      <c r="G66" s="13" t="s">
        <v>149</v>
      </c>
      <c r="H66" s="13">
        <v>2</v>
      </c>
      <c r="I66" s="13" t="s">
        <v>27</v>
      </c>
      <c r="J66" s="13" t="s">
        <v>234</v>
      </c>
      <c r="K66" s="13">
        <v>1260</v>
      </c>
      <c r="L66" s="13">
        <v>3</v>
      </c>
      <c r="M66" s="13">
        <v>35</v>
      </c>
      <c r="N66" s="13">
        <v>6</v>
      </c>
      <c r="O66" s="13" t="s">
        <v>236</v>
      </c>
      <c r="P66" s="13"/>
      <c r="Q66" s="13"/>
      <c r="R66" s="13"/>
      <c r="S66" s="13"/>
      <c r="T66" s="13" t="str">
        <f>_xlfn.TEXTJOIN("_",TRUE,C66,"node_eff",D66,M66,N66)</f>
        <v>s1_node_eff_survival_35_6</v>
      </c>
    </row>
    <row r="67" spans="1:20" x14ac:dyDescent="0.45">
      <c r="A67" s="13" t="str">
        <f>_xlfn.TEXTJOIN("_",TRUE,C67,"node",D67,M67,N67)</f>
        <v>s1_node_survival_36_4</v>
      </c>
      <c r="B67" s="13" t="s">
        <v>0</v>
      </c>
      <c r="C67" s="13" t="s">
        <v>26</v>
      </c>
      <c r="D67" s="13" t="s">
        <v>102</v>
      </c>
      <c r="E67" s="13" t="str">
        <f>"s1_node_"&amp;D67&amp;"_name"</f>
        <v>s1_node_survival_name</v>
      </c>
      <c r="F67" s="13" t="str">
        <f>"s1_node_"&amp;D67&amp;"_desc"</f>
        <v>s1_node_survival_desc</v>
      </c>
      <c r="G67" s="13" t="s">
        <v>138</v>
      </c>
      <c r="H67" s="13">
        <v>2</v>
      </c>
      <c r="I67" s="13" t="s">
        <v>27</v>
      </c>
      <c r="J67" s="13" t="s">
        <v>237</v>
      </c>
      <c r="K67" s="13">
        <v>1300</v>
      </c>
      <c r="L67" s="13">
        <v>3</v>
      </c>
      <c r="M67" s="13">
        <v>36</v>
      </c>
      <c r="N67" s="13">
        <v>4</v>
      </c>
      <c r="O67" s="13" t="s">
        <v>238</v>
      </c>
      <c r="P67" s="13" t="s">
        <v>239</v>
      </c>
      <c r="Q67" s="13"/>
      <c r="R67" s="13"/>
      <c r="S67" s="13"/>
      <c r="T67" s="13" t="str">
        <f>_xlfn.TEXTJOIN("_",TRUE,C67,"node_eff",D67,M67,N67)</f>
        <v>s1_node_eff_survival_36_4</v>
      </c>
    </row>
    <row r="68" spans="1:20" x14ac:dyDescent="0.45">
      <c r="A68" s="13" t="str">
        <f>_xlfn.TEXTJOIN("_",TRUE,C68,"node",D68,M68,N68)</f>
        <v>s1_node_survival_37_2</v>
      </c>
      <c r="B68" s="13" t="s">
        <v>0</v>
      </c>
      <c r="C68" s="13" t="s">
        <v>26</v>
      </c>
      <c r="D68" s="13" t="s">
        <v>102</v>
      </c>
      <c r="E68" s="13" t="str">
        <f>"s1_node_"&amp;D68&amp;"_name"</f>
        <v>s1_node_survival_name</v>
      </c>
      <c r="F68" s="13" t="str">
        <f>"s1_node_"&amp;D68&amp;"_desc"</f>
        <v>s1_node_survival_desc</v>
      </c>
      <c r="G68" s="13" t="s">
        <v>138</v>
      </c>
      <c r="H68" s="13">
        <v>2</v>
      </c>
      <c r="I68" s="13" t="s">
        <v>27</v>
      </c>
      <c r="J68" s="13" t="s">
        <v>240</v>
      </c>
      <c r="K68" s="13">
        <v>1330</v>
      </c>
      <c r="L68" s="13">
        <v>3</v>
      </c>
      <c r="M68" s="13">
        <v>37</v>
      </c>
      <c r="N68" s="13">
        <v>2</v>
      </c>
      <c r="O68" s="13" t="s">
        <v>241</v>
      </c>
      <c r="P68" s="13"/>
      <c r="Q68" s="13"/>
      <c r="R68" s="13"/>
      <c r="S68" s="13"/>
      <c r="T68" s="13" t="str">
        <f>_xlfn.TEXTJOIN("_",TRUE,C68,"node_eff",D68,M68,N68)</f>
        <v>s1_node_eff_survival_37_2</v>
      </c>
    </row>
    <row r="69" spans="1:20" x14ac:dyDescent="0.45">
      <c r="A69" s="13" t="str">
        <f>_xlfn.TEXTJOIN("_",TRUE,C69,"node",D69,M69,N69)</f>
        <v>s1_node_survival_37_6</v>
      </c>
      <c r="B69" s="13" t="s">
        <v>0</v>
      </c>
      <c r="C69" s="13" t="s">
        <v>26</v>
      </c>
      <c r="D69" s="13" t="s">
        <v>102</v>
      </c>
      <c r="E69" s="13" t="str">
        <f>"s1_node_"&amp;D69&amp;"_name"</f>
        <v>s1_node_survival_name</v>
      </c>
      <c r="F69" s="13" t="str">
        <f>"s1_node_"&amp;D69&amp;"_desc"</f>
        <v>s1_node_survival_desc</v>
      </c>
      <c r="G69" s="13" t="s">
        <v>142</v>
      </c>
      <c r="H69" s="13">
        <v>2</v>
      </c>
      <c r="I69" s="13" t="s">
        <v>27</v>
      </c>
      <c r="J69" s="13" t="s">
        <v>240</v>
      </c>
      <c r="K69" s="13">
        <v>1330</v>
      </c>
      <c r="L69" s="13">
        <v>3</v>
      </c>
      <c r="M69" s="13">
        <v>37</v>
      </c>
      <c r="N69" s="13">
        <v>6</v>
      </c>
      <c r="O69" s="13" t="s">
        <v>241</v>
      </c>
      <c r="P69" s="13"/>
      <c r="Q69" s="13"/>
      <c r="R69" s="13"/>
      <c r="S69" s="13"/>
      <c r="T69" s="13" t="str">
        <f>_xlfn.TEXTJOIN("_",TRUE,C69,"node_eff",D69,M69,N69)</f>
        <v>s1_node_eff_survival_37_6</v>
      </c>
    </row>
    <row r="70" spans="1:20" x14ac:dyDescent="0.45">
      <c r="A70" s="13" t="str">
        <f>_xlfn.TEXTJOIN("_",TRUE,C70,"node",D70,M70,N70)</f>
        <v>s1_node_survival_38_2</v>
      </c>
      <c r="B70" s="13" t="s">
        <v>0</v>
      </c>
      <c r="C70" s="13" t="s">
        <v>26</v>
      </c>
      <c r="D70" s="13" t="s">
        <v>102</v>
      </c>
      <c r="E70" s="13" t="str">
        <f>"s1_node_"&amp;D70&amp;"_name"</f>
        <v>s1_node_survival_name</v>
      </c>
      <c r="F70" s="13" t="str">
        <f>"s1_node_"&amp;D70&amp;"_desc"</f>
        <v>s1_node_survival_desc</v>
      </c>
      <c r="G70" s="13" t="s">
        <v>142</v>
      </c>
      <c r="H70" s="13">
        <v>2</v>
      </c>
      <c r="I70" s="13" t="s">
        <v>27</v>
      </c>
      <c r="J70" s="13" t="s">
        <v>242</v>
      </c>
      <c r="K70" s="13">
        <v>1370</v>
      </c>
      <c r="L70" s="13">
        <v>3</v>
      </c>
      <c r="M70" s="13">
        <v>38</v>
      </c>
      <c r="N70" s="13">
        <v>2</v>
      </c>
      <c r="O70" s="13" t="s">
        <v>243</v>
      </c>
      <c r="P70" s="13"/>
      <c r="Q70" s="13"/>
      <c r="R70" s="13"/>
      <c r="S70" s="13"/>
      <c r="T70" s="13" t="str">
        <f>_xlfn.TEXTJOIN("_",TRUE,C70,"node_eff",D70,M70,N70)</f>
        <v>s1_node_eff_survival_38_2</v>
      </c>
    </row>
    <row r="71" spans="1:20" x14ac:dyDescent="0.45">
      <c r="A71" s="13" t="str">
        <f>_xlfn.TEXTJOIN("_",TRUE,C71,"node",D71,M71,N71)</f>
        <v>s1_node_survival_38_6</v>
      </c>
      <c r="B71" s="13" t="s">
        <v>0</v>
      </c>
      <c r="C71" s="13" t="s">
        <v>26</v>
      </c>
      <c r="D71" s="13" t="s">
        <v>102</v>
      </c>
      <c r="E71" s="13" t="str">
        <f>"s1_node_"&amp;D71&amp;"_name"</f>
        <v>s1_node_survival_name</v>
      </c>
      <c r="F71" s="13" t="str">
        <f>"s1_node_"&amp;D71&amp;"_desc"</f>
        <v>s1_node_survival_desc</v>
      </c>
      <c r="G71" s="13" t="s">
        <v>138</v>
      </c>
      <c r="H71" s="13">
        <v>2</v>
      </c>
      <c r="I71" s="13" t="s">
        <v>27</v>
      </c>
      <c r="J71" s="13" t="s">
        <v>242</v>
      </c>
      <c r="K71" s="13">
        <v>1370</v>
      </c>
      <c r="L71" s="13">
        <v>3</v>
      </c>
      <c r="M71" s="13">
        <v>38</v>
      </c>
      <c r="N71" s="13">
        <v>6</v>
      </c>
      <c r="O71" s="13" t="s">
        <v>244</v>
      </c>
      <c r="P71" s="13"/>
      <c r="Q71" s="13"/>
      <c r="R71" s="13"/>
      <c r="S71" s="13"/>
      <c r="T71" s="13" t="str">
        <f>_xlfn.TEXTJOIN("_",TRUE,C71,"node_eff",D71,M71,N71)</f>
        <v>s1_node_eff_survival_38_6</v>
      </c>
    </row>
    <row r="72" spans="1:20" x14ac:dyDescent="0.45">
      <c r="A72" s="13" t="str">
        <f>_xlfn.TEXTJOIN("_",TRUE,C72,"node",D72,M72,N72)</f>
        <v>s1_node_survival_39_2</v>
      </c>
      <c r="B72" s="13" t="s">
        <v>0</v>
      </c>
      <c r="C72" s="13" t="s">
        <v>26</v>
      </c>
      <c r="D72" s="13" t="s">
        <v>102</v>
      </c>
      <c r="E72" s="13" t="str">
        <f>"s1_node_"&amp;D72&amp;"_name"</f>
        <v>s1_node_survival_name</v>
      </c>
      <c r="F72" s="13" t="str">
        <f>"s1_node_"&amp;D72&amp;"_desc"</f>
        <v>s1_node_survival_desc</v>
      </c>
      <c r="G72" s="13" t="s">
        <v>138</v>
      </c>
      <c r="H72" s="13">
        <v>2</v>
      </c>
      <c r="I72" s="13" t="s">
        <v>27</v>
      </c>
      <c r="J72" s="13" t="s">
        <v>245</v>
      </c>
      <c r="K72" s="13">
        <v>1400</v>
      </c>
      <c r="L72" s="13">
        <v>3</v>
      </c>
      <c r="M72" s="13">
        <v>39</v>
      </c>
      <c r="N72" s="13">
        <v>2</v>
      </c>
      <c r="O72" s="13" t="s">
        <v>246</v>
      </c>
      <c r="P72" s="13"/>
      <c r="Q72" s="13"/>
      <c r="R72" s="13"/>
      <c r="S72" s="13"/>
      <c r="T72" s="13" t="str">
        <f>_xlfn.TEXTJOIN("_",TRUE,C72,"node_eff",D72,M72,N72)</f>
        <v>s1_node_eff_survival_39_2</v>
      </c>
    </row>
    <row r="73" spans="1:20" x14ac:dyDescent="0.45">
      <c r="A73" s="13" t="str">
        <f>_xlfn.TEXTJOIN("_",TRUE,C73,"node",D73,M73,N73)</f>
        <v>s1_node_survival_39_6</v>
      </c>
      <c r="B73" s="13" t="s">
        <v>0</v>
      </c>
      <c r="C73" s="13" t="s">
        <v>26</v>
      </c>
      <c r="D73" s="13" t="s">
        <v>102</v>
      </c>
      <c r="E73" s="13" t="str">
        <f>"s1_node_"&amp;D73&amp;"_name"</f>
        <v>s1_node_survival_name</v>
      </c>
      <c r="F73" s="13" t="str">
        <f>"s1_node_"&amp;D73&amp;"_desc"</f>
        <v>s1_node_survival_desc</v>
      </c>
      <c r="G73" s="13" t="s">
        <v>138</v>
      </c>
      <c r="H73" s="13">
        <v>2</v>
      </c>
      <c r="I73" s="13" t="s">
        <v>27</v>
      </c>
      <c r="J73" s="13" t="s">
        <v>245</v>
      </c>
      <c r="K73" s="13">
        <v>1400</v>
      </c>
      <c r="L73" s="13">
        <v>3</v>
      </c>
      <c r="M73" s="13">
        <v>39</v>
      </c>
      <c r="N73" s="13">
        <v>6</v>
      </c>
      <c r="O73" s="13" t="s">
        <v>247</v>
      </c>
      <c r="P73" s="13"/>
      <c r="Q73" s="13"/>
      <c r="R73" s="13"/>
      <c r="S73" s="13"/>
      <c r="T73" s="13" t="str">
        <f>_xlfn.TEXTJOIN("_",TRUE,C73,"node_eff",D73,M73,N73)</f>
        <v>s1_node_eff_survival_39_6</v>
      </c>
    </row>
    <row r="74" spans="1:20" x14ac:dyDescent="0.45">
      <c r="A74" s="13" t="str">
        <f>_xlfn.TEXTJOIN("_",TRUE,C74,"node",D74,M74,N74)</f>
        <v>s1_node_survival_40_2</v>
      </c>
      <c r="B74" s="13" t="s">
        <v>0</v>
      </c>
      <c r="C74" s="13" t="s">
        <v>26</v>
      </c>
      <c r="D74" s="13" t="s">
        <v>102</v>
      </c>
      <c r="E74" s="13" t="str">
        <f>"s1_node_"&amp;D74&amp;"_name"</f>
        <v>s1_node_survival_name</v>
      </c>
      <c r="F74" s="13" t="str">
        <f>"s1_node_"&amp;D74&amp;"_desc"</f>
        <v>s1_node_survival_desc</v>
      </c>
      <c r="G74" s="13" t="s">
        <v>149</v>
      </c>
      <c r="H74" s="13">
        <v>2</v>
      </c>
      <c r="I74" s="13" t="s">
        <v>27</v>
      </c>
      <c r="J74" s="13" t="s">
        <v>248</v>
      </c>
      <c r="K74" s="13">
        <v>1440</v>
      </c>
      <c r="L74" s="13">
        <v>3</v>
      </c>
      <c r="M74" s="13">
        <v>40</v>
      </c>
      <c r="N74" s="13">
        <v>2</v>
      </c>
      <c r="O74" s="13" t="s">
        <v>249</v>
      </c>
      <c r="P74" s="13"/>
      <c r="Q74" s="13"/>
      <c r="R74" s="13"/>
      <c r="S74" s="13"/>
      <c r="T74" s="13" t="str">
        <f>_xlfn.TEXTJOIN("_",TRUE,C74,"node_eff",D74,M74,N74)</f>
        <v>s1_node_eff_survival_40_2</v>
      </c>
    </row>
    <row r="75" spans="1:20" x14ac:dyDescent="0.45">
      <c r="A75" s="13" t="str">
        <f>_xlfn.TEXTJOIN("_",TRUE,C75,"node",D75,M75,N75)</f>
        <v>s1_node_survival_40_6</v>
      </c>
      <c r="B75" s="13" t="s">
        <v>0</v>
      </c>
      <c r="C75" s="13" t="s">
        <v>26</v>
      </c>
      <c r="D75" s="13" t="s">
        <v>102</v>
      </c>
      <c r="E75" s="13" t="str">
        <f>"s1_node_"&amp;D75&amp;"_name"</f>
        <v>s1_node_survival_name</v>
      </c>
      <c r="F75" s="13" t="str">
        <f>"s1_node_"&amp;D75&amp;"_desc"</f>
        <v>s1_node_survival_desc</v>
      </c>
      <c r="G75" s="13" t="s">
        <v>149</v>
      </c>
      <c r="H75" s="13">
        <v>2</v>
      </c>
      <c r="I75" s="13" t="s">
        <v>27</v>
      </c>
      <c r="J75" s="13" t="s">
        <v>248</v>
      </c>
      <c r="K75" s="13">
        <v>1440</v>
      </c>
      <c r="L75" s="13">
        <v>3</v>
      </c>
      <c r="M75" s="13">
        <v>40</v>
      </c>
      <c r="N75" s="13">
        <v>6</v>
      </c>
      <c r="O75" s="13" t="s">
        <v>250</v>
      </c>
      <c r="P75" s="13"/>
      <c r="Q75" s="13"/>
      <c r="R75" s="13"/>
      <c r="S75" s="13"/>
      <c r="T75" s="13" t="str">
        <f>_xlfn.TEXTJOIN("_",TRUE,C75,"node_eff",D75,M75,N75)</f>
        <v>s1_node_eff_survival_40_6</v>
      </c>
    </row>
    <row r="76" spans="1:20" x14ac:dyDescent="0.45">
      <c r="A76" s="0" t="str">
        <f>_xlfn.TEXTJOIN("_",TRUE,C76,"node",D76,M76,N76)</f>
        <v>s1_node_survival_41_4</v>
      </c>
      <c r="B76" s="0" t="s">
        <v>0</v>
      </c>
      <c r="C76" s="0" t="s">
        <v>26</v>
      </c>
      <c r="D76" s="0" t="s">
        <v>102</v>
      </c>
      <c r="E76" s="0" t="str">
        <f>"s1_node_"&amp;D76&amp;"_name"</f>
        <v>s1_node_survival_name</v>
      </c>
      <c r="F76" s="13" t="str">
        <f>"s1_node_"&amp;D76&amp;"_desc"</f>
        <v>s1_node_survival_desc</v>
      </c>
      <c r="G76" s="0" t="s">
        <v>138</v>
      </c>
      <c r="H76" s="0">
        <v>3</v>
      </c>
      <c r="I76" s="0" t="s">
        <v>27</v>
      </c>
      <c r="J76" s="0" t="s">
        <v>251</v>
      </c>
      <c r="K76" s="0">
        <v>1470</v>
      </c>
      <c r="L76" s="13">
        <v>3</v>
      </c>
      <c r="M76" s="0">
        <v>41</v>
      </c>
      <c r="N76" s="0">
        <v>4</v>
      </c>
      <c r="O76" s="0" t="s">
        <v>252</v>
      </c>
      <c r="P76" s="0" t="s">
        <v>253</v>
      </c>
      <c r="T76" s="0" t="str">
        <f>_xlfn.TEXTJOIN("_",TRUE,C76,"node_eff",D76,M76,N76)</f>
        <v>s1_node_eff_survival_41_4</v>
      </c>
    </row>
    <row r="77" spans="1:20" x14ac:dyDescent="0.45">
      <c r="A77" s="0" t="str">
        <f>_xlfn.TEXTJOIN("_",TRUE,C77,"node",D77,M77,N77)</f>
        <v>s1_node_survival_42_2</v>
      </c>
      <c r="B77" s="0" t="s">
        <v>0</v>
      </c>
      <c r="C77" s="0" t="s">
        <v>26</v>
      </c>
      <c r="D77" s="0" t="s">
        <v>102</v>
      </c>
      <c r="E77" s="0" t="str">
        <f>"s1_node_"&amp;D77&amp;"_name"</f>
        <v>s1_node_survival_name</v>
      </c>
      <c r="F77" s="13" t="str">
        <f>"s1_node_"&amp;D77&amp;"_desc"</f>
        <v>s1_node_survival_desc</v>
      </c>
      <c r="G77" s="0" t="s">
        <v>138</v>
      </c>
      <c r="H77" s="0">
        <v>3</v>
      </c>
      <c r="I77" s="0" t="s">
        <v>27</v>
      </c>
      <c r="J77" s="0" t="s">
        <v>254</v>
      </c>
      <c r="K77" s="0">
        <v>1510</v>
      </c>
      <c r="L77" s="13">
        <v>3</v>
      </c>
      <c r="M77" s="0">
        <v>42</v>
      </c>
      <c r="N77" s="0">
        <v>2</v>
      </c>
      <c r="O77" s="0" t="s">
        <v>255</v>
      </c>
      <c r="T77" s="0" t="str">
        <f>_xlfn.TEXTJOIN("_",TRUE,C77,"node_eff",D77,M77,N77)</f>
        <v>s1_node_eff_survival_42_2</v>
      </c>
    </row>
    <row r="78" spans="1:20" x14ac:dyDescent="0.45">
      <c r="A78" s="0" t="str">
        <f>_xlfn.TEXTJOIN("_",TRUE,C78,"node",D78,M78,N78)</f>
        <v>s1_node_survival_42_6</v>
      </c>
      <c r="B78" s="0" t="s">
        <v>0</v>
      </c>
      <c r="C78" s="0" t="s">
        <v>26</v>
      </c>
      <c r="D78" s="0" t="s">
        <v>102</v>
      </c>
      <c r="E78" s="0" t="str">
        <f>"s1_node_"&amp;D78&amp;"_name"</f>
        <v>s1_node_survival_name</v>
      </c>
      <c r="F78" s="13" t="str">
        <f>"s1_node_"&amp;D78&amp;"_desc"</f>
        <v>s1_node_survival_desc</v>
      </c>
      <c r="G78" s="0" t="s">
        <v>142</v>
      </c>
      <c r="H78" s="0">
        <v>3</v>
      </c>
      <c r="I78" s="0" t="s">
        <v>27</v>
      </c>
      <c r="J78" s="0" t="s">
        <v>254</v>
      </c>
      <c r="K78" s="0">
        <v>1510</v>
      </c>
      <c r="L78" s="13">
        <v>3</v>
      </c>
      <c r="M78" s="0">
        <v>42</v>
      </c>
      <c r="N78" s="0">
        <v>6</v>
      </c>
      <c r="O78" s="0" t="s">
        <v>255</v>
      </c>
      <c r="T78" s="0" t="str">
        <f>_xlfn.TEXTJOIN("_",TRUE,C78,"node_eff",D78,M78,N78)</f>
        <v>s1_node_eff_survival_42_6</v>
      </c>
    </row>
    <row r="79" spans="1:20" x14ac:dyDescent="0.45">
      <c r="A79" s="0" t="str">
        <f>_xlfn.TEXTJOIN("_",TRUE,C79,"node",D79,M79,N79)</f>
        <v>s1_node_survival_43_2</v>
      </c>
      <c r="B79" s="0" t="s">
        <v>0</v>
      </c>
      <c r="C79" s="0" t="s">
        <v>26</v>
      </c>
      <c r="D79" s="0" t="s">
        <v>102</v>
      </c>
      <c r="E79" s="0" t="str">
        <f>"s1_node_"&amp;D79&amp;"_name"</f>
        <v>s1_node_survival_name</v>
      </c>
      <c r="F79" s="13" t="str">
        <f>"s1_node_"&amp;D79&amp;"_desc"</f>
        <v>s1_node_survival_desc</v>
      </c>
      <c r="G79" s="0" t="s">
        <v>142</v>
      </c>
      <c r="H79" s="0">
        <v>3</v>
      </c>
      <c r="I79" s="0" t="s">
        <v>27</v>
      </c>
      <c r="J79" s="0" t="s">
        <v>256</v>
      </c>
      <c r="K79" s="0">
        <v>1540</v>
      </c>
      <c r="L79" s="13">
        <v>3</v>
      </c>
      <c r="M79" s="0">
        <v>43</v>
      </c>
      <c r="N79" s="0">
        <v>2</v>
      </c>
      <c r="O79" s="0" t="s">
        <v>257</v>
      </c>
      <c r="T79" s="0" t="str">
        <f>_xlfn.TEXTJOIN("_",TRUE,C79,"node_eff",D79,M79,N79)</f>
        <v>s1_node_eff_survival_43_2</v>
      </c>
    </row>
    <row r="80" spans="1:20" x14ac:dyDescent="0.45">
      <c r="A80" s="0" t="str">
        <f>_xlfn.TEXTJOIN("_",TRUE,C80,"node",D80,M80,N80)</f>
        <v>s1_node_survival_43_6</v>
      </c>
      <c r="B80" s="0" t="s">
        <v>0</v>
      </c>
      <c r="C80" s="0" t="s">
        <v>26</v>
      </c>
      <c r="D80" s="0" t="s">
        <v>102</v>
      </c>
      <c r="E80" s="0" t="str">
        <f>"s1_node_"&amp;D80&amp;"_name"</f>
        <v>s1_node_survival_name</v>
      </c>
      <c r="F80" s="13" t="str">
        <f>"s1_node_"&amp;D80&amp;"_desc"</f>
        <v>s1_node_survival_desc</v>
      </c>
      <c r="G80" s="0" t="s">
        <v>138</v>
      </c>
      <c r="H80" s="0">
        <v>3</v>
      </c>
      <c r="I80" s="0" t="s">
        <v>27</v>
      </c>
      <c r="J80" s="0" t="s">
        <v>256</v>
      </c>
      <c r="K80" s="0">
        <v>1540</v>
      </c>
      <c r="L80" s="13">
        <v>3</v>
      </c>
      <c r="M80" s="0">
        <v>43</v>
      </c>
      <c r="N80" s="0">
        <v>6</v>
      </c>
      <c r="O80" s="0" t="s">
        <v>258</v>
      </c>
      <c r="T80" s="0" t="str">
        <f>_xlfn.TEXTJOIN("_",TRUE,C80,"node_eff",D80,M80,N80)</f>
        <v>s1_node_eff_survival_43_6</v>
      </c>
    </row>
    <row r="81" spans="1:20" x14ac:dyDescent="0.45">
      <c r="A81" s="0" t="str">
        <f>_xlfn.TEXTJOIN("_",TRUE,C81,"node",D81,M81,N81)</f>
        <v>s1_node_survival_44_2</v>
      </c>
      <c r="B81" s="0" t="s">
        <v>0</v>
      </c>
      <c r="C81" s="0" t="s">
        <v>26</v>
      </c>
      <c r="D81" s="0" t="s">
        <v>102</v>
      </c>
      <c r="E81" s="0" t="str">
        <f>"s1_node_"&amp;D81&amp;"_name"</f>
        <v>s1_node_survival_name</v>
      </c>
      <c r="F81" s="13" t="str">
        <f>"s1_node_"&amp;D81&amp;"_desc"</f>
        <v>s1_node_survival_desc</v>
      </c>
      <c r="G81" s="0" t="s">
        <v>138</v>
      </c>
      <c r="H81" s="0">
        <v>3</v>
      </c>
      <c r="I81" s="0" t="s">
        <v>27</v>
      </c>
      <c r="J81" s="0" t="s">
        <v>259</v>
      </c>
      <c r="K81" s="0">
        <v>1570</v>
      </c>
      <c r="L81" s="13">
        <v>3</v>
      </c>
      <c r="M81" s="0">
        <v>44</v>
      </c>
      <c r="N81" s="0">
        <v>2</v>
      </c>
      <c r="O81" s="0" t="s">
        <v>260</v>
      </c>
      <c r="T81" s="0" t="str">
        <f>_xlfn.TEXTJOIN("_",TRUE,C81,"node_eff",D81,M81,N81)</f>
        <v>s1_node_eff_survival_44_2</v>
      </c>
    </row>
    <row r="82" spans="1:20" x14ac:dyDescent="0.45">
      <c r="A82" s="0" t="str">
        <f>_xlfn.TEXTJOIN("_",TRUE,C82,"node",D82,M82,N82)</f>
        <v>s1_node_survival_44_6</v>
      </c>
      <c r="B82" s="0" t="s">
        <v>0</v>
      </c>
      <c r="C82" s="0" t="s">
        <v>26</v>
      </c>
      <c r="D82" s="0" t="s">
        <v>102</v>
      </c>
      <c r="E82" s="0" t="str">
        <f>"s1_node_"&amp;D82&amp;"_name"</f>
        <v>s1_node_survival_name</v>
      </c>
      <c r="F82" s="13" t="str">
        <f>"s1_node_"&amp;D82&amp;"_desc"</f>
        <v>s1_node_survival_desc</v>
      </c>
      <c r="G82" s="0" t="s">
        <v>138</v>
      </c>
      <c r="H82" s="0">
        <v>3</v>
      </c>
      <c r="I82" s="0" t="s">
        <v>27</v>
      </c>
      <c r="J82" s="0" t="s">
        <v>259</v>
      </c>
      <c r="K82" s="0">
        <v>1570</v>
      </c>
      <c r="L82" s="13">
        <v>3</v>
      </c>
      <c r="M82" s="0">
        <v>44</v>
      </c>
      <c r="N82" s="0">
        <v>6</v>
      </c>
      <c r="O82" s="0" t="s">
        <v>261</v>
      </c>
      <c r="T82" s="0" t="str">
        <f>_xlfn.TEXTJOIN("_",TRUE,C82,"node_eff",D82,M82,N82)</f>
        <v>s1_node_eff_survival_44_6</v>
      </c>
    </row>
    <row r="83" spans="1:20" x14ac:dyDescent="0.45">
      <c r="A83" s="0" t="str">
        <f>_xlfn.TEXTJOIN("_",TRUE,C83,"node",D83,M83,N83)</f>
        <v>s1_node_survival_45_2</v>
      </c>
      <c r="B83" s="0" t="s">
        <v>0</v>
      </c>
      <c r="C83" s="0" t="s">
        <v>26</v>
      </c>
      <c r="D83" s="0" t="s">
        <v>102</v>
      </c>
      <c r="E83" s="0" t="str">
        <f>"s1_node_"&amp;D83&amp;"_name"</f>
        <v>s1_node_survival_name</v>
      </c>
      <c r="F83" s="13" t="str">
        <f>"s1_node_"&amp;D83&amp;"_desc"</f>
        <v>s1_node_survival_desc</v>
      </c>
      <c r="G83" s="0" t="s">
        <v>149</v>
      </c>
      <c r="H83" s="0">
        <v>3</v>
      </c>
      <c r="I83" s="0" t="s">
        <v>27</v>
      </c>
      <c r="J83" s="0" t="s">
        <v>262</v>
      </c>
      <c r="K83" s="0">
        <v>1610</v>
      </c>
      <c r="L83" s="13">
        <v>3</v>
      </c>
      <c r="M83" s="0">
        <v>45</v>
      </c>
      <c r="N83" s="0">
        <v>2</v>
      </c>
      <c r="O83" s="0" t="s">
        <v>263</v>
      </c>
      <c r="T83" s="0" t="str">
        <f>_xlfn.TEXTJOIN("_",TRUE,C83,"node_eff",D83,M83,N83)</f>
        <v>s1_node_eff_survival_45_2</v>
      </c>
    </row>
    <row r="84" spans="1:20" x14ac:dyDescent="0.45">
      <c r="A84" s="0" t="str">
        <f>_xlfn.TEXTJOIN("_",TRUE,C84,"node",D84,M84,N84)</f>
        <v>s1_node_survival_45_6</v>
      </c>
      <c r="B84" s="0" t="s">
        <v>0</v>
      </c>
      <c r="C84" s="0" t="s">
        <v>26</v>
      </c>
      <c r="D84" s="0" t="s">
        <v>102</v>
      </c>
      <c r="E84" s="0" t="str">
        <f>"s1_node_"&amp;D84&amp;"_name"</f>
        <v>s1_node_survival_name</v>
      </c>
      <c r="F84" s="13" t="str">
        <f>"s1_node_"&amp;D84&amp;"_desc"</f>
        <v>s1_node_survival_desc</v>
      </c>
      <c r="G84" s="0" t="s">
        <v>149</v>
      </c>
      <c r="H84" s="0">
        <v>3</v>
      </c>
      <c r="I84" s="0" t="s">
        <v>27</v>
      </c>
      <c r="J84" s="0" t="s">
        <v>262</v>
      </c>
      <c r="K84" s="0">
        <v>1610</v>
      </c>
      <c r="L84" s="13">
        <v>3</v>
      </c>
      <c r="M84" s="0">
        <v>45</v>
      </c>
      <c r="N84" s="0">
        <v>6</v>
      </c>
      <c r="O84" s="0" t="s">
        <v>264</v>
      </c>
      <c r="T84" s="0" t="str">
        <f>_xlfn.TEXTJOIN("_",TRUE,C84,"node_eff",D84,M84,N84)</f>
        <v>s1_node_eff_survival_45_6</v>
      </c>
    </row>
    <row r="85" spans="1:20" x14ac:dyDescent="0.45">
      <c r="A85" s="0" t="str">
        <f>_xlfn.TEXTJOIN("_",TRUE,C85,"node",D85,M85,N85)</f>
        <v>s1_node_survival_46_4</v>
      </c>
      <c r="B85" s="0" t="s">
        <v>0</v>
      </c>
      <c r="C85" s="0" t="s">
        <v>26</v>
      </c>
      <c r="D85" s="0" t="s">
        <v>102</v>
      </c>
      <c r="E85" s="0" t="str">
        <f>"s1_node_"&amp;D85&amp;"_name"</f>
        <v>s1_node_survival_name</v>
      </c>
      <c r="F85" s="13" t="str">
        <f>"s1_node_"&amp;D85&amp;"_desc"</f>
        <v>s1_node_survival_desc</v>
      </c>
      <c r="G85" s="0" t="s">
        <v>138</v>
      </c>
      <c r="H85" s="0">
        <v>3</v>
      </c>
      <c r="I85" s="0" t="s">
        <v>27</v>
      </c>
      <c r="J85" s="0" t="s">
        <v>265</v>
      </c>
      <c r="K85" s="0">
        <v>1640</v>
      </c>
      <c r="L85" s="13">
        <v>3</v>
      </c>
      <c r="M85" s="0">
        <v>46</v>
      </c>
      <c r="N85" s="0">
        <v>4</v>
      </c>
      <c r="O85" s="0" t="s">
        <v>266</v>
      </c>
      <c r="P85" s="0" t="s">
        <v>267</v>
      </c>
      <c r="T85" s="0" t="str">
        <f>_xlfn.TEXTJOIN("_",TRUE,C85,"node_eff",D85,M85,N85)</f>
        <v>s1_node_eff_survival_46_4</v>
      </c>
    </row>
    <row r="86" spans="1:20" x14ac:dyDescent="0.45">
      <c r="A86" s="0" t="str">
        <f>_xlfn.TEXTJOIN("_",TRUE,C86,"node",D86,M86,N86)</f>
        <v>s1_node_survival_47_2</v>
      </c>
      <c r="B86" s="0" t="s">
        <v>0</v>
      </c>
      <c r="C86" s="0" t="s">
        <v>26</v>
      </c>
      <c r="D86" s="0" t="s">
        <v>102</v>
      </c>
      <c r="E86" s="0" t="str">
        <f>"s1_node_"&amp;D86&amp;"_name"</f>
        <v>s1_node_survival_name</v>
      </c>
      <c r="F86" s="13" t="str">
        <f>"s1_node_"&amp;D86&amp;"_desc"</f>
        <v>s1_node_survival_desc</v>
      </c>
      <c r="G86" s="0" t="s">
        <v>138</v>
      </c>
      <c r="H86" s="0">
        <v>3</v>
      </c>
      <c r="I86" s="0" t="s">
        <v>27</v>
      </c>
      <c r="J86" s="0" t="s">
        <v>268</v>
      </c>
      <c r="K86" s="0">
        <v>1680</v>
      </c>
      <c r="L86" s="13">
        <v>3</v>
      </c>
      <c r="M86" s="0">
        <v>47</v>
      </c>
      <c r="N86" s="0">
        <v>2</v>
      </c>
      <c r="O86" s="0" t="s">
        <v>269</v>
      </c>
      <c r="T86" s="0" t="str">
        <f>_xlfn.TEXTJOIN("_",TRUE,C86,"node_eff",D86,M86,N86)</f>
        <v>s1_node_eff_survival_47_2</v>
      </c>
    </row>
    <row r="87" spans="1:20" x14ac:dyDescent="0.45">
      <c r="A87" s="0" t="str">
        <f>_xlfn.TEXTJOIN("_",TRUE,C87,"node",D87,M87,N87)</f>
        <v>s1_node_survival_47_6</v>
      </c>
      <c r="B87" s="0" t="s">
        <v>0</v>
      </c>
      <c r="C87" s="0" t="s">
        <v>26</v>
      </c>
      <c r="D87" s="0" t="s">
        <v>102</v>
      </c>
      <c r="E87" s="0" t="str">
        <f>"s1_node_"&amp;D87&amp;"_name"</f>
        <v>s1_node_survival_name</v>
      </c>
      <c r="F87" s="13" t="str">
        <f>"s1_node_"&amp;D87&amp;"_desc"</f>
        <v>s1_node_survival_desc</v>
      </c>
      <c r="G87" s="0" t="s">
        <v>142</v>
      </c>
      <c r="H87" s="0">
        <v>3</v>
      </c>
      <c r="I87" s="0" t="s">
        <v>27</v>
      </c>
      <c r="J87" s="0" t="s">
        <v>268</v>
      </c>
      <c r="K87" s="0">
        <v>1680</v>
      </c>
      <c r="L87" s="13">
        <v>3</v>
      </c>
      <c r="M87" s="0">
        <v>47</v>
      </c>
      <c r="N87" s="0">
        <v>6</v>
      </c>
      <c r="O87" s="0" t="s">
        <v>269</v>
      </c>
      <c r="T87" s="0" t="str">
        <f>_xlfn.TEXTJOIN("_",TRUE,C87,"node_eff",D87,M87,N87)</f>
        <v>s1_node_eff_survival_47_6</v>
      </c>
    </row>
    <row r="88" spans="1:20" x14ac:dyDescent="0.45">
      <c r="A88" s="0" t="str">
        <f>_xlfn.TEXTJOIN("_",TRUE,C88,"node",D88,M88,N88)</f>
        <v>s1_node_survival_48_2</v>
      </c>
      <c r="B88" s="0" t="s">
        <v>0</v>
      </c>
      <c r="C88" s="0" t="s">
        <v>26</v>
      </c>
      <c r="D88" s="0" t="s">
        <v>102</v>
      </c>
      <c r="E88" s="0" t="str">
        <f>"s1_node_"&amp;D88&amp;"_name"</f>
        <v>s1_node_survival_name</v>
      </c>
      <c r="F88" s="13" t="str">
        <f>"s1_node_"&amp;D88&amp;"_desc"</f>
        <v>s1_node_survival_desc</v>
      </c>
      <c r="G88" s="0" t="s">
        <v>142</v>
      </c>
      <c r="H88" s="0">
        <v>3</v>
      </c>
      <c r="I88" s="0" t="s">
        <v>27</v>
      </c>
      <c r="J88" s="0" t="s">
        <v>270</v>
      </c>
      <c r="K88" s="0">
        <v>1710</v>
      </c>
      <c r="L88" s="13">
        <v>3</v>
      </c>
      <c r="M88" s="0">
        <v>48</v>
      </c>
      <c r="N88" s="0">
        <v>2</v>
      </c>
      <c r="O88" s="0" t="s">
        <v>271</v>
      </c>
      <c r="T88" s="0" t="str">
        <f>_xlfn.TEXTJOIN("_",TRUE,C88,"node_eff",D88,M88,N88)</f>
        <v>s1_node_eff_survival_48_2</v>
      </c>
    </row>
    <row r="89" spans="1:20" x14ac:dyDescent="0.45">
      <c r="A89" s="0" t="str">
        <f>_xlfn.TEXTJOIN("_",TRUE,C89,"node",D89,M89,N89)</f>
        <v>s1_node_survival_48_6</v>
      </c>
      <c r="B89" s="0" t="s">
        <v>0</v>
      </c>
      <c r="C89" s="0" t="s">
        <v>26</v>
      </c>
      <c r="D89" s="0" t="s">
        <v>102</v>
      </c>
      <c r="E89" s="0" t="str">
        <f>"s1_node_"&amp;D89&amp;"_name"</f>
        <v>s1_node_survival_name</v>
      </c>
      <c r="F89" s="13" t="str">
        <f>"s1_node_"&amp;D89&amp;"_desc"</f>
        <v>s1_node_survival_desc</v>
      </c>
      <c r="G89" s="0" t="s">
        <v>138</v>
      </c>
      <c r="H89" s="0">
        <v>3</v>
      </c>
      <c r="I89" s="0" t="s">
        <v>27</v>
      </c>
      <c r="J89" s="0" t="s">
        <v>270</v>
      </c>
      <c r="K89" s="0">
        <v>1710</v>
      </c>
      <c r="L89" s="13">
        <v>3</v>
      </c>
      <c r="M89" s="0">
        <v>48</v>
      </c>
      <c r="N89" s="0">
        <v>6</v>
      </c>
      <c r="O89" s="0" t="s">
        <v>272</v>
      </c>
      <c r="T89" s="0" t="str">
        <f>_xlfn.TEXTJOIN("_",TRUE,C89,"node_eff",D89,M89,N89)</f>
        <v>s1_node_eff_survival_48_6</v>
      </c>
    </row>
    <row r="90" spans="1:20" x14ac:dyDescent="0.45">
      <c r="A90" s="0" t="str">
        <f>_xlfn.TEXTJOIN("_",TRUE,C90,"node",D90,M90,N90)</f>
        <v>s1_node_survival_49_2</v>
      </c>
      <c r="B90" s="0" t="s">
        <v>0</v>
      </c>
      <c r="C90" s="0" t="s">
        <v>26</v>
      </c>
      <c r="D90" s="0" t="s">
        <v>102</v>
      </c>
      <c r="E90" s="0" t="str">
        <f>"s1_node_"&amp;D90&amp;"_name"</f>
        <v>s1_node_survival_name</v>
      </c>
      <c r="F90" s="13" t="str">
        <f>"s1_node_"&amp;D90&amp;"_desc"</f>
        <v>s1_node_survival_desc</v>
      </c>
      <c r="G90" s="0" t="s">
        <v>138</v>
      </c>
      <c r="H90" s="0">
        <v>3</v>
      </c>
      <c r="I90" s="0" t="s">
        <v>27</v>
      </c>
      <c r="J90" s="0" t="s">
        <v>273</v>
      </c>
      <c r="K90" s="0">
        <v>1750</v>
      </c>
      <c r="L90" s="13">
        <v>3</v>
      </c>
      <c r="M90" s="0">
        <v>49</v>
      </c>
      <c r="N90" s="0">
        <v>2</v>
      </c>
      <c r="O90" s="0" t="s">
        <v>274</v>
      </c>
      <c r="T90" s="0" t="str">
        <f>_xlfn.TEXTJOIN("_",TRUE,C90,"node_eff",D90,M90,N90)</f>
        <v>s1_node_eff_survival_49_2</v>
      </c>
    </row>
    <row r="91" spans="1:20" x14ac:dyDescent="0.45">
      <c r="A91" s="0" t="str">
        <f>_xlfn.TEXTJOIN("_",TRUE,C91,"node",D91,M91,N91)</f>
        <v>s1_node_survival_49_6</v>
      </c>
      <c r="B91" s="0" t="s">
        <v>0</v>
      </c>
      <c r="C91" s="0" t="s">
        <v>26</v>
      </c>
      <c r="D91" s="0" t="s">
        <v>102</v>
      </c>
      <c r="E91" s="0" t="str">
        <f>"s1_node_"&amp;D91&amp;"_name"</f>
        <v>s1_node_survival_name</v>
      </c>
      <c r="F91" s="13" t="str">
        <f>"s1_node_"&amp;D91&amp;"_desc"</f>
        <v>s1_node_survival_desc</v>
      </c>
      <c r="G91" s="0" t="s">
        <v>138</v>
      </c>
      <c r="H91" s="0">
        <v>3</v>
      </c>
      <c r="I91" s="0" t="s">
        <v>27</v>
      </c>
      <c r="J91" s="0" t="s">
        <v>273</v>
      </c>
      <c r="K91" s="0">
        <v>1750</v>
      </c>
      <c r="L91" s="13">
        <v>3</v>
      </c>
      <c r="M91" s="0">
        <v>49</v>
      </c>
      <c r="N91" s="0">
        <v>6</v>
      </c>
      <c r="O91" s="0" t="s">
        <v>275</v>
      </c>
      <c r="T91" s="0" t="str">
        <f>_xlfn.TEXTJOIN("_",TRUE,C91,"node_eff",D91,M91,N91)</f>
        <v>s1_node_eff_survival_49_6</v>
      </c>
    </row>
    <row r="92" spans="1:20" x14ac:dyDescent="0.45">
      <c r="A92" s="0" t="str">
        <f>_xlfn.TEXTJOIN("_",TRUE,C92,"node",D92,M92,N92)</f>
        <v>s1_node_survival_50_2</v>
      </c>
      <c r="B92" s="0" t="s">
        <v>0</v>
      </c>
      <c r="C92" s="0" t="s">
        <v>26</v>
      </c>
      <c r="D92" s="0" t="s">
        <v>102</v>
      </c>
      <c r="E92" s="0" t="str">
        <f>"s1_node_"&amp;D92&amp;"_name"</f>
        <v>s1_node_survival_name</v>
      </c>
      <c r="F92" s="13" t="str">
        <f>"s1_node_"&amp;D92&amp;"_desc"</f>
        <v>s1_node_survival_desc</v>
      </c>
      <c r="G92" s="0" t="s">
        <v>149</v>
      </c>
      <c r="H92" s="0">
        <v>3</v>
      </c>
      <c r="I92" s="0" t="s">
        <v>27</v>
      </c>
      <c r="J92" s="0" t="s">
        <v>276</v>
      </c>
      <c r="K92" s="0">
        <v>1780</v>
      </c>
      <c r="L92" s="13">
        <v>3</v>
      </c>
      <c r="M92" s="0">
        <v>50</v>
      </c>
      <c r="N92" s="0">
        <v>2</v>
      </c>
      <c r="O92" s="0" t="s">
        <v>277</v>
      </c>
      <c r="T92" s="0" t="str">
        <f>_xlfn.TEXTJOIN("_",TRUE,C92,"node_eff",D92,M92,N92)</f>
        <v>s1_node_eff_survival_50_2</v>
      </c>
    </row>
    <row r="93" spans="1:20" x14ac:dyDescent="0.45">
      <c r="A93" s="0" t="str">
        <f>_xlfn.TEXTJOIN("_",TRUE,C93,"node",D93,M93,N93)</f>
        <v>s1_node_survival_50_6</v>
      </c>
      <c r="B93" s="0" t="s">
        <v>0</v>
      </c>
      <c r="C93" s="0" t="s">
        <v>26</v>
      </c>
      <c r="D93" s="0" t="s">
        <v>102</v>
      </c>
      <c r="E93" s="0" t="str">
        <f>"s1_node_"&amp;D93&amp;"_name"</f>
        <v>s1_node_survival_name</v>
      </c>
      <c r="F93" s="13" t="str">
        <f>"s1_node_"&amp;D93&amp;"_desc"</f>
        <v>s1_node_survival_desc</v>
      </c>
      <c r="G93" s="0" t="s">
        <v>149</v>
      </c>
      <c r="H93" s="0">
        <v>3</v>
      </c>
      <c r="I93" s="0" t="s">
        <v>27</v>
      </c>
      <c r="J93" s="0" t="s">
        <v>276</v>
      </c>
      <c r="K93" s="0">
        <v>1780</v>
      </c>
      <c r="L93" s="13">
        <v>3</v>
      </c>
      <c r="M93" s="0">
        <v>50</v>
      </c>
      <c r="N93" s="0">
        <v>6</v>
      </c>
      <c r="O93" s="0" t="s">
        <v>278</v>
      </c>
      <c r="T93" s="0" t="str">
        <f>_xlfn.TEXTJOIN("_",TRUE,C93,"node_eff",D93,M93,N93)</f>
        <v>s1_node_eff_survival_50_6</v>
      </c>
    </row>
    <row r="94" spans="1:20" x14ac:dyDescent="0.45">
      <c r="A94" s="0" t="str">
        <f>_xlfn.TEXTJOIN("_",TRUE,C94,"node",D94,M94,N94)</f>
        <v>s1_node_survival_51_4</v>
      </c>
      <c r="B94" s="0" t="s">
        <v>0</v>
      </c>
      <c r="C94" s="0" t="s">
        <v>26</v>
      </c>
      <c r="D94" s="0" t="s">
        <v>102</v>
      </c>
      <c r="E94" s="0" t="str">
        <f>"s1_node_"&amp;D94&amp;"_name"</f>
        <v>s1_node_survival_name</v>
      </c>
      <c r="F94" s="13" t="str">
        <f>"s1_node_"&amp;D94&amp;"_desc"</f>
        <v>s1_node_survival_desc</v>
      </c>
      <c r="G94" s="0" t="s">
        <v>138</v>
      </c>
      <c r="H94" s="0">
        <v>3</v>
      </c>
      <c r="I94" s="0" t="s">
        <v>27</v>
      </c>
      <c r="J94" s="0" t="s">
        <v>279</v>
      </c>
      <c r="K94" s="0">
        <v>1820</v>
      </c>
      <c r="L94" s="13">
        <v>3</v>
      </c>
      <c r="M94" s="0">
        <v>51</v>
      </c>
      <c r="N94" s="0">
        <v>4</v>
      </c>
      <c r="O94" s="0" t="s">
        <v>280</v>
      </c>
      <c r="P94" s="0" t="s">
        <v>281</v>
      </c>
      <c r="T94" s="0" t="str">
        <f>_xlfn.TEXTJOIN("_",TRUE,C94,"node_eff",D94,M94,N94)</f>
        <v>s1_node_eff_survival_51_4</v>
      </c>
    </row>
    <row r="95" spans="1:20" x14ac:dyDescent="0.45">
      <c r="A95" s="0" t="str">
        <f>_xlfn.TEXTJOIN("_",TRUE,C95,"node",D95,M95,N95)</f>
        <v>s1_node_survival_52_2</v>
      </c>
      <c r="B95" s="0" t="s">
        <v>0</v>
      </c>
      <c r="C95" s="0" t="s">
        <v>26</v>
      </c>
      <c r="D95" s="0" t="s">
        <v>102</v>
      </c>
      <c r="E95" s="0" t="str">
        <f>"s1_node_"&amp;D95&amp;"_name"</f>
        <v>s1_node_survival_name</v>
      </c>
      <c r="F95" s="13" t="str">
        <f>"s1_node_"&amp;D95&amp;"_desc"</f>
        <v>s1_node_survival_desc</v>
      </c>
      <c r="G95" s="0" t="s">
        <v>138</v>
      </c>
      <c r="H95" s="0">
        <v>3</v>
      </c>
      <c r="I95" s="0" t="s">
        <v>27</v>
      </c>
      <c r="J95" s="0" t="s">
        <v>282</v>
      </c>
      <c r="K95" s="0">
        <v>1850</v>
      </c>
      <c r="L95" s="13">
        <v>3</v>
      </c>
      <c r="M95" s="0">
        <v>52</v>
      </c>
      <c r="N95" s="0">
        <v>2</v>
      </c>
      <c r="O95" s="0" t="s">
        <v>283</v>
      </c>
      <c r="T95" s="0" t="str">
        <f>_xlfn.TEXTJOIN("_",TRUE,C95,"node_eff",D95,M95,N95)</f>
        <v>s1_node_eff_survival_52_2</v>
      </c>
    </row>
    <row r="96" spans="1:20" x14ac:dyDescent="0.45">
      <c r="A96" s="0" t="str">
        <f>_xlfn.TEXTJOIN("_",TRUE,C96,"node",D96,M96,N96)</f>
        <v>s1_node_survival_52_6</v>
      </c>
      <c r="B96" s="0" t="s">
        <v>0</v>
      </c>
      <c r="C96" s="0" t="s">
        <v>26</v>
      </c>
      <c r="D96" s="0" t="s">
        <v>102</v>
      </c>
      <c r="E96" s="0" t="str">
        <f>"s1_node_"&amp;D96&amp;"_name"</f>
        <v>s1_node_survival_name</v>
      </c>
      <c r="F96" s="13" t="str">
        <f>"s1_node_"&amp;D96&amp;"_desc"</f>
        <v>s1_node_survival_desc</v>
      </c>
      <c r="G96" s="0" t="s">
        <v>142</v>
      </c>
      <c r="H96" s="0">
        <v>3</v>
      </c>
      <c r="I96" s="0" t="s">
        <v>27</v>
      </c>
      <c r="J96" s="0" t="s">
        <v>282</v>
      </c>
      <c r="K96" s="0">
        <v>1850</v>
      </c>
      <c r="L96" s="13">
        <v>3</v>
      </c>
      <c r="M96" s="0">
        <v>52</v>
      </c>
      <c r="N96" s="0">
        <v>6</v>
      </c>
      <c r="O96" s="0" t="s">
        <v>283</v>
      </c>
      <c r="T96" s="0" t="str">
        <f>_xlfn.TEXTJOIN("_",TRUE,C96,"node_eff",D96,M96,N96)</f>
        <v>s1_node_eff_survival_52_6</v>
      </c>
    </row>
    <row r="97" spans="1:20" x14ac:dyDescent="0.45">
      <c r="A97" s="0" t="str">
        <f>_xlfn.TEXTJOIN("_",TRUE,C97,"node",D97,M97,N97)</f>
        <v>s1_node_survival_53_2</v>
      </c>
      <c r="B97" s="0" t="s">
        <v>0</v>
      </c>
      <c r="C97" s="0" t="s">
        <v>26</v>
      </c>
      <c r="D97" s="0" t="s">
        <v>102</v>
      </c>
      <c r="E97" s="0" t="str">
        <f>"s1_node_"&amp;D97&amp;"_name"</f>
        <v>s1_node_survival_name</v>
      </c>
      <c r="F97" s="13" t="str">
        <f>"s1_node_"&amp;D97&amp;"_desc"</f>
        <v>s1_node_survival_desc</v>
      </c>
      <c r="G97" s="0" t="s">
        <v>142</v>
      </c>
      <c r="H97" s="0">
        <v>3</v>
      </c>
      <c r="I97" s="0" t="s">
        <v>27</v>
      </c>
      <c r="J97" s="0" t="s">
        <v>284</v>
      </c>
      <c r="K97" s="0">
        <v>1890</v>
      </c>
      <c r="L97" s="13">
        <v>3</v>
      </c>
      <c r="M97" s="0">
        <v>53</v>
      </c>
      <c r="N97" s="0">
        <v>2</v>
      </c>
      <c r="O97" s="0" t="s">
        <v>285</v>
      </c>
      <c r="T97" s="0" t="str">
        <f>_xlfn.TEXTJOIN("_",TRUE,C97,"node_eff",D97,M97,N97)</f>
        <v>s1_node_eff_survival_53_2</v>
      </c>
    </row>
    <row r="98" spans="1:20" x14ac:dyDescent="0.45">
      <c r="A98" s="0" t="str">
        <f>_xlfn.TEXTJOIN("_",TRUE,C98,"node",D98,M98,N98)</f>
        <v>s1_node_survival_53_6</v>
      </c>
      <c r="B98" s="0" t="s">
        <v>0</v>
      </c>
      <c r="C98" s="0" t="s">
        <v>26</v>
      </c>
      <c r="D98" s="0" t="s">
        <v>102</v>
      </c>
      <c r="E98" s="0" t="str">
        <f>"s1_node_"&amp;D98&amp;"_name"</f>
        <v>s1_node_survival_name</v>
      </c>
      <c r="F98" s="13" t="str">
        <f>"s1_node_"&amp;D98&amp;"_desc"</f>
        <v>s1_node_survival_desc</v>
      </c>
      <c r="G98" s="0" t="s">
        <v>138</v>
      </c>
      <c r="H98" s="0">
        <v>3</v>
      </c>
      <c r="I98" s="0" t="s">
        <v>27</v>
      </c>
      <c r="J98" s="0" t="s">
        <v>284</v>
      </c>
      <c r="K98" s="0">
        <v>1890</v>
      </c>
      <c r="L98" s="13">
        <v>3</v>
      </c>
      <c r="M98" s="0">
        <v>53</v>
      </c>
      <c r="N98" s="0">
        <v>6</v>
      </c>
      <c r="O98" s="0" t="s">
        <v>286</v>
      </c>
      <c r="T98" s="0" t="str">
        <f>_xlfn.TEXTJOIN("_",TRUE,C98,"node_eff",D98,M98,N98)</f>
        <v>s1_node_eff_survival_53_6</v>
      </c>
    </row>
    <row r="99" spans="1:20" x14ac:dyDescent="0.45">
      <c r="A99" s="0" t="str">
        <f>_xlfn.TEXTJOIN("_",TRUE,C99,"node",D99,M99,N99)</f>
        <v>s1_node_survival_54_2</v>
      </c>
      <c r="B99" s="0" t="s">
        <v>0</v>
      </c>
      <c r="C99" s="0" t="s">
        <v>26</v>
      </c>
      <c r="D99" s="0" t="s">
        <v>102</v>
      </c>
      <c r="E99" s="0" t="str">
        <f>"s1_node_"&amp;D99&amp;"_name"</f>
        <v>s1_node_survival_name</v>
      </c>
      <c r="F99" s="13" t="str">
        <f>"s1_node_"&amp;D99&amp;"_desc"</f>
        <v>s1_node_survival_desc</v>
      </c>
      <c r="G99" s="0" t="s">
        <v>138</v>
      </c>
      <c r="H99" s="0">
        <v>3</v>
      </c>
      <c r="I99" s="0" t="s">
        <v>27</v>
      </c>
      <c r="J99" s="0" t="s">
        <v>287</v>
      </c>
      <c r="K99" s="0">
        <v>1920</v>
      </c>
      <c r="L99" s="13">
        <v>3</v>
      </c>
      <c r="M99" s="0">
        <v>54</v>
      </c>
      <c r="N99" s="0">
        <v>2</v>
      </c>
      <c r="O99" s="0" t="s">
        <v>288</v>
      </c>
      <c r="T99" s="0" t="str">
        <f>_xlfn.TEXTJOIN("_",TRUE,C99,"node_eff",D99,M99,N99)</f>
        <v>s1_node_eff_survival_54_2</v>
      </c>
    </row>
    <row r="100" spans="1:20" x14ac:dyDescent="0.45">
      <c r="A100" s="0" t="str">
        <f>_xlfn.TEXTJOIN("_",TRUE,C100,"node",D100,M100,N100)</f>
        <v>s1_node_survival_54_6</v>
      </c>
      <c r="B100" s="0" t="s">
        <v>0</v>
      </c>
      <c r="C100" s="0" t="s">
        <v>26</v>
      </c>
      <c r="D100" s="0" t="s">
        <v>102</v>
      </c>
      <c r="E100" s="0" t="str">
        <f>"s1_node_"&amp;D100&amp;"_name"</f>
        <v>s1_node_survival_name</v>
      </c>
      <c r="F100" s="13" t="str">
        <f>"s1_node_"&amp;D100&amp;"_desc"</f>
        <v>s1_node_survival_desc</v>
      </c>
      <c r="G100" s="0" t="s">
        <v>138</v>
      </c>
      <c r="H100" s="0">
        <v>3</v>
      </c>
      <c r="I100" s="0" t="s">
        <v>27</v>
      </c>
      <c r="J100" s="0" t="s">
        <v>287</v>
      </c>
      <c r="K100" s="0">
        <v>1920</v>
      </c>
      <c r="L100" s="13">
        <v>3</v>
      </c>
      <c r="M100" s="0">
        <v>54</v>
      </c>
      <c r="N100" s="0">
        <v>6</v>
      </c>
      <c r="O100" s="0" t="s">
        <v>289</v>
      </c>
      <c r="T100" s="0" t="str">
        <f>_xlfn.TEXTJOIN("_",TRUE,C100,"node_eff",D100,M100,N100)</f>
        <v>s1_node_eff_survival_54_6</v>
      </c>
    </row>
    <row r="101" spans="1:20" x14ac:dyDescent="0.45">
      <c r="A101" s="0" t="str">
        <f>_xlfn.TEXTJOIN("_",TRUE,C101,"node",D101,M101,N101)</f>
        <v>s1_node_survival_55_2</v>
      </c>
      <c r="B101" s="0" t="s">
        <v>0</v>
      </c>
      <c r="C101" s="0" t="s">
        <v>26</v>
      </c>
      <c r="D101" s="0" t="s">
        <v>102</v>
      </c>
      <c r="E101" s="0" t="str">
        <f>"s1_node_"&amp;D101&amp;"_name"</f>
        <v>s1_node_survival_name</v>
      </c>
      <c r="F101" s="13" t="str">
        <f>"s1_node_"&amp;D101&amp;"_desc"</f>
        <v>s1_node_survival_desc</v>
      </c>
      <c r="G101" s="0" t="s">
        <v>149</v>
      </c>
      <c r="H101" s="0">
        <v>3</v>
      </c>
      <c r="I101" s="0" t="s">
        <v>27</v>
      </c>
      <c r="J101" s="0" t="s">
        <v>290</v>
      </c>
      <c r="K101" s="0">
        <v>1960</v>
      </c>
      <c r="L101" s="13">
        <v>3</v>
      </c>
      <c r="M101" s="0">
        <v>55</v>
      </c>
      <c r="N101" s="0">
        <v>2</v>
      </c>
      <c r="O101" s="0" t="s">
        <v>291</v>
      </c>
      <c r="T101" s="0" t="str">
        <f>_xlfn.TEXTJOIN("_",TRUE,C101,"node_eff",D101,M101,N101)</f>
        <v>s1_node_eff_survival_55_2</v>
      </c>
    </row>
    <row r="102" spans="1:20" x14ac:dyDescent="0.45">
      <c r="A102" s="0" t="str">
        <f>_xlfn.TEXTJOIN("_",TRUE,C102,"node",D102,M102,N102)</f>
        <v>s1_node_survival_55_6</v>
      </c>
      <c r="B102" s="0" t="s">
        <v>0</v>
      </c>
      <c r="C102" s="0" t="s">
        <v>26</v>
      </c>
      <c r="D102" s="0" t="s">
        <v>102</v>
      </c>
      <c r="E102" s="0" t="str">
        <f>"s1_node_"&amp;D102&amp;"_name"</f>
        <v>s1_node_survival_name</v>
      </c>
      <c r="F102" s="13" t="str">
        <f>"s1_node_"&amp;D102&amp;"_desc"</f>
        <v>s1_node_survival_desc</v>
      </c>
      <c r="G102" s="0" t="s">
        <v>149</v>
      </c>
      <c r="H102" s="0">
        <v>3</v>
      </c>
      <c r="I102" s="0" t="s">
        <v>27</v>
      </c>
      <c r="J102" s="0" t="s">
        <v>290</v>
      </c>
      <c r="K102" s="0">
        <v>1960</v>
      </c>
      <c r="L102" s="13">
        <v>3</v>
      </c>
      <c r="M102" s="0">
        <v>55</v>
      </c>
      <c r="N102" s="0">
        <v>6</v>
      </c>
      <c r="O102" s="0" t="s">
        <v>292</v>
      </c>
      <c r="T102" s="0" t="str">
        <f>_xlfn.TEXTJOIN("_",TRUE,C102,"node_eff",D102,M102,N102)</f>
        <v>s1_node_eff_survival_55_6</v>
      </c>
    </row>
    <row r="103" spans="1:20" x14ac:dyDescent="0.45">
      <c r="A103" s="0" t="str">
        <f>_xlfn.TEXTJOIN("_",TRUE,C103,"node",D103,M103,N103)</f>
        <v>s1_node_survival_56_4</v>
      </c>
      <c r="B103" s="0" t="s">
        <v>0</v>
      </c>
      <c r="C103" s="0" t="s">
        <v>26</v>
      </c>
      <c r="D103" s="0" t="s">
        <v>102</v>
      </c>
      <c r="E103" s="0" t="str">
        <f>"s1_node_"&amp;D103&amp;"_name"</f>
        <v>s1_node_survival_name</v>
      </c>
      <c r="F103" s="13" t="str">
        <f>"s1_node_"&amp;D103&amp;"_desc"</f>
        <v>s1_node_survival_desc</v>
      </c>
      <c r="G103" s="0" t="s">
        <v>138</v>
      </c>
      <c r="H103" s="0">
        <v>3</v>
      </c>
      <c r="I103" s="0" t="s">
        <v>27</v>
      </c>
      <c r="J103" s="0" t="s">
        <v>293</v>
      </c>
      <c r="K103" s="0">
        <v>1990</v>
      </c>
      <c r="L103" s="13">
        <v>3</v>
      </c>
      <c r="M103" s="0">
        <v>56</v>
      </c>
      <c r="N103" s="0">
        <v>4</v>
      </c>
      <c r="O103" s="0" t="s">
        <v>294</v>
      </c>
      <c r="P103" s="0" t="s">
        <v>295</v>
      </c>
      <c r="T103" s="0" t="str">
        <f>_xlfn.TEXTJOIN("_",TRUE,C103,"node_eff",D103,M103,N103)</f>
        <v>s1_node_eff_survival_56_4</v>
      </c>
    </row>
    <row r="104" spans="1:20" x14ac:dyDescent="0.45">
      <c r="A104" s="0" t="str">
        <f>_xlfn.TEXTJOIN("_",TRUE,C104,"node",D104,M104,N104)</f>
        <v>s1_node_survival_57_2</v>
      </c>
      <c r="B104" s="0" t="s">
        <v>0</v>
      </c>
      <c r="C104" s="0" t="s">
        <v>26</v>
      </c>
      <c r="D104" s="0" t="s">
        <v>102</v>
      </c>
      <c r="E104" s="0" t="str">
        <f>"s1_node_"&amp;D104&amp;"_name"</f>
        <v>s1_node_survival_name</v>
      </c>
      <c r="F104" s="13" t="str">
        <f>"s1_node_"&amp;D104&amp;"_desc"</f>
        <v>s1_node_survival_desc</v>
      </c>
      <c r="G104" s="0" t="s">
        <v>138</v>
      </c>
      <c r="H104" s="0">
        <v>3</v>
      </c>
      <c r="I104" s="0" t="s">
        <v>27</v>
      </c>
      <c r="J104" s="0" t="s">
        <v>296</v>
      </c>
      <c r="K104" s="0">
        <v>2030</v>
      </c>
      <c r="L104" s="13">
        <v>3</v>
      </c>
      <c r="M104" s="0">
        <v>57</v>
      </c>
      <c r="N104" s="0">
        <v>2</v>
      </c>
      <c r="O104" s="0" t="s">
        <v>297</v>
      </c>
      <c r="T104" s="0" t="str">
        <f>_xlfn.TEXTJOIN("_",TRUE,C104,"node_eff",D104,M104,N104)</f>
        <v>s1_node_eff_survival_57_2</v>
      </c>
    </row>
    <row r="105" spans="1:20" x14ac:dyDescent="0.45">
      <c r="A105" s="0" t="str">
        <f>_xlfn.TEXTJOIN("_",TRUE,C105,"node",D105,M105,N105)</f>
        <v>s1_node_survival_57_6</v>
      </c>
      <c r="B105" s="0" t="s">
        <v>0</v>
      </c>
      <c r="C105" s="0" t="s">
        <v>26</v>
      </c>
      <c r="D105" s="0" t="s">
        <v>102</v>
      </c>
      <c r="E105" s="0" t="str">
        <f>"s1_node_"&amp;D105&amp;"_name"</f>
        <v>s1_node_survival_name</v>
      </c>
      <c r="F105" s="13" t="str">
        <f>"s1_node_"&amp;D105&amp;"_desc"</f>
        <v>s1_node_survival_desc</v>
      </c>
      <c r="G105" s="0" t="s">
        <v>142</v>
      </c>
      <c r="H105" s="0">
        <v>3</v>
      </c>
      <c r="I105" s="0" t="s">
        <v>27</v>
      </c>
      <c r="J105" s="0" t="s">
        <v>296</v>
      </c>
      <c r="K105" s="0">
        <v>2030</v>
      </c>
      <c r="L105" s="13">
        <v>3</v>
      </c>
      <c r="M105" s="0">
        <v>57</v>
      </c>
      <c r="N105" s="0">
        <v>6</v>
      </c>
      <c r="O105" s="0" t="s">
        <v>297</v>
      </c>
      <c r="T105" s="0" t="str">
        <f>_xlfn.TEXTJOIN("_",TRUE,C105,"node_eff",D105,M105,N105)</f>
        <v>s1_node_eff_survival_57_6</v>
      </c>
    </row>
    <row r="106" spans="1:20" x14ac:dyDescent="0.45">
      <c r="A106" s="0" t="str">
        <f>_xlfn.TEXTJOIN("_",TRUE,C106,"node",D106,M106,N106)</f>
        <v>s1_node_survival_58_2</v>
      </c>
      <c r="B106" s="0" t="s">
        <v>0</v>
      </c>
      <c r="C106" s="0" t="s">
        <v>26</v>
      </c>
      <c r="D106" s="0" t="s">
        <v>102</v>
      </c>
      <c r="E106" s="0" t="str">
        <f>"s1_node_"&amp;D106&amp;"_name"</f>
        <v>s1_node_survival_name</v>
      </c>
      <c r="F106" s="13" t="str">
        <f>"s1_node_"&amp;D106&amp;"_desc"</f>
        <v>s1_node_survival_desc</v>
      </c>
      <c r="G106" s="0" t="s">
        <v>142</v>
      </c>
      <c r="H106" s="0">
        <v>3</v>
      </c>
      <c r="I106" s="0" t="s">
        <v>27</v>
      </c>
      <c r="J106" s="0" t="s">
        <v>298</v>
      </c>
      <c r="K106" s="0">
        <v>2060</v>
      </c>
      <c r="L106" s="13">
        <v>3</v>
      </c>
      <c r="M106" s="0">
        <v>58</v>
      </c>
      <c r="N106" s="0">
        <v>2</v>
      </c>
      <c r="O106" s="0" t="s">
        <v>299</v>
      </c>
      <c r="T106" s="0" t="str">
        <f>_xlfn.TEXTJOIN("_",TRUE,C106,"node_eff",D106,M106,N106)</f>
        <v>s1_node_eff_survival_58_2</v>
      </c>
    </row>
    <row r="107" spans="1:20" x14ac:dyDescent="0.45">
      <c r="A107" s="0" t="str">
        <f>_xlfn.TEXTJOIN("_",TRUE,C107,"node",D107,M107,N107)</f>
        <v>s1_node_survival_58_6</v>
      </c>
      <c r="B107" s="0" t="s">
        <v>0</v>
      </c>
      <c r="C107" s="0" t="s">
        <v>26</v>
      </c>
      <c r="D107" s="0" t="s">
        <v>102</v>
      </c>
      <c r="E107" s="0" t="str">
        <f>"s1_node_"&amp;D107&amp;"_name"</f>
        <v>s1_node_survival_name</v>
      </c>
      <c r="F107" s="13" t="str">
        <f>"s1_node_"&amp;D107&amp;"_desc"</f>
        <v>s1_node_survival_desc</v>
      </c>
      <c r="G107" s="0" t="s">
        <v>138</v>
      </c>
      <c r="H107" s="0">
        <v>3</v>
      </c>
      <c r="I107" s="0" t="s">
        <v>27</v>
      </c>
      <c r="J107" s="0" t="s">
        <v>298</v>
      </c>
      <c r="K107" s="0">
        <v>2060</v>
      </c>
      <c r="L107" s="13">
        <v>3</v>
      </c>
      <c r="M107" s="0">
        <v>58</v>
      </c>
      <c r="N107" s="0">
        <v>6</v>
      </c>
      <c r="O107" s="0" t="s">
        <v>300</v>
      </c>
      <c r="T107" s="0" t="str">
        <f>_xlfn.TEXTJOIN("_",TRUE,C107,"node_eff",D107,M107,N107)</f>
        <v>s1_node_eff_survival_58_6</v>
      </c>
    </row>
    <row r="108" spans="1:20" x14ac:dyDescent="0.45">
      <c r="A108" s="0" t="str">
        <f>_xlfn.TEXTJOIN("_",TRUE,C108,"node",D108,M108,N108)</f>
        <v>s1_node_survival_59_2</v>
      </c>
      <c r="B108" s="0" t="s">
        <v>0</v>
      </c>
      <c r="C108" s="0" t="s">
        <v>26</v>
      </c>
      <c r="D108" s="0" t="s">
        <v>102</v>
      </c>
      <c r="E108" s="0" t="str">
        <f>"s1_node_"&amp;D108&amp;"_name"</f>
        <v>s1_node_survival_name</v>
      </c>
      <c r="F108" s="13" t="str">
        <f>"s1_node_"&amp;D108&amp;"_desc"</f>
        <v>s1_node_survival_desc</v>
      </c>
      <c r="G108" s="0" t="s">
        <v>138</v>
      </c>
      <c r="H108" s="0">
        <v>3</v>
      </c>
      <c r="I108" s="0" t="s">
        <v>27</v>
      </c>
      <c r="J108" s="0" t="s">
        <v>301</v>
      </c>
      <c r="K108" s="0">
        <v>2100</v>
      </c>
      <c r="L108" s="13">
        <v>3</v>
      </c>
      <c r="M108" s="0">
        <v>59</v>
      </c>
      <c r="N108" s="0">
        <v>2</v>
      </c>
      <c r="O108" s="0" t="s">
        <v>302</v>
      </c>
      <c r="T108" s="0" t="str">
        <f>_xlfn.TEXTJOIN("_",TRUE,C108,"node_eff",D108,M108,N108)</f>
        <v>s1_node_eff_survival_59_2</v>
      </c>
    </row>
    <row r="109" spans="1:20" x14ac:dyDescent="0.45">
      <c r="A109" s="0" t="str">
        <f>_xlfn.TEXTJOIN("_",TRUE,C109,"node",D109,M109,N109)</f>
        <v>s1_node_survival_59_6</v>
      </c>
      <c r="B109" s="0" t="s">
        <v>0</v>
      </c>
      <c r="C109" s="0" t="s">
        <v>26</v>
      </c>
      <c r="D109" s="0" t="s">
        <v>102</v>
      </c>
      <c r="E109" s="0" t="str">
        <f>"s1_node_"&amp;D109&amp;"_name"</f>
        <v>s1_node_survival_name</v>
      </c>
      <c r="F109" s="13" t="str">
        <f>"s1_node_"&amp;D109&amp;"_desc"</f>
        <v>s1_node_survival_desc</v>
      </c>
      <c r="G109" s="0" t="s">
        <v>138</v>
      </c>
      <c r="H109" s="0">
        <v>3</v>
      </c>
      <c r="I109" s="0" t="s">
        <v>27</v>
      </c>
      <c r="J109" s="0" t="s">
        <v>301</v>
      </c>
      <c r="K109" s="0">
        <v>2100</v>
      </c>
      <c r="L109" s="13">
        <v>3</v>
      </c>
      <c r="M109" s="0">
        <v>59</v>
      </c>
      <c r="N109" s="0">
        <v>6</v>
      </c>
      <c r="O109" s="0" t="s">
        <v>303</v>
      </c>
      <c r="T109" s="0" t="str">
        <f>_xlfn.TEXTJOIN("_",TRUE,C109,"node_eff",D109,M109,N109)</f>
        <v>s1_node_eff_survival_59_6</v>
      </c>
    </row>
    <row r="110" spans="1:20" x14ac:dyDescent="0.45">
      <c r="A110" s="0" t="str">
        <f>_xlfn.TEXTJOIN("_",TRUE,C110,"node",D110,M110,N110)</f>
        <v>s1_node_survival_60_2</v>
      </c>
      <c r="B110" s="0" t="s">
        <v>0</v>
      </c>
      <c r="C110" s="0" t="s">
        <v>26</v>
      </c>
      <c r="D110" s="0" t="s">
        <v>102</v>
      </c>
      <c r="E110" s="0" t="str">
        <f>"s1_node_"&amp;D110&amp;"_name"</f>
        <v>s1_node_survival_name</v>
      </c>
      <c r="F110" s="13" t="str">
        <f>"s1_node_"&amp;D110&amp;"_desc"</f>
        <v>s1_node_survival_desc</v>
      </c>
      <c r="G110" s="0" t="s">
        <v>149</v>
      </c>
      <c r="H110" s="0">
        <v>3</v>
      </c>
      <c r="I110" s="0" t="s">
        <v>27</v>
      </c>
      <c r="J110" s="0" t="s">
        <v>304</v>
      </c>
      <c r="K110" s="0">
        <v>2130</v>
      </c>
      <c r="L110" s="13">
        <v>3</v>
      </c>
      <c r="M110" s="0">
        <v>60</v>
      </c>
      <c r="N110" s="0">
        <v>2</v>
      </c>
      <c r="O110" s="0" t="s">
        <v>305</v>
      </c>
      <c r="T110" s="0" t="str">
        <f>_xlfn.TEXTJOIN("_",TRUE,C110,"node_eff",D110,M110,N110)</f>
        <v>s1_node_eff_survival_60_2</v>
      </c>
    </row>
    <row r="111" spans="1:20" x14ac:dyDescent="0.45">
      <c r="A111" s="0" t="str">
        <f>_xlfn.TEXTJOIN("_",TRUE,C111,"node",D111,M111,N111)</f>
        <v>s1_node_survival_60_6</v>
      </c>
      <c r="B111" s="0" t="s">
        <v>0</v>
      </c>
      <c r="C111" s="0" t="s">
        <v>26</v>
      </c>
      <c r="D111" s="0" t="s">
        <v>102</v>
      </c>
      <c r="E111" s="0" t="str">
        <f>"s1_node_"&amp;D111&amp;"_name"</f>
        <v>s1_node_survival_name</v>
      </c>
      <c r="F111" s="13" t="str">
        <f>"s1_node_"&amp;D111&amp;"_desc"</f>
        <v>s1_node_survival_desc</v>
      </c>
      <c r="G111" s="0" t="s">
        <v>149</v>
      </c>
      <c r="H111" s="0">
        <v>3</v>
      </c>
      <c r="I111" s="0" t="s">
        <v>27</v>
      </c>
      <c r="J111" s="0" t="s">
        <v>304</v>
      </c>
      <c r="K111" s="0">
        <v>2130</v>
      </c>
      <c r="L111" s="13">
        <v>3</v>
      </c>
      <c r="M111" s="0">
        <v>60</v>
      </c>
      <c r="N111" s="0">
        <v>6</v>
      </c>
      <c r="O111" s="0" t="s">
        <v>306</v>
      </c>
      <c r="T111" s="0" t="str">
        <f>_xlfn.TEXTJOIN("_",TRUE,C111,"node_eff",D111,M111,N111)</f>
        <v>s1_node_eff_survival_60_6</v>
      </c>
    </row>
    <row r="112" spans="1:20" x14ac:dyDescent="0.45">
      <c r="A112" s="0" t="str">
        <f>_xlfn.TEXTJOIN("_",TRUE,C112,"node",D112,M112,N112)</f>
        <v>s1_node_survival_61_4</v>
      </c>
      <c r="B112" s="0" t="s">
        <v>0</v>
      </c>
      <c r="C112" s="0" t="s">
        <v>26</v>
      </c>
      <c r="D112" s="0" t="s">
        <v>102</v>
      </c>
      <c r="E112" s="0" t="str">
        <f>"s1_node_"&amp;D112&amp;"_name"</f>
        <v>s1_node_survival_name</v>
      </c>
      <c r="F112" s="13" t="str">
        <f>"s1_node_"&amp;D112&amp;"_desc"</f>
        <v>s1_node_survival_desc</v>
      </c>
      <c r="G112" s="0" t="s">
        <v>138</v>
      </c>
      <c r="H112" s="0">
        <v>4</v>
      </c>
      <c r="I112" s="0" t="s">
        <v>27</v>
      </c>
      <c r="J112" s="0" t="s">
        <v>307</v>
      </c>
      <c r="K112" s="0">
        <v>2170</v>
      </c>
      <c r="L112" s="13">
        <v>3</v>
      </c>
      <c r="M112" s="0">
        <v>61</v>
      </c>
      <c r="N112" s="0">
        <v>4</v>
      </c>
      <c r="O112" s="0" t="s">
        <v>308</v>
      </c>
      <c r="P112" s="0" t="s">
        <v>309</v>
      </c>
      <c r="T112" s="0" t="str">
        <f>_xlfn.TEXTJOIN("_",TRUE,C112,"node_eff",D112,M112,N112)</f>
        <v>s1_node_eff_survival_61_4</v>
      </c>
    </row>
    <row r="113" spans="1:20" x14ac:dyDescent="0.45">
      <c r="A113" s="0" t="str">
        <f>_xlfn.TEXTJOIN("_",TRUE,C113,"node",D113,M113,N113)</f>
        <v>s1_node_survival_62_2</v>
      </c>
      <c r="B113" s="0" t="s">
        <v>0</v>
      </c>
      <c r="C113" s="0" t="s">
        <v>26</v>
      </c>
      <c r="D113" s="0" t="s">
        <v>102</v>
      </c>
      <c r="E113" s="0" t="str">
        <f>"s1_node_"&amp;D113&amp;"_name"</f>
        <v>s1_node_survival_name</v>
      </c>
      <c r="F113" s="13" t="str">
        <f>"s1_node_"&amp;D113&amp;"_desc"</f>
        <v>s1_node_survival_desc</v>
      </c>
      <c r="G113" s="0" t="s">
        <v>138</v>
      </c>
      <c r="H113" s="0">
        <v>4</v>
      </c>
      <c r="I113" s="0" t="s">
        <v>27</v>
      </c>
      <c r="J113" s="0" t="s">
        <v>310</v>
      </c>
      <c r="K113" s="0">
        <v>2200</v>
      </c>
      <c r="L113" s="13">
        <v>3</v>
      </c>
      <c r="M113" s="0">
        <v>62</v>
      </c>
      <c r="N113" s="0">
        <v>2</v>
      </c>
      <c r="O113" s="0" t="s">
        <v>311</v>
      </c>
      <c r="T113" s="0" t="str">
        <f>_xlfn.TEXTJOIN("_",TRUE,C113,"node_eff",D113,M113,N113)</f>
        <v>s1_node_eff_survival_62_2</v>
      </c>
    </row>
    <row r="114" spans="1:20" x14ac:dyDescent="0.45">
      <c r="A114" s="0" t="str">
        <f>_xlfn.TEXTJOIN("_",TRUE,C114,"node",D114,M114,N114)</f>
        <v>s1_node_survival_62_6</v>
      </c>
      <c r="B114" s="0" t="s">
        <v>0</v>
      </c>
      <c r="C114" s="0" t="s">
        <v>26</v>
      </c>
      <c r="D114" s="0" t="s">
        <v>102</v>
      </c>
      <c r="E114" s="0" t="str">
        <f>"s1_node_"&amp;D114&amp;"_name"</f>
        <v>s1_node_survival_name</v>
      </c>
      <c r="F114" s="13" t="str">
        <f>"s1_node_"&amp;D114&amp;"_desc"</f>
        <v>s1_node_survival_desc</v>
      </c>
      <c r="G114" s="0" t="s">
        <v>142</v>
      </c>
      <c r="H114" s="0">
        <v>4</v>
      </c>
      <c r="I114" s="0" t="s">
        <v>27</v>
      </c>
      <c r="J114" s="0" t="s">
        <v>310</v>
      </c>
      <c r="K114" s="0">
        <v>2200</v>
      </c>
      <c r="L114" s="13">
        <v>3</v>
      </c>
      <c r="M114" s="0">
        <v>62</v>
      </c>
      <c r="N114" s="0">
        <v>6</v>
      </c>
      <c r="O114" s="0" t="s">
        <v>311</v>
      </c>
      <c r="T114" s="0" t="str">
        <f>_xlfn.TEXTJOIN("_",TRUE,C114,"node_eff",D114,M114,N114)</f>
        <v>s1_node_eff_survival_62_6</v>
      </c>
    </row>
    <row r="115" spans="1:20" x14ac:dyDescent="0.45">
      <c r="A115" s="0" t="str">
        <f>_xlfn.TEXTJOIN("_",TRUE,C115,"node",D115,M115,N115)</f>
        <v>s1_node_survival_63_2</v>
      </c>
      <c r="B115" s="0" t="s">
        <v>0</v>
      </c>
      <c r="C115" s="0" t="s">
        <v>26</v>
      </c>
      <c r="D115" s="0" t="s">
        <v>102</v>
      </c>
      <c r="E115" s="0" t="str">
        <f>"s1_node_"&amp;D115&amp;"_name"</f>
        <v>s1_node_survival_name</v>
      </c>
      <c r="F115" s="13" t="str">
        <f>"s1_node_"&amp;D115&amp;"_desc"</f>
        <v>s1_node_survival_desc</v>
      </c>
      <c r="G115" s="0" t="s">
        <v>142</v>
      </c>
      <c r="H115" s="0">
        <v>4</v>
      </c>
      <c r="I115" s="0" t="s">
        <v>27</v>
      </c>
      <c r="J115" s="0" t="s">
        <v>312</v>
      </c>
      <c r="K115" s="0">
        <v>2230</v>
      </c>
      <c r="L115" s="13">
        <v>3</v>
      </c>
      <c r="M115" s="0">
        <v>63</v>
      </c>
      <c r="N115" s="0">
        <v>2</v>
      </c>
      <c r="O115" s="0" t="s">
        <v>313</v>
      </c>
      <c r="T115" s="0" t="str">
        <f>_xlfn.TEXTJOIN("_",TRUE,C115,"node_eff",D115,M115,N115)</f>
        <v>s1_node_eff_survival_63_2</v>
      </c>
    </row>
    <row r="116" spans="1:20" x14ac:dyDescent="0.45">
      <c r="A116" s="0" t="str">
        <f>_xlfn.TEXTJOIN("_",TRUE,C116,"node",D116,M116,N116)</f>
        <v>s1_node_survival_63_6</v>
      </c>
      <c r="B116" s="0" t="s">
        <v>0</v>
      </c>
      <c r="C116" s="0" t="s">
        <v>26</v>
      </c>
      <c r="D116" s="0" t="s">
        <v>102</v>
      </c>
      <c r="E116" s="0" t="str">
        <f>"s1_node_"&amp;D116&amp;"_name"</f>
        <v>s1_node_survival_name</v>
      </c>
      <c r="F116" s="13" t="str">
        <f>"s1_node_"&amp;D116&amp;"_desc"</f>
        <v>s1_node_survival_desc</v>
      </c>
      <c r="G116" s="0" t="s">
        <v>138</v>
      </c>
      <c r="H116" s="0">
        <v>4</v>
      </c>
      <c r="I116" s="0" t="s">
        <v>27</v>
      </c>
      <c r="J116" s="0" t="s">
        <v>312</v>
      </c>
      <c r="K116" s="0">
        <v>2230</v>
      </c>
      <c r="L116" s="13">
        <v>3</v>
      </c>
      <c r="M116" s="0">
        <v>63</v>
      </c>
      <c r="N116" s="0">
        <v>6</v>
      </c>
      <c r="O116" s="0" t="s">
        <v>314</v>
      </c>
      <c r="T116" s="0" t="str">
        <f>_xlfn.TEXTJOIN("_",TRUE,C116,"node_eff",D116,M116,N116)</f>
        <v>s1_node_eff_survival_63_6</v>
      </c>
    </row>
    <row r="117" spans="1:20" x14ac:dyDescent="0.45">
      <c r="A117" s="0" t="str">
        <f>_xlfn.TEXTJOIN("_",TRUE,C117,"node",D117,M117,N117)</f>
        <v>s1_node_survival_64_2</v>
      </c>
      <c r="B117" s="0" t="s">
        <v>0</v>
      </c>
      <c r="C117" s="0" t="s">
        <v>26</v>
      </c>
      <c r="D117" s="0" t="s">
        <v>102</v>
      </c>
      <c r="E117" s="0" t="str">
        <f>"s1_node_"&amp;D117&amp;"_name"</f>
        <v>s1_node_survival_name</v>
      </c>
      <c r="F117" s="13" t="str">
        <f>"s1_node_"&amp;D117&amp;"_desc"</f>
        <v>s1_node_survival_desc</v>
      </c>
      <c r="G117" s="0" t="s">
        <v>138</v>
      </c>
      <c r="H117" s="0">
        <v>4</v>
      </c>
      <c r="I117" s="0" t="s">
        <v>27</v>
      </c>
      <c r="J117" s="0" t="s">
        <v>315</v>
      </c>
      <c r="K117" s="0">
        <v>2270</v>
      </c>
      <c r="L117" s="13">
        <v>3</v>
      </c>
      <c r="M117" s="0">
        <v>64</v>
      </c>
      <c r="N117" s="0">
        <v>2</v>
      </c>
      <c r="O117" s="0" t="s">
        <v>316</v>
      </c>
      <c r="T117" s="0" t="str">
        <f>_xlfn.TEXTJOIN("_",TRUE,C117,"node_eff",D117,M117,N117)</f>
        <v>s1_node_eff_survival_64_2</v>
      </c>
    </row>
    <row r="118" spans="1:20" x14ac:dyDescent="0.45">
      <c r="A118" s="0" t="str">
        <f>_xlfn.TEXTJOIN("_",TRUE,C118,"node",D118,M118,N118)</f>
        <v>s1_node_survival_64_6</v>
      </c>
      <c r="B118" s="0" t="s">
        <v>0</v>
      </c>
      <c r="C118" s="0" t="s">
        <v>26</v>
      </c>
      <c r="D118" s="0" t="s">
        <v>102</v>
      </c>
      <c r="E118" s="0" t="str">
        <f>"s1_node_"&amp;D118&amp;"_name"</f>
        <v>s1_node_survival_name</v>
      </c>
      <c r="F118" s="13" t="str">
        <f>"s1_node_"&amp;D118&amp;"_desc"</f>
        <v>s1_node_survival_desc</v>
      </c>
      <c r="G118" s="0" t="s">
        <v>138</v>
      </c>
      <c r="H118" s="0">
        <v>4</v>
      </c>
      <c r="I118" s="0" t="s">
        <v>27</v>
      </c>
      <c r="J118" s="0" t="s">
        <v>315</v>
      </c>
      <c r="K118" s="0">
        <v>2270</v>
      </c>
      <c r="L118" s="13">
        <v>3</v>
      </c>
      <c r="M118" s="0">
        <v>64</v>
      </c>
      <c r="N118" s="0">
        <v>6</v>
      </c>
      <c r="O118" s="0" t="s">
        <v>317</v>
      </c>
      <c r="T118" s="0" t="str">
        <f>_xlfn.TEXTJOIN("_",TRUE,C118,"node_eff",D118,M118,N118)</f>
        <v>s1_node_eff_survival_64_6</v>
      </c>
    </row>
    <row r="119" spans="1:20" x14ac:dyDescent="0.45">
      <c r="A119" s="0" t="str">
        <f>_xlfn.TEXTJOIN("_",TRUE,C119,"node",D119,M119,N119)</f>
        <v>s1_node_survival_65_2</v>
      </c>
      <c r="B119" s="0" t="s">
        <v>0</v>
      </c>
      <c r="C119" s="0" t="s">
        <v>26</v>
      </c>
      <c r="D119" s="0" t="s">
        <v>102</v>
      </c>
      <c r="E119" s="0" t="str">
        <f>"s1_node_"&amp;D119&amp;"_name"</f>
        <v>s1_node_survival_name</v>
      </c>
      <c r="F119" s="13" t="str">
        <f>"s1_node_"&amp;D119&amp;"_desc"</f>
        <v>s1_node_survival_desc</v>
      </c>
      <c r="G119" s="0" t="s">
        <v>149</v>
      </c>
      <c r="H119" s="0">
        <v>4</v>
      </c>
      <c r="I119" s="0" t="s">
        <v>27</v>
      </c>
      <c r="J119" s="0" t="s">
        <v>318</v>
      </c>
      <c r="K119" s="0">
        <v>2300</v>
      </c>
      <c r="L119" s="13">
        <v>3</v>
      </c>
      <c r="M119" s="0">
        <v>65</v>
      </c>
      <c r="N119" s="0">
        <v>2</v>
      </c>
      <c r="O119" s="0" t="s">
        <v>319</v>
      </c>
      <c r="T119" s="0" t="str">
        <f>_xlfn.TEXTJOIN("_",TRUE,C119,"node_eff",D119,M119,N119)</f>
        <v>s1_node_eff_survival_65_2</v>
      </c>
    </row>
    <row r="120" spans="1:20" x14ac:dyDescent="0.45">
      <c r="A120" s="0" t="str">
        <f>_xlfn.TEXTJOIN("_",TRUE,C120,"node",D120,M120,N120)</f>
        <v>s1_node_survival_65_6</v>
      </c>
      <c r="B120" s="0" t="s">
        <v>0</v>
      </c>
      <c r="C120" s="0" t="s">
        <v>26</v>
      </c>
      <c r="D120" s="0" t="s">
        <v>102</v>
      </c>
      <c r="E120" s="0" t="str">
        <f>"s1_node_"&amp;D120&amp;"_name"</f>
        <v>s1_node_survival_name</v>
      </c>
      <c r="F120" s="13" t="str">
        <f>"s1_node_"&amp;D120&amp;"_desc"</f>
        <v>s1_node_survival_desc</v>
      </c>
      <c r="G120" s="0" t="s">
        <v>149</v>
      </c>
      <c r="H120" s="0">
        <v>4</v>
      </c>
      <c r="I120" s="0" t="s">
        <v>27</v>
      </c>
      <c r="J120" s="0" t="s">
        <v>318</v>
      </c>
      <c r="K120" s="0">
        <v>2300</v>
      </c>
      <c r="L120" s="13">
        <v>3</v>
      </c>
      <c r="M120" s="0">
        <v>65</v>
      </c>
      <c r="N120" s="0">
        <v>6</v>
      </c>
      <c r="O120" s="0" t="s">
        <v>320</v>
      </c>
      <c r="T120" s="0" t="str">
        <f>_xlfn.TEXTJOIN("_",TRUE,C120,"node_eff",D120,M120,N120)</f>
        <v>s1_node_eff_survival_65_6</v>
      </c>
    </row>
    <row r="121" spans="1:20" x14ac:dyDescent="0.45">
      <c r="A121" s="0" t="str">
        <f>_xlfn.TEXTJOIN("_",TRUE,C121,"node",D121,M121,N121)</f>
        <v>s1_node_survival_66_4</v>
      </c>
      <c r="B121" s="0" t="s">
        <v>0</v>
      </c>
      <c r="C121" s="0" t="s">
        <v>26</v>
      </c>
      <c r="D121" s="0" t="s">
        <v>102</v>
      </c>
      <c r="E121" s="0" t="str">
        <f>"s1_node_"&amp;D121&amp;"_name"</f>
        <v>s1_node_survival_name</v>
      </c>
      <c r="F121" s="13" t="str">
        <f>"s1_node_"&amp;D121&amp;"_desc"</f>
        <v>s1_node_survival_desc</v>
      </c>
      <c r="G121" s="0" t="s">
        <v>138</v>
      </c>
      <c r="H121" s="0">
        <v>4</v>
      </c>
      <c r="I121" s="0" t="s">
        <v>27</v>
      </c>
      <c r="J121" s="0" t="s">
        <v>321</v>
      </c>
      <c r="K121" s="0">
        <v>2340</v>
      </c>
      <c r="L121" s="13">
        <v>3</v>
      </c>
      <c r="M121" s="0">
        <v>66</v>
      </c>
      <c r="N121" s="0">
        <v>4</v>
      </c>
      <c r="O121" s="0" t="s">
        <v>322</v>
      </c>
      <c r="P121" s="0" t="s">
        <v>323</v>
      </c>
      <c r="T121" s="0" t="str">
        <f>_xlfn.TEXTJOIN("_",TRUE,C121,"node_eff",D121,M121,N121)</f>
        <v>s1_node_eff_survival_66_4</v>
      </c>
    </row>
    <row r="122" spans="1:20" x14ac:dyDescent="0.45">
      <c r="A122" s="0" t="str">
        <f>_xlfn.TEXTJOIN("_",TRUE,C122,"node",D122,M122,N122)</f>
        <v>s1_node_survival_67_2</v>
      </c>
      <c r="B122" s="0" t="s">
        <v>0</v>
      </c>
      <c r="C122" s="0" t="s">
        <v>26</v>
      </c>
      <c r="D122" s="0" t="s">
        <v>102</v>
      </c>
      <c r="E122" s="0" t="str">
        <f>"s1_node_"&amp;D122&amp;"_name"</f>
        <v>s1_node_survival_name</v>
      </c>
      <c r="F122" s="13" t="str">
        <f>"s1_node_"&amp;D122&amp;"_desc"</f>
        <v>s1_node_survival_desc</v>
      </c>
      <c r="G122" s="0" t="s">
        <v>138</v>
      </c>
      <c r="H122" s="0">
        <v>4</v>
      </c>
      <c r="I122" s="0" t="s">
        <v>27</v>
      </c>
      <c r="J122" s="0" t="s">
        <v>324</v>
      </c>
      <c r="K122" s="0">
        <v>2370</v>
      </c>
      <c r="L122" s="13">
        <v>3</v>
      </c>
      <c r="M122" s="0">
        <v>67</v>
      </c>
      <c r="N122" s="0">
        <v>2</v>
      </c>
      <c r="O122" s="0" t="s">
        <v>325</v>
      </c>
      <c r="T122" s="0" t="str">
        <f>_xlfn.TEXTJOIN("_",TRUE,C122,"node_eff",D122,M122,N122)</f>
        <v>s1_node_eff_survival_67_2</v>
      </c>
    </row>
    <row r="123" spans="1:20" x14ac:dyDescent="0.45">
      <c r="A123" s="0" t="str">
        <f>_xlfn.TEXTJOIN("_",TRUE,C123,"node",D123,M123,N123)</f>
        <v>s1_node_survival_67_6</v>
      </c>
      <c r="B123" s="0" t="s">
        <v>0</v>
      </c>
      <c r="C123" s="0" t="s">
        <v>26</v>
      </c>
      <c r="D123" s="0" t="s">
        <v>102</v>
      </c>
      <c r="E123" s="0" t="str">
        <f>"s1_node_"&amp;D123&amp;"_name"</f>
        <v>s1_node_survival_name</v>
      </c>
      <c r="F123" s="13" t="str">
        <f>"s1_node_"&amp;D123&amp;"_desc"</f>
        <v>s1_node_survival_desc</v>
      </c>
      <c r="G123" s="0" t="s">
        <v>142</v>
      </c>
      <c r="H123" s="0">
        <v>4</v>
      </c>
      <c r="I123" s="0" t="s">
        <v>27</v>
      </c>
      <c r="J123" s="0" t="s">
        <v>324</v>
      </c>
      <c r="K123" s="0">
        <v>2370</v>
      </c>
      <c r="L123" s="13">
        <v>3</v>
      </c>
      <c r="M123" s="0">
        <v>67</v>
      </c>
      <c r="N123" s="0">
        <v>6</v>
      </c>
      <c r="O123" s="0" t="s">
        <v>325</v>
      </c>
      <c r="T123" s="0" t="str">
        <f>_xlfn.TEXTJOIN("_",TRUE,C123,"node_eff",D123,M123,N123)</f>
        <v>s1_node_eff_survival_67_6</v>
      </c>
    </row>
    <row r="124" spans="1:20" x14ac:dyDescent="0.45">
      <c r="A124" s="0" t="str">
        <f>_xlfn.TEXTJOIN("_",TRUE,C124,"node",D124,M124,N124)</f>
        <v>s1_node_survival_68_2</v>
      </c>
      <c r="B124" s="0" t="s">
        <v>0</v>
      </c>
      <c r="C124" s="0" t="s">
        <v>26</v>
      </c>
      <c r="D124" s="0" t="s">
        <v>102</v>
      </c>
      <c r="E124" s="0" t="str">
        <f>"s1_node_"&amp;D124&amp;"_name"</f>
        <v>s1_node_survival_name</v>
      </c>
      <c r="F124" s="13" t="str">
        <f>"s1_node_"&amp;D124&amp;"_desc"</f>
        <v>s1_node_survival_desc</v>
      </c>
      <c r="G124" s="0" t="s">
        <v>142</v>
      </c>
      <c r="H124" s="0">
        <v>4</v>
      </c>
      <c r="I124" s="0" t="s">
        <v>27</v>
      </c>
      <c r="J124" s="0" t="s">
        <v>326</v>
      </c>
      <c r="K124" s="0">
        <v>2410</v>
      </c>
      <c r="L124" s="13">
        <v>3</v>
      </c>
      <c r="M124" s="0">
        <v>68</v>
      </c>
      <c r="N124" s="0">
        <v>2</v>
      </c>
      <c r="O124" s="0" t="s">
        <v>327</v>
      </c>
      <c r="T124" s="0" t="str">
        <f>_xlfn.TEXTJOIN("_",TRUE,C124,"node_eff",D124,M124,N124)</f>
        <v>s1_node_eff_survival_68_2</v>
      </c>
    </row>
    <row r="125" spans="1:20" x14ac:dyDescent="0.45">
      <c r="A125" s="0" t="str">
        <f>_xlfn.TEXTJOIN("_",TRUE,C125,"node",D125,M125,N125)</f>
        <v>s1_node_survival_68_6</v>
      </c>
      <c r="B125" s="0" t="s">
        <v>0</v>
      </c>
      <c r="C125" s="0" t="s">
        <v>26</v>
      </c>
      <c r="D125" s="0" t="s">
        <v>102</v>
      </c>
      <c r="E125" s="0" t="str">
        <f>"s1_node_"&amp;D125&amp;"_name"</f>
        <v>s1_node_survival_name</v>
      </c>
      <c r="F125" s="13" t="str">
        <f>"s1_node_"&amp;D125&amp;"_desc"</f>
        <v>s1_node_survival_desc</v>
      </c>
      <c r="G125" s="0" t="s">
        <v>138</v>
      </c>
      <c r="H125" s="0">
        <v>4</v>
      </c>
      <c r="I125" s="0" t="s">
        <v>27</v>
      </c>
      <c r="J125" s="0" t="s">
        <v>326</v>
      </c>
      <c r="K125" s="0">
        <v>2410</v>
      </c>
      <c r="L125" s="13">
        <v>3</v>
      </c>
      <c r="M125" s="0">
        <v>68</v>
      </c>
      <c r="N125" s="0">
        <v>6</v>
      </c>
      <c r="O125" s="0" t="s">
        <v>328</v>
      </c>
      <c r="T125" s="0" t="str">
        <f>_xlfn.TEXTJOIN("_",TRUE,C125,"node_eff",D125,M125,N125)</f>
        <v>s1_node_eff_survival_68_6</v>
      </c>
    </row>
    <row r="126" spans="1:20" x14ac:dyDescent="0.45">
      <c r="A126" s="0" t="str">
        <f>_xlfn.TEXTJOIN("_",TRUE,C126,"node",D126,M126,N126)</f>
        <v>s1_node_survival_69_2</v>
      </c>
      <c r="B126" s="0" t="s">
        <v>0</v>
      </c>
      <c r="C126" s="0" t="s">
        <v>26</v>
      </c>
      <c r="D126" s="0" t="s">
        <v>102</v>
      </c>
      <c r="E126" s="0" t="str">
        <f>"s1_node_"&amp;D126&amp;"_name"</f>
        <v>s1_node_survival_name</v>
      </c>
      <c r="F126" s="13" t="str">
        <f>"s1_node_"&amp;D126&amp;"_desc"</f>
        <v>s1_node_survival_desc</v>
      </c>
      <c r="G126" s="0" t="s">
        <v>138</v>
      </c>
      <c r="H126" s="0">
        <v>4</v>
      </c>
      <c r="I126" s="0" t="s">
        <v>27</v>
      </c>
      <c r="J126" s="0" t="s">
        <v>329</v>
      </c>
      <c r="K126" s="0">
        <v>2440</v>
      </c>
      <c r="L126" s="13">
        <v>3</v>
      </c>
      <c r="M126" s="0">
        <v>69</v>
      </c>
      <c r="N126" s="0">
        <v>2</v>
      </c>
      <c r="O126" s="0" t="s">
        <v>330</v>
      </c>
      <c r="T126" s="0" t="str">
        <f>_xlfn.TEXTJOIN("_",TRUE,C126,"node_eff",D126,M126,N126)</f>
        <v>s1_node_eff_survival_69_2</v>
      </c>
    </row>
    <row r="127" spans="1:20" x14ac:dyDescent="0.45">
      <c r="A127" s="0" t="str">
        <f>_xlfn.TEXTJOIN("_",TRUE,C127,"node",D127,M127,N127)</f>
        <v>s1_node_survival_69_6</v>
      </c>
      <c r="B127" s="0" t="s">
        <v>0</v>
      </c>
      <c r="C127" s="0" t="s">
        <v>26</v>
      </c>
      <c r="D127" s="0" t="s">
        <v>102</v>
      </c>
      <c r="E127" s="0" t="str">
        <f>"s1_node_"&amp;D127&amp;"_name"</f>
        <v>s1_node_survival_name</v>
      </c>
      <c r="F127" s="13" t="str">
        <f>"s1_node_"&amp;D127&amp;"_desc"</f>
        <v>s1_node_survival_desc</v>
      </c>
      <c r="G127" s="0" t="s">
        <v>138</v>
      </c>
      <c r="H127" s="0">
        <v>4</v>
      </c>
      <c r="I127" s="0" t="s">
        <v>27</v>
      </c>
      <c r="J127" s="0" t="s">
        <v>329</v>
      </c>
      <c r="K127" s="0">
        <v>2440</v>
      </c>
      <c r="L127" s="13">
        <v>3</v>
      </c>
      <c r="M127" s="0">
        <v>69</v>
      </c>
      <c r="N127" s="0">
        <v>6</v>
      </c>
      <c r="O127" s="0" t="s">
        <v>331</v>
      </c>
      <c r="T127" s="0" t="str">
        <f>_xlfn.TEXTJOIN("_",TRUE,C127,"node_eff",D127,M127,N127)</f>
        <v>s1_node_eff_survival_69_6</v>
      </c>
    </row>
    <row r="128" spans="1:20" x14ac:dyDescent="0.45">
      <c r="A128" s="0" t="str">
        <f>_xlfn.TEXTJOIN("_",TRUE,C128,"node",D128,M128,N128)</f>
        <v>s1_node_survival_70_2</v>
      </c>
      <c r="B128" s="0" t="s">
        <v>0</v>
      </c>
      <c r="C128" s="0" t="s">
        <v>26</v>
      </c>
      <c r="D128" s="0" t="s">
        <v>102</v>
      </c>
      <c r="E128" s="0" t="str">
        <f>"s1_node_"&amp;D128&amp;"_name"</f>
        <v>s1_node_survival_name</v>
      </c>
      <c r="F128" s="13" t="str">
        <f>"s1_node_"&amp;D128&amp;"_desc"</f>
        <v>s1_node_survival_desc</v>
      </c>
      <c r="G128" s="0" t="s">
        <v>149</v>
      </c>
      <c r="H128" s="0">
        <v>4</v>
      </c>
      <c r="I128" s="0" t="s">
        <v>27</v>
      </c>
      <c r="J128" s="0" t="s">
        <v>332</v>
      </c>
      <c r="K128" s="0">
        <v>2480</v>
      </c>
      <c r="L128" s="13">
        <v>3</v>
      </c>
      <c r="M128" s="0">
        <v>70</v>
      </c>
      <c r="N128" s="0">
        <v>2</v>
      </c>
      <c r="O128" s="0" t="s">
        <v>333</v>
      </c>
      <c r="T128" s="0" t="str">
        <f>_xlfn.TEXTJOIN("_",TRUE,C128,"node_eff",D128,M128,N128)</f>
        <v>s1_node_eff_survival_70_2</v>
      </c>
    </row>
    <row r="129" spans="1:20" x14ac:dyDescent="0.45">
      <c r="A129" s="0" t="str">
        <f>_xlfn.TEXTJOIN("_",TRUE,C129,"node",D129,M129,N129)</f>
        <v>s1_node_survival_70_6</v>
      </c>
      <c r="B129" s="0" t="s">
        <v>0</v>
      </c>
      <c r="C129" s="0" t="s">
        <v>26</v>
      </c>
      <c r="D129" s="0" t="s">
        <v>102</v>
      </c>
      <c r="E129" s="0" t="str">
        <f>"s1_node_"&amp;D129&amp;"_name"</f>
        <v>s1_node_survival_name</v>
      </c>
      <c r="F129" s="13" t="str">
        <f>"s1_node_"&amp;D129&amp;"_desc"</f>
        <v>s1_node_survival_desc</v>
      </c>
      <c r="G129" s="0" t="s">
        <v>149</v>
      </c>
      <c r="H129" s="0">
        <v>4</v>
      </c>
      <c r="I129" s="0" t="s">
        <v>27</v>
      </c>
      <c r="J129" s="0" t="s">
        <v>332</v>
      </c>
      <c r="K129" s="0">
        <v>2480</v>
      </c>
      <c r="L129" s="13">
        <v>3</v>
      </c>
      <c r="M129" s="0">
        <v>70</v>
      </c>
      <c r="N129" s="0">
        <v>6</v>
      </c>
      <c r="O129" s="0" t="s">
        <v>334</v>
      </c>
      <c r="T129" s="0" t="str">
        <f>_xlfn.TEXTJOIN("_",TRUE,C129,"node_eff",D129,M129,N129)</f>
        <v>s1_node_eff_survival_70_6</v>
      </c>
    </row>
    <row r="130" spans="1:20" x14ac:dyDescent="0.45">
      <c r="A130" s="0" t="str">
        <f>_xlfn.TEXTJOIN("_",TRUE,C130,"node",D130,M130,N130)</f>
        <v>s1_node_survival_71_4</v>
      </c>
      <c r="B130" s="0" t="s">
        <v>0</v>
      </c>
      <c r="C130" s="0" t="s">
        <v>26</v>
      </c>
      <c r="D130" s="0" t="s">
        <v>102</v>
      </c>
      <c r="E130" s="0" t="str">
        <f>"s1_node_"&amp;D130&amp;"_name"</f>
        <v>s1_node_survival_name</v>
      </c>
      <c r="F130" s="13" t="str">
        <f>"s1_node_"&amp;D130&amp;"_desc"</f>
        <v>s1_node_survival_desc</v>
      </c>
      <c r="G130" s="0" t="s">
        <v>138</v>
      </c>
      <c r="H130" s="0">
        <v>4</v>
      </c>
      <c r="I130" s="0" t="s">
        <v>27</v>
      </c>
      <c r="J130" s="0" t="s">
        <v>335</v>
      </c>
      <c r="K130" s="0">
        <v>2510</v>
      </c>
      <c r="L130" s="13">
        <v>3</v>
      </c>
      <c r="M130" s="0">
        <v>71</v>
      </c>
      <c r="N130" s="0">
        <v>4</v>
      </c>
      <c r="O130" s="0" t="s">
        <v>336</v>
      </c>
      <c r="P130" s="0" t="s">
        <v>337</v>
      </c>
      <c r="T130" s="0" t="str">
        <f>_xlfn.TEXTJOIN("_",TRUE,C130,"node_eff",D130,M130,N130)</f>
        <v>s1_node_eff_survival_71_4</v>
      </c>
    </row>
    <row r="131" spans="1:20" x14ac:dyDescent="0.45">
      <c r="A131" s="0" t="str">
        <f>_xlfn.TEXTJOIN("_",TRUE,C131,"node",D131,M131,N131)</f>
        <v>s1_node_survival_72_2</v>
      </c>
      <c r="B131" s="0" t="s">
        <v>0</v>
      </c>
      <c r="C131" s="0" t="s">
        <v>26</v>
      </c>
      <c r="D131" s="0" t="s">
        <v>102</v>
      </c>
      <c r="E131" s="0" t="str">
        <f>"s1_node_"&amp;D131&amp;"_name"</f>
        <v>s1_node_survival_name</v>
      </c>
      <c r="F131" s="13" t="str">
        <f>"s1_node_"&amp;D131&amp;"_desc"</f>
        <v>s1_node_survival_desc</v>
      </c>
      <c r="G131" s="0" t="s">
        <v>138</v>
      </c>
      <c r="H131" s="0">
        <v>4</v>
      </c>
      <c r="I131" s="0" t="s">
        <v>27</v>
      </c>
      <c r="J131" s="0" t="s">
        <v>338</v>
      </c>
      <c r="K131" s="0">
        <v>2550</v>
      </c>
      <c r="L131" s="13">
        <v>3</v>
      </c>
      <c r="M131" s="0">
        <v>72</v>
      </c>
      <c r="N131" s="0">
        <v>2</v>
      </c>
      <c r="O131" s="0" t="s">
        <v>339</v>
      </c>
      <c r="T131" s="0" t="str">
        <f>_xlfn.TEXTJOIN("_",TRUE,C131,"node_eff",D131,M131,N131)</f>
        <v>s1_node_eff_survival_72_2</v>
      </c>
    </row>
    <row r="132" spans="1:20" x14ac:dyDescent="0.45">
      <c r="A132" s="0" t="str">
        <f>_xlfn.TEXTJOIN("_",TRUE,C132,"node",D132,M132,N132)</f>
        <v>s1_node_survival_72_6</v>
      </c>
      <c r="B132" s="0" t="s">
        <v>0</v>
      </c>
      <c r="C132" s="0" t="s">
        <v>26</v>
      </c>
      <c r="D132" s="0" t="s">
        <v>102</v>
      </c>
      <c r="E132" s="0" t="str">
        <f>"s1_node_"&amp;D132&amp;"_name"</f>
        <v>s1_node_survival_name</v>
      </c>
      <c r="F132" s="13" t="str">
        <f>"s1_node_"&amp;D132&amp;"_desc"</f>
        <v>s1_node_survival_desc</v>
      </c>
      <c r="G132" s="0" t="s">
        <v>142</v>
      </c>
      <c r="H132" s="0">
        <v>4</v>
      </c>
      <c r="I132" s="0" t="s">
        <v>27</v>
      </c>
      <c r="J132" s="0" t="s">
        <v>338</v>
      </c>
      <c r="K132" s="0">
        <v>2550</v>
      </c>
      <c r="L132" s="13">
        <v>3</v>
      </c>
      <c r="M132" s="0">
        <v>72</v>
      </c>
      <c r="N132" s="0">
        <v>6</v>
      </c>
      <c r="O132" s="0" t="s">
        <v>339</v>
      </c>
      <c r="T132" s="0" t="str">
        <f>_xlfn.TEXTJOIN("_",TRUE,C132,"node_eff",D132,M132,N132)</f>
        <v>s1_node_eff_survival_72_6</v>
      </c>
    </row>
    <row r="133" spans="1:20" x14ac:dyDescent="0.45">
      <c r="A133" s="0" t="str">
        <f>_xlfn.TEXTJOIN("_",TRUE,C133,"node",D133,M133,N133)</f>
        <v>s1_node_survival_73_2</v>
      </c>
      <c r="B133" s="0" t="s">
        <v>0</v>
      </c>
      <c r="C133" s="0" t="s">
        <v>26</v>
      </c>
      <c r="D133" s="0" t="s">
        <v>102</v>
      </c>
      <c r="E133" s="0" t="str">
        <f>"s1_node_"&amp;D133&amp;"_name"</f>
        <v>s1_node_survival_name</v>
      </c>
      <c r="F133" s="13" t="str">
        <f>"s1_node_"&amp;D133&amp;"_desc"</f>
        <v>s1_node_survival_desc</v>
      </c>
      <c r="G133" s="0" t="s">
        <v>142</v>
      </c>
      <c r="H133" s="0">
        <v>4</v>
      </c>
      <c r="I133" s="0" t="s">
        <v>27</v>
      </c>
      <c r="J133" s="0" t="s">
        <v>340</v>
      </c>
      <c r="K133" s="0">
        <v>2580</v>
      </c>
      <c r="L133" s="13">
        <v>3</v>
      </c>
      <c r="M133" s="0">
        <v>73</v>
      </c>
      <c r="N133" s="0">
        <v>2</v>
      </c>
      <c r="O133" s="0" t="s">
        <v>341</v>
      </c>
      <c r="T133" s="0" t="str">
        <f>_xlfn.TEXTJOIN("_",TRUE,C133,"node_eff",D133,M133,N133)</f>
        <v>s1_node_eff_survival_73_2</v>
      </c>
    </row>
    <row r="134" spans="1:20" x14ac:dyDescent="0.45">
      <c r="A134" s="0" t="str">
        <f>_xlfn.TEXTJOIN("_",TRUE,C134,"node",D134,M134,N134)</f>
        <v>s1_node_survival_73_6</v>
      </c>
      <c r="B134" s="0" t="s">
        <v>0</v>
      </c>
      <c r="C134" s="0" t="s">
        <v>26</v>
      </c>
      <c r="D134" s="0" t="s">
        <v>102</v>
      </c>
      <c r="E134" s="0" t="str">
        <f>"s1_node_"&amp;D134&amp;"_name"</f>
        <v>s1_node_survival_name</v>
      </c>
      <c r="F134" s="13" t="str">
        <f>"s1_node_"&amp;D134&amp;"_desc"</f>
        <v>s1_node_survival_desc</v>
      </c>
      <c r="G134" s="0" t="s">
        <v>138</v>
      </c>
      <c r="H134" s="0">
        <v>4</v>
      </c>
      <c r="I134" s="0" t="s">
        <v>27</v>
      </c>
      <c r="J134" s="0" t="s">
        <v>340</v>
      </c>
      <c r="K134" s="0">
        <v>2580</v>
      </c>
      <c r="L134" s="13">
        <v>3</v>
      </c>
      <c r="M134" s="0">
        <v>73</v>
      </c>
      <c r="N134" s="0">
        <v>6</v>
      </c>
      <c r="O134" s="0" t="s">
        <v>342</v>
      </c>
      <c r="T134" s="0" t="str">
        <f>_xlfn.TEXTJOIN("_",TRUE,C134,"node_eff",D134,M134,N134)</f>
        <v>s1_node_eff_survival_73_6</v>
      </c>
    </row>
    <row r="135" spans="1:20" x14ac:dyDescent="0.45">
      <c r="A135" s="0" t="str">
        <f>_xlfn.TEXTJOIN("_",TRUE,C135,"node",D135,M135,N135)</f>
        <v>s1_node_survival_74_2</v>
      </c>
      <c r="B135" s="0" t="s">
        <v>0</v>
      </c>
      <c r="C135" s="0" t="s">
        <v>26</v>
      </c>
      <c r="D135" s="0" t="s">
        <v>102</v>
      </c>
      <c r="E135" s="0" t="str">
        <f>"s1_node_"&amp;D135&amp;"_name"</f>
        <v>s1_node_survival_name</v>
      </c>
      <c r="F135" s="13" t="str">
        <f>"s1_node_"&amp;D135&amp;"_desc"</f>
        <v>s1_node_survival_desc</v>
      </c>
      <c r="G135" s="0" t="s">
        <v>138</v>
      </c>
      <c r="H135" s="0">
        <v>4</v>
      </c>
      <c r="I135" s="0" t="s">
        <v>27</v>
      </c>
      <c r="J135" s="0" t="s">
        <v>343</v>
      </c>
      <c r="K135" s="0">
        <v>2620</v>
      </c>
      <c r="L135" s="13">
        <v>3</v>
      </c>
      <c r="M135" s="0">
        <v>74</v>
      </c>
      <c r="N135" s="0">
        <v>2</v>
      </c>
      <c r="O135" s="0" t="s">
        <v>344</v>
      </c>
      <c r="T135" s="0" t="str">
        <f>_xlfn.TEXTJOIN("_",TRUE,C135,"node_eff",D135,M135,N135)</f>
        <v>s1_node_eff_survival_74_2</v>
      </c>
    </row>
    <row r="136" spans="1:20" x14ac:dyDescent="0.45">
      <c r="A136" s="0" t="str">
        <f>_xlfn.TEXTJOIN("_",TRUE,C136,"node",D136,M136,N136)</f>
        <v>s1_node_survival_74_6</v>
      </c>
      <c r="B136" s="0" t="s">
        <v>0</v>
      </c>
      <c r="C136" s="0" t="s">
        <v>26</v>
      </c>
      <c r="D136" s="0" t="s">
        <v>102</v>
      </c>
      <c r="E136" s="0" t="str">
        <f>"s1_node_"&amp;D136&amp;"_name"</f>
        <v>s1_node_survival_name</v>
      </c>
      <c r="F136" s="13" t="str">
        <f>"s1_node_"&amp;D136&amp;"_desc"</f>
        <v>s1_node_survival_desc</v>
      </c>
      <c r="G136" s="0" t="s">
        <v>138</v>
      </c>
      <c r="H136" s="0">
        <v>4</v>
      </c>
      <c r="I136" s="0" t="s">
        <v>27</v>
      </c>
      <c r="J136" s="0" t="s">
        <v>343</v>
      </c>
      <c r="K136" s="0">
        <v>2620</v>
      </c>
      <c r="L136" s="13">
        <v>3</v>
      </c>
      <c r="M136" s="0">
        <v>74</v>
      </c>
      <c r="N136" s="0">
        <v>6</v>
      </c>
      <c r="O136" s="0" t="s">
        <v>345</v>
      </c>
      <c r="T136" s="0" t="str">
        <f>_xlfn.TEXTJOIN("_",TRUE,C136,"node_eff",D136,M136,N136)</f>
        <v>s1_node_eff_survival_74_6</v>
      </c>
    </row>
    <row r="137" spans="1:20" x14ac:dyDescent="0.45">
      <c r="A137" s="0" t="str">
        <f>_xlfn.TEXTJOIN("_",TRUE,C137,"node",D137,M137,N137)</f>
        <v>s1_node_survival_75_2</v>
      </c>
      <c r="B137" s="0" t="s">
        <v>0</v>
      </c>
      <c r="C137" s="0" t="s">
        <v>26</v>
      </c>
      <c r="D137" s="0" t="s">
        <v>102</v>
      </c>
      <c r="E137" s="0" t="str">
        <f>"s1_node_"&amp;D137&amp;"_name"</f>
        <v>s1_node_survival_name</v>
      </c>
      <c r="F137" s="13" t="str">
        <f>"s1_node_"&amp;D137&amp;"_desc"</f>
        <v>s1_node_survival_desc</v>
      </c>
      <c r="G137" s="0" t="s">
        <v>149</v>
      </c>
      <c r="H137" s="0">
        <v>4</v>
      </c>
      <c r="I137" s="0" t="s">
        <v>27</v>
      </c>
      <c r="J137" s="0" t="s">
        <v>346</v>
      </c>
      <c r="K137" s="0">
        <v>2650</v>
      </c>
      <c r="L137" s="13">
        <v>3</v>
      </c>
      <c r="M137" s="0">
        <v>75</v>
      </c>
      <c r="N137" s="0">
        <v>2</v>
      </c>
      <c r="O137" s="0" t="s">
        <v>347</v>
      </c>
      <c r="T137" s="0" t="str">
        <f>_xlfn.TEXTJOIN("_",TRUE,C137,"node_eff",D137,M137,N137)</f>
        <v>s1_node_eff_survival_75_2</v>
      </c>
    </row>
    <row r="138" spans="1:20" x14ac:dyDescent="0.45">
      <c r="A138" s="0" t="str">
        <f>_xlfn.TEXTJOIN("_",TRUE,C138,"node",D138,M138,N138)</f>
        <v>s1_node_survival_75_6</v>
      </c>
      <c r="B138" s="0" t="s">
        <v>0</v>
      </c>
      <c r="C138" s="0" t="s">
        <v>26</v>
      </c>
      <c r="D138" s="0" t="s">
        <v>102</v>
      </c>
      <c r="E138" s="0" t="str">
        <f>"s1_node_"&amp;D138&amp;"_name"</f>
        <v>s1_node_survival_name</v>
      </c>
      <c r="F138" s="13" t="str">
        <f>"s1_node_"&amp;D138&amp;"_desc"</f>
        <v>s1_node_survival_desc</v>
      </c>
      <c r="G138" s="0" t="s">
        <v>149</v>
      </c>
      <c r="H138" s="0">
        <v>4</v>
      </c>
      <c r="I138" s="0" t="s">
        <v>27</v>
      </c>
      <c r="J138" s="0" t="s">
        <v>346</v>
      </c>
      <c r="K138" s="0">
        <v>2650</v>
      </c>
      <c r="L138" s="13">
        <v>3</v>
      </c>
      <c r="M138" s="0">
        <v>75</v>
      </c>
      <c r="N138" s="0">
        <v>6</v>
      </c>
      <c r="O138" s="0" t="s">
        <v>348</v>
      </c>
      <c r="T138" s="0" t="str">
        <f>_xlfn.TEXTJOIN("_",TRUE,C138,"node_eff",D138,M138,N138)</f>
        <v>s1_node_eff_survival_75_6</v>
      </c>
    </row>
    <row r="139" spans="1:20" x14ac:dyDescent="0.45">
      <c r="A139" s="0" t="str">
        <f>_xlfn.TEXTJOIN("_",TRUE,C139,"node",D139,M139,N139)</f>
        <v>s1_node_survival_76_4</v>
      </c>
      <c r="B139" s="0" t="s">
        <v>0</v>
      </c>
      <c r="C139" s="0" t="s">
        <v>26</v>
      </c>
      <c r="D139" s="0" t="s">
        <v>102</v>
      </c>
      <c r="E139" s="0" t="str">
        <f>"s1_node_"&amp;D139&amp;"_name"</f>
        <v>s1_node_survival_name</v>
      </c>
      <c r="F139" s="13" t="str">
        <f>"s1_node_"&amp;D139&amp;"_desc"</f>
        <v>s1_node_survival_desc</v>
      </c>
      <c r="G139" s="0" t="s">
        <v>138</v>
      </c>
      <c r="H139" s="0">
        <v>4</v>
      </c>
      <c r="I139" s="0" t="s">
        <v>27</v>
      </c>
      <c r="J139" s="0" t="s">
        <v>349</v>
      </c>
      <c r="K139" s="0">
        <v>2690</v>
      </c>
      <c r="L139" s="13">
        <v>3</v>
      </c>
      <c r="M139" s="0">
        <v>76</v>
      </c>
      <c r="N139" s="0">
        <v>4</v>
      </c>
      <c r="O139" s="0" t="s">
        <v>350</v>
      </c>
      <c r="P139" s="0" t="s">
        <v>351</v>
      </c>
      <c r="T139" s="0" t="str">
        <f>_xlfn.TEXTJOIN("_",TRUE,C139,"node_eff",D139,M139,N139)</f>
        <v>s1_node_eff_survival_76_4</v>
      </c>
    </row>
    <row r="140" spans="1:20" x14ac:dyDescent="0.45">
      <c r="A140" s="0" t="str">
        <f>_xlfn.TEXTJOIN("_",TRUE,C140,"node",D140,M140,N140)</f>
        <v>s1_node_survival_77_2</v>
      </c>
      <c r="B140" s="0" t="s">
        <v>0</v>
      </c>
      <c r="C140" s="0" t="s">
        <v>26</v>
      </c>
      <c r="D140" s="0" t="s">
        <v>102</v>
      </c>
      <c r="E140" s="0" t="str">
        <f>"s1_node_"&amp;D140&amp;"_name"</f>
        <v>s1_node_survival_name</v>
      </c>
      <c r="F140" s="13" t="str">
        <f>"s1_node_"&amp;D140&amp;"_desc"</f>
        <v>s1_node_survival_desc</v>
      </c>
      <c r="G140" s="0" t="s">
        <v>138</v>
      </c>
      <c r="H140" s="0">
        <v>4</v>
      </c>
      <c r="I140" s="0" t="s">
        <v>27</v>
      </c>
      <c r="J140" s="0" t="s">
        <v>352</v>
      </c>
      <c r="K140" s="0">
        <v>2720</v>
      </c>
      <c r="L140" s="13">
        <v>3</v>
      </c>
      <c r="M140" s="0">
        <v>77</v>
      </c>
      <c r="N140" s="0">
        <v>2</v>
      </c>
      <c r="O140" s="0" t="s">
        <v>353</v>
      </c>
      <c r="T140" s="0" t="str">
        <f>_xlfn.TEXTJOIN("_",TRUE,C140,"node_eff",D140,M140,N140)</f>
        <v>s1_node_eff_survival_77_2</v>
      </c>
    </row>
    <row r="141" spans="1:20" x14ac:dyDescent="0.45">
      <c r="A141" s="0" t="str">
        <f>_xlfn.TEXTJOIN("_",TRUE,C141,"node",D141,M141,N141)</f>
        <v>s1_node_survival_77_6</v>
      </c>
      <c r="B141" s="0" t="s">
        <v>0</v>
      </c>
      <c r="C141" s="0" t="s">
        <v>26</v>
      </c>
      <c r="D141" s="0" t="s">
        <v>102</v>
      </c>
      <c r="E141" s="0" t="str">
        <f>"s1_node_"&amp;D141&amp;"_name"</f>
        <v>s1_node_survival_name</v>
      </c>
      <c r="F141" s="13" t="str">
        <f>"s1_node_"&amp;D141&amp;"_desc"</f>
        <v>s1_node_survival_desc</v>
      </c>
      <c r="G141" s="0" t="s">
        <v>142</v>
      </c>
      <c r="H141" s="0">
        <v>4</v>
      </c>
      <c r="I141" s="0" t="s">
        <v>27</v>
      </c>
      <c r="J141" s="0" t="s">
        <v>352</v>
      </c>
      <c r="K141" s="0">
        <v>2720</v>
      </c>
      <c r="L141" s="13">
        <v>3</v>
      </c>
      <c r="M141" s="0">
        <v>77</v>
      </c>
      <c r="N141" s="0">
        <v>6</v>
      </c>
      <c r="O141" s="0" t="s">
        <v>353</v>
      </c>
      <c r="T141" s="0" t="str">
        <f>_xlfn.TEXTJOIN("_",TRUE,C141,"node_eff",D141,M141,N141)</f>
        <v>s1_node_eff_survival_77_6</v>
      </c>
    </row>
    <row r="142" spans="1:20" x14ac:dyDescent="0.45">
      <c r="A142" s="0" t="str">
        <f>_xlfn.TEXTJOIN("_",TRUE,C142,"node",D142,M142,N142)</f>
        <v>s1_node_survival_78_2</v>
      </c>
      <c r="B142" s="0" t="s">
        <v>0</v>
      </c>
      <c r="C142" s="0" t="s">
        <v>26</v>
      </c>
      <c r="D142" s="0" t="s">
        <v>102</v>
      </c>
      <c r="E142" s="0" t="str">
        <f>"s1_node_"&amp;D142&amp;"_name"</f>
        <v>s1_node_survival_name</v>
      </c>
      <c r="F142" s="13" t="str">
        <f>"s1_node_"&amp;D142&amp;"_desc"</f>
        <v>s1_node_survival_desc</v>
      </c>
      <c r="G142" s="0" t="s">
        <v>142</v>
      </c>
      <c r="H142" s="0">
        <v>4</v>
      </c>
      <c r="I142" s="0" t="s">
        <v>27</v>
      </c>
      <c r="J142" s="0" t="s">
        <v>354</v>
      </c>
      <c r="K142" s="0">
        <v>2760</v>
      </c>
      <c r="L142" s="13">
        <v>3</v>
      </c>
      <c r="M142" s="0">
        <v>78</v>
      </c>
      <c r="N142" s="0">
        <v>2</v>
      </c>
      <c r="O142" s="0" t="s">
        <v>355</v>
      </c>
      <c r="T142" s="0" t="str">
        <f>_xlfn.TEXTJOIN("_",TRUE,C142,"node_eff",D142,M142,N142)</f>
        <v>s1_node_eff_survival_78_2</v>
      </c>
    </row>
    <row r="143" spans="1:20" x14ac:dyDescent="0.45">
      <c r="A143" s="0" t="str">
        <f>_xlfn.TEXTJOIN("_",TRUE,C143,"node",D143,M143,N143)</f>
        <v>s1_node_survival_78_6</v>
      </c>
      <c r="B143" s="0" t="s">
        <v>0</v>
      </c>
      <c r="C143" s="0" t="s">
        <v>26</v>
      </c>
      <c r="D143" s="0" t="s">
        <v>102</v>
      </c>
      <c r="E143" s="0" t="str">
        <f>"s1_node_"&amp;D143&amp;"_name"</f>
        <v>s1_node_survival_name</v>
      </c>
      <c r="F143" s="13" t="str">
        <f>"s1_node_"&amp;D143&amp;"_desc"</f>
        <v>s1_node_survival_desc</v>
      </c>
      <c r="G143" s="0" t="s">
        <v>138</v>
      </c>
      <c r="H143" s="0">
        <v>4</v>
      </c>
      <c r="I143" s="0" t="s">
        <v>27</v>
      </c>
      <c r="J143" s="0" t="s">
        <v>354</v>
      </c>
      <c r="K143" s="0">
        <v>2760</v>
      </c>
      <c r="L143" s="13">
        <v>3</v>
      </c>
      <c r="M143" s="0">
        <v>78</v>
      </c>
      <c r="N143" s="0">
        <v>6</v>
      </c>
      <c r="O143" s="0" t="s">
        <v>356</v>
      </c>
      <c r="T143" s="0" t="str">
        <f>_xlfn.TEXTJOIN("_",TRUE,C143,"node_eff",D143,M143,N143)</f>
        <v>s1_node_eff_survival_78_6</v>
      </c>
    </row>
    <row r="144" spans="1:20" x14ac:dyDescent="0.45">
      <c r="A144" s="0" t="str">
        <f>_xlfn.TEXTJOIN("_",TRUE,C144,"node",D144,M144,N144)</f>
        <v>s1_node_survival_79_2</v>
      </c>
      <c r="B144" s="0" t="s">
        <v>0</v>
      </c>
      <c r="C144" s="0" t="s">
        <v>26</v>
      </c>
      <c r="D144" s="0" t="s">
        <v>102</v>
      </c>
      <c r="E144" s="0" t="str">
        <f>"s1_node_"&amp;D144&amp;"_name"</f>
        <v>s1_node_survival_name</v>
      </c>
      <c r="F144" s="13" t="str">
        <f>"s1_node_"&amp;D144&amp;"_desc"</f>
        <v>s1_node_survival_desc</v>
      </c>
      <c r="G144" s="0" t="s">
        <v>138</v>
      </c>
      <c r="H144" s="0">
        <v>4</v>
      </c>
      <c r="I144" s="0" t="s">
        <v>27</v>
      </c>
      <c r="J144" s="0" t="s">
        <v>357</v>
      </c>
      <c r="K144" s="0">
        <v>2790</v>
      </c>
      <c r="L144" s="13">
        <v>3</v>
      </c>
      <c r="M144" s="0">
        <v>79</v>
      </c>
      <c r="N144" s="0">
        <v>2</v>
      </c>
      <c r="O144" s="0" t="s">
        <v>358</v>
      </c>
      <c r="T144" s="0" t="str">
        <f>_xlfn.TEXTJOIN("_",TRUE,C144,"node_eff",D144,M144,N144)</f>
        <v>s1_node_eff_survival_79_2</v>
      </c>
    </row>
    <row r="145" spans="1:20" x14ac:dyDescent="0.45">
      <c r="A145" s="0" t="str">
        <f>_xlfn.TEXTJOIN("_",TRUE,C145,"node",D145,M145,N145)</f>
        <v>s1_node_survival_79_6</v>
      </c>
      <c r="B145" s="0" t="s">
        <v>0</v>
      </c>
      <c r="C145" s="0" t="s">
        <v>26</v>
      </c>
      <c r="D145" s="0" t="s">
        <v>102</v>
      </c>
      <c r="E145" s="0" t="str">
        <f>"s1_node_"&amp;D145&amp;"_name"</f>
        <v>s1_node_survival_name</v>
      </c>
      <c r="F145" s="13" t="str">
        <f>"s1_node_"&amp;D145&amp;"_desc"</f>
        <v>s1_node_survival_desc</v>
      </c>
      <c r="G145" s="0" t="s">
        <v>138</v>
      </c>
      <c r="H145" s="0">
        <v>4</v>
      </c>
      <c r="I145" s="0" t="s">
        <v>27</v>
      </c>
      <c r="J145" s="0" t="s">
        <v>357</v>
      </c>
      <c r="K145" s="0">
        <v>2790</v>
      </c>
      <c r="L145" s="13">
        <v>3</v>
      </c>
      <c r="M145" s="0">
        <v>79</v>
      </c>
      <c r="N145" s="0">
        <v>6</v>
      </c>
      <c r="O145" s="0" t="s">
        <v>359</v>
      </c>
      <c r="T145" s="0" t="str">
        <f>_xlfn.TEXTJOIN("_",TRUE,C145,"node_eff",D145,M145,N145)</f>
        <v>s1_node_eff_survival_79_6</v>
      </c>
    </row>
    <row r="146" spans="1:20" x14ac:dyDescent="0.45">
      <c r="A146" s="0" t="str">
        <f>_xlfn.TEXTJOIN("_",TRUE,C146,"node",D146,M146,N146)</f>
        <v>s1_node_survival_80_2</v>
      </c>
      <c r="B146" s="0" t="s">
        <v>0</v>
      </c>
      <c r="C146" s="0" t="s">
        <v>26</v>
      </c>
      <c r="D146" s="0" t="s">
        <v>102</v>
      </c>
      <c r="E146" s="0" t="str">
        <f>"s1_node_"&amp;D146&amp;"_name"</f>
        <v>s1_node_survival_name</v>
      </c>
      <c r="F146" s="13" t="str">
        <f>"s1_node_"&amp;D146&amp;"_desc"</f>
        <v>s1_node_survival_desc</v>
      </c>
      <c r="G146" s="0" t="s">
        <v>149</v>
      </c>
      <c r="H146" s="0">
        <v>4</v>
      </c>
      <c r="I146" s="0" t="s">
        <v>27</v>
      </c>
      <c r="J146" s="0" t="s">
        <v>360</v>
      </c>
      <c r="K146" s="0">
        <v>2830</v>
      </c>
      <c r="L146" s="13">
        <v>3</v>
      </c>
      <c r="M146" s="0">
        <v>80</v>
      </c>
      <c r="N146" s="0">
        <v>2</v>
      </c>
      <c r="O146" s="0" t="s">
        <v>361</v>
      </c>
      <c r="T146" s="0" t="str">
        <f>_xlfn.TEXTJOIN("_",TRUE,C146,"node_eff",D146,M146,N146)</f>
        <v>s1_node_eff_survival_80_2</v>
      </c>
    </row>
    <row r="147" spans="1:20" x14ac:dyDescent="0.45">
      <c r="A147" s="0" t="str">
        <f>_xlfn.TEXTJOIN("_",TRUE,C147,"node",D147,M147,N147)</f>
        <v>s1_node_survival_80_6</v>
      </c>
      <c r="B147" s="0" t="s">
        <v>0</v>
      </c>
      <c r="C147" s="0" t="s">
        <v>26</v>
      </c>
      <c r="D147" s="0" t="s">
        <v>102</v>
      </c>
      <c r="E147" s="0" t="str">
        <f>"s1_node_"&amp;D147&amp;"_name"</f>
        <v>s1_node_survival_name</v>
      </c>
      <c r="F147" s="13" t="str">
        <f>"s1_node_"&amp;D147&amp;"_desc"</f>
        <v>s1_node_survival_desc</v>
      </c>
      <c r="G147" s="0" t="s">
        <v>149</v>
      </c>
      <c r="H147" s="0">
        <v>4</v>
      </c>
      <c r="I147" s="0" t="s">
        <v>27</v>
      </c>
      <c r="J147" s="0" t="s">
        <v>360</v>
      </c>
      <c r="K147" s="0">
        <v>2830</v>
      </c>
      <c r="L147" s="13">
        <v>3</v>
      </c>
      <c r="M147" s="0">
        <v>80</v>
      </c>
      <c r="N147" s="0">
        <v>6</v>
      </c>
      <c r="O147" s="0" t="s">
        <v>362</v>
      </c>
      <c r="T147" s="0" t="str">
        <f>_xlfn.TEXTJOIN("_",TRUE,C147,"node_eff",D147,M147,N147)</f>
        <v>s1_node_eff_survival_80_6</v>
      </c>
    </row>
    <row r="148" spans="1:20" x14ac:dyDescent="0.45">
      <c r="A148" s="0" t="str">
        <f>_xlfn.TEXTJOIN("_",TRUE,C148,"node",D148,M148,N148)</f>
        <v>s1_node_survival_81_4</v>
      </c>
      <c r="B148" s="0" t="s">
        <v>0</v>
      </c>
      <c r="C148" s="0" t="s">
        <v>26</v>
      </c>
      <c r="D148" s="0" t="s">
        <v>102</v>
      </c>
      <c r="E148" s="0" t="str">
        <f>"s1_node_"&amp;D148&amp;"_name"</f>
        <v>s1_node_survival_name</v>
      </c>
      <c r="F148" s="13" t="str">
        <f>"s1_node_"&amp;D148&amp;"_desc"</f>
        <v>s1_node_survival_desc</v>
      </c>
      <c r="G148" s="0" t="s">
        <v>138</v>
      </c>
      <c r="H148" s="0">
        <v>5</v>
      </c>
      <c r="I148" s="0" t="s">
        <v>27</v>
      </c>
      <c r="J148" s="0" t="s">
        <v>363</v>
      </c>
      <c r="K148" s="0">
        <v>2860</v>
      </c>
      <c r="L148" s="13">
        <v>3</v>
      </c>
      <c r="M148" s="0">
        <v>81</v>
      </c>
      <c r="N148" s="0">
        <v>4</v>
      </c>
      <c r="O148" s="0" t="s">
        <v>364</v>
      </c>
      <c r="P148" s="0" t="s">
        <v>365</v>
      </c>
      <c r="T148" s="0" t="str">
        <f>_xlfn.TEXTJOIN("_",TRUE,C148,"node_eff",D148,M148,N148)</f>
        <v>s1_node_eff_survival_81_4</v>
      </c>
    </row>
    <row r="149" spans="1:20" x14ac:dyDescent="0.45">
      <c r="A149" s="0" t="str">
        <f>_xlfn.TEXTJOIN("_",TRUE,C149,"node",D149,M149,N149)</f>
        <v>s1_node_survival_82_2</v>
      </c>
      <c r="B149" s="0" t="s">
        <v>0</v>
      </c>
      <c r="C149" s="0" t="s">
        <v>26</v>
      </c>
      <c r="D149" s="0" t="s">
        <v>102</v>
      </c>
      <c r="E149" s="0" t="str">
        <f>"s1_node_"&amp;D149&amp;"_name"</f>
        <v>s1_node_survival_name</v>
      </c>
      <c r="F149" s="13" t="str">
        <f>"s1_node_"&amp;D149&amp;"_desc"</f>
        <v>s1_node_survival_desc</v>
      </c>
      <c r="G149" s="0" t="s">
        <v>138</v>
      </c>
      <c r="H149" s="0">
        <v>5</v>
      </c>
      <c r="I149" s="0" t="s">
        <v>27</v>
      </c>
      <c r="J149" s="0" t="s">
        <v>366</v>
      </c>
      <c r="K149" s="0">
        <v>2900</v>
      </c>
      <c r="L149" s="13">
        <v>3</v>
      </c>
      <c r="M149" s="0">
        <v>82</v>
      </c>
      <c r="N149" s="0">
        <v>2</v>
      </c>
      <c r="O149" s="0" t="s">
        <v>367</v>
      </c>
      <c r="T149" s="0" t="str">
        <f>_xlfn.TEXTJOIN("_",TRUE,C149,"node_eff",D149,M149,N149)</f>
        <v>s1_node_eff_survival_82_2</v>
      </c>
    </row>
    <row r="150" spans="1:20" x14ac:dyDescent="0.45">
      <c r="A150" s="0" t="str">
        <f>_xlfn.TEXTJOIN("_",TRUE,C150,"node",D150,M150,N150)</f>
        <v>s1_node_survival_82_6</v>
      </c>
      <c r="B150" s="0" t="s">
        <v>0</v>
      </c>
      <c r="C150" s="0" t="s">
        <v>26</v>
      </c>
      <c r="D150" s="0" t="s">
        <v>102</v>
      </c>
      <c r="E150" s="0" t="str">
        <f>"s1_node_"&amp;D150&amp;"_name"</f>
        <v>s1_node_survival_name</v>
      </c>
      <c r="F150" s="13" t="str">
        <f>"s1_node_"&amp;D150&amp;"_desc"</f>
        <v>s1_node_survival_desc</v>
      </c>
      <c r="G150" s="0" t="s">
        <v>142</v>
      </c>
      <c r="H150" s="0">
        <v>5</v>
      </c>
      <c r="I150" s="0" t="s">
        <v>27</v>
      </c>
      <c r="J150" s="0" t="s">
        <v>366</v>
      </c>
      <c r="K150" s="0">
        <v>2900</v>
      </c>
      <c r="L150" s="13">
        <v>3</v>
      </c>
      <c r="M150" s="0">
        <v>82</v>
      </c>
      <c r="N150" s="0">
        <v>6</v>
      </c>
      <c r="O150" s="0" t="s">
        <v>367</v>
      </c>
      <c r="T150" s="0" t="str">
        <f>_xlfn.TEXTJOIN("_",TRUE,C150,"node_eff",D150,M150,N150)</f>
        <v>s1_node_eff_survival_82_6</v>
      </c>
    </row>
    <row r="151" spans="1:20" x14ac:dyDescent="0.45">
      <c r="A151" s="0" t="str">
        <f>_xlfn.TEXTJOIN("_",TRUE,C151,"node",D151,M151,N151)</f>
        <v>s1_node_survival_83_2</v>
      </c>
      <c r="B151" s="0" t="s">
        <v>0</v>
      </c>
      <c r="C151" s="0" t="s">
        <v>26</v>
      </c>
      <c r="D151" s="0" t="s">
        <v>102</v>
      </c>
      <c r="E151" s="0" t="str">
        <f>"s1_node_"&amp;D151&amp;"_name"</f>
        <v>s1_node_survival_name</v>
      </c>
      <c r="F151" s="13" t="str">
        <f>"s1_node_"&amp;D151&amp;"_desc"</f>
        <v>s1_node_survival_desc</v>
      </c>
      <c r="G151" s="0" t="s">
        <v>142</v>
      </c>
      <c r="H151" s="0">
        <v>5</v>
      </c>
      <c r="I151" s="0" t="s">
        <v>27</v>
      </c>
      <c r="J151" s="0" t="s">
        <v>368</v>
      </c>
      <c r="K151" s="0">
        <v>2930</v>
      </c>
      <c r="L151" s="13">
        <v>3</v>
      </c>
      <c r="M151" s="0">
        <v>83</v>
      </c>
      <c r="N151" s="0">
        <v>2</v>
      </c>
      <c r="O151" s="0" t="s">
        <v>369</v>
      </c>
      <c r="T151" s="0" t="str">
        <f>_xlfn.TEXTJOIN("_",TRUE,C151,"node_eff",D151,M151,N151)</f>
        <v>s1_node_eff_survival_83_2</v>
      </c>
    </row>
    <row r="152" spans="1:20" x14ac:dyDescent="0.45">
      <c r="A152" s="0" t="str">
        <f>_xlfn.TEXTJOIN("_",TRUE,C152,"node",D152,M152,N152)</f>
        <v>s1_node_survival_83_6</v>
      </c>
      <c r="B152" s="0" t="s">
        <v>0</v>
      </c>
      <c r="C152" s="0" t="s">
        <v>26</v>
      </c>
      <c r="D152" s="0" t="s">
        <v>102</v>
      </c>
      <c r="E152" s="0" t="str">
        <f>"s1_node_"&amp;D152&amp;"_name"</f>
        <v>s1_node_survival_name</v>
      </c>
      <c r="F152" s="13" t="str">
        <f>"s1_node_"&amp;D152&amp;"_desc"</f>
        <v>s1_node_survival_desc</v>
      </c>
      <c r="G152" s="0" t="s">
        <v>138</v>
      </c>
      <c r="H152" s="0">
        <v>5</v>
      </c>
      <c r="I152" s="0" t="s">
        <v>27</v>
      </c>
      <c r="J152" s="0" t="s">
        <v>368</v>
      </c>
      <c r="K152" s="0">
        <v>2930</v>
      </c>
      <c r="L152" s="13">
        <v>3</v>
      </c>
      <c r="M152" s="0">
        <v>83</v>
      </c>
      <c r="N152" s="0">
        <v>6</v>
      </c>
      <c r="O152" s="0" t="s">
        <v>370</v>
      </c>
      <c r="T152" s="0" t="str">
        <f>_xlfn.TEXTJOIN("_",TRUE,C152,"node_eff",D152,M152,N152)</f>
        <v>s1_node_eff_survival_83_6</v>
      </c>
    </row>
    <row r="153" spans="1:20" x14ac:dyDescent="0.45">
      <c r="A153" s="0" t="str">
        <f>_xlfn.TEXTJOIN("_",TRUE,C153,"node",D153,M153,N153)</f>
        <v>s1_node_survival_84_2</v>
      </c>
      <c r="B153" s="0" t="s">
        <v>0</v>
      </c>
      <c r="C153" s="0" t="s">
        <v>26</v>
      </c>
      <c r="D153" s="0" t="s">
        <v>102</v>
      </c>
      <c r="E153" s="0" t="str">
        <f>"s1_node_"&amp;D153&amp;"_name"</f>
        <v>s1_node_survival_name</v>
      </c>
      <c r="F153" s="13" t="str">
        <f>"s1_node_"&amp;D153&amp;"_desc"</f>
        <v>s1_node_survival_desc</v>
      </c>
      <c r="G153" s="0" t="s">
        <v>138</v>
      </c>
      <c r="H153" s="0">
        <v>5</v>
      </c>
      <c r="I153" s="0" t="s">
        <v>27</v>
      </c>
      <c r="J153" s="0" t="s">
        <v>371</v>
      </c>
      <c r="K153" s="0">
        <v>2960</v>
      </c>
      <c r="L153" s="13">
        <v>3</v>
      </c>
      <c r="M153" s="0">
        <v>84</v>
      </c>
      <c r="N153" s="0">
        <v>2</v>
      </c>
      <c r="O153" s="0" t="s">
        <v>372</v>
      </c>
      <c r="T153" s="0" t="str">
        <f>_xlfn.TEXTJOIN("_",TRUE,C153,"node_eff",D153,M153,N153)</f>
        <v>s1_node_eff_survival_84_2</v>
      </c>
    </row>
    <row r="154" spans="1:20" x14ac:dyDescent="0.45">
      <c r="A154" s="0" t="str">
        <f>_xlfn.TEXTJOIN("_",TRUE,C154,"node",D154,M154,N154)</f>
        <v>s1_node_survival_84_6</v>
      </c>
      <c r="B154" s="0" t="s">
        <v>0</v>
      </c>
      <c r="C154" s="0" t="s">
        <v>26</v>
      </c>
      <c r="D154" s="0" t="s">
        <v>102</v>
      </c>
      <c r="E154" s="0" t="str">
        <f>"s1_node_"&amp;D154&amp;"_name"</f>
        <v>s1_node_survival_name</v>
      </c>
      <c r="F154" s="13" t="str">
        <f>"s1_node_"&amp;D154&amp;"_desc"</f>
        <v>s1_node_survival_desc</v>
      </c>
      <c r="G154" s="0" t="s">
        <v>138</v>
      </c>
      <c r="H154" s="0">
        <v>5</v>
      </c>
      <c r="I154" s="0" t="s">
        <v>27</v>
      </c>
      <c r="J154" s="0" t="s">
        <v>371</v>
      </c>
      <c r="K154" s="0">
        <v>2960</v>
      </c>
      <c r="L154" s="13">
        <v>3</v>
      </c>
      <c r="M154" s="0">
        <v>84</v>
      </c>
      <c r="N154" s="0">
        <v>6</v>
      </c>
      <c r="O154" s="0" t="s">
        <v>373</v>
      </c>
      <c r="T154" s="0" t="str">
        <f>_xlfn.TEXTJOIN("_",TRUE,C154,"node_eff",D154,M154,N154)</f>
        <v>s1_node_eff_survival_84_6</v>
      </c>
    </row>
    <row r="155" spans="1:20" x14ac:dyDescent="0.45">
      <c r="A155" s="0" t="str">
        <f>_xlfn.TEXTJOIN("_",TRUE,C155,"node",D155,M155,N155)</f>
        <v>s1_node_survival_85_2</v>
      </c>
      <c r="B155" s="0" t="s">
        <v>0</v>
      </c>
      <c r="C155" s="0" t="s">
        <v>26</v>
      </c>
      <c r="D155" s="0" t="s">
        <v>102</v>
      </c>
      <c r="E155" s="0" t="str">
        <f>"s1_node_"&amp;D155&amp;"_name"</f>
        <v>s1_node_survival_name</v>
      </c>
      <c r="F155" s="13" t="str">
        <f>"s1_node_"&amp;D155&amp;"_desc"</f>
        <v>s1_node_survival_desc</v>
      </c>
      <c r="G155" s="0" t="s">
        <v>149</v>
      </c>
      <c r="H155" s="0">
        <v>5</v>
      </c>
      <c r="I155" s="0" t="s">
        <v>27</v>
      </c>
      <c r="J155" s="0" t="s">
        <v>374</v>
      </c>
      <c r="K155" s="0">
        <v>3000</v>
      </c>
      <c r="L155" s="13">
        <v>3</v>
      </c>
      <c r="M155" s="0">
        <v>85</v>
      </c>
      <c r="N155" s="0">
        <v>2</v>
      </c>
      <c r="O155" s="0" t="s">
        <v>375</v>
      </c>
      <c r="T155" s="0" t="str">
        <f>_xlfn.TEXTJOIN("_",TRUE,C155,"node_eff",D155,M155,N155)</f>
        <v>s1_node_eff_survival_85_2</v>
      </c>
    </row>
    <row r="156" spans="1:20" x14ac:dyDescent="0.45">
      <c r="A156" s="0" t="str">
        <f>_xlfn.TEXTJOIN("_",TRUE,C156,"node",D156,M156,N156)</f>
        <v>s1_node_survival_85_6</v>
      </c>
      <c r="B156" s="0" t="s">
        <v>0</v>
      </c>
      <c r="C156" s="0" t="s">
        <v>26</v>
      </c>
      <c r="D156" s="0" t="s">
        <v>102</v>
      </c>
      <c r="E156" s="0" t="str">
        <f>"s1_node_"&amp;D156&amp;"_name"</f>
        <v>s1_node_survival_name</v>
      </c>
      <c r="F156" s="13" t="str">
        <f>"s1_node_"&amp;D156&amp;"_desc"</f>
        <v>s1_node_survival_desc</v>
      </c>
      <c r="G156" s="0" t="s">
        <v>149</v>
      </c>
      <c r="H156" s="0">
        <v>5</v>
      </c>
      <c r="I156" s="0" t="s">
        <v>27</v>
      </c>
      <c r="J156" s="0" t="s">
        <v>374</v>
      </c>
      <c r="K156" s="0">
        <v>3000</v>
      </c>
      <c r="L156" s="13">
        <v>3</v>
      </c>
      <c r="M156" s="0">
        <v>85</v>
      </c>
      <c r="N156" s="0">
        <v>6</v>
      </c>
      <c r="O156" s="0" t="s">
        <v>376</v>
      </c>
      <c r="T156" s="0" t="str">
        <f>_xlfn.TEXTJOIN("_",TRUE,C156,"node_eff",D156,M156,N156)</f>
        <v>s1_node_eff_survival_85_6</v>
      </c>
    </row>
    <row r="157" spans="1:20" x14ac:dyDescent="0.45">
      <c r="A157" s="0" t="str">
        <f>_xlfn.TEXTJOIN("_",TRUE,C157,"node",D157,M157,N157)</f>
        <v>s1_node_survival_86_4</v>
      </c>
      <c r="B157" s="0" t="s">
        <v>0</v>
      </c>
      <c r="C157" s="0" t="s">
        <v>26</v>
      </c>
      <c r="D157" s="0" t="s">
        <v>102</v>
      </c>
      <c r="E157" s="0" t="str">
        <f>"s1_node_"&amp;D157&amp;"_name"</f>
        <v>s1_node_survival_name</v>
      </c>
      <c r="F157" s="13" t="str">
        <f>"s1_node_"&amp;D157&amp;"_desc"</f>
        <v>s1_node_survival_desc</v>
      </c>
      <c r="G157" s="0" t="s">
        <v>138</v>
      </c>
      <c r="H157" s="0">
        <v>5</v>
      </c>
      <c r="I157" s="0" t="s">
        <v>27</v>
      </c>
      <c r="J157" s="0" t="s">
        <v>377</v>
      </c>
      <c r="K157" s="0">
        <v>3030</v>
      </c>
      <c r="L157" s="13">
        <v>3</v>
      </c>
      <c r="M157" s="0">
        <v>86</v>
      </c>
      <c r="N157" s="0">
        <v>4</v>
      </c>
      <c r="O157" s="0" t="s">
        <v>378</v>
      </c>
      <c r="P157" s="0" t="s">
        <v>379</v>
      </c>
      <c r="T157" s="0" t="str">
        <f>_xlfn.TEXTJOIN("_",TRUE,C157,"node_eff",D157,M157,N157)</f>
        <v>s1_node_eff_survival_86_4</v>
      </c>
    </row>
    <row r="158" spans="1:20" x14ac:dyDescent="0.45">
      <c r="A158" s="0" t="str">
        <f>_xlfn.TEXTJOIN("_",TRUE,C158,"node",D158,M158,N158)</f>
        <v>s1_node_survival_87_2</v>
      </c>
      <c r="B158" s="0" t="s">
        <v>0</v>
      </c>
      <c r="C158" s="0" t="s">
        <v>26</v>
      </c>
      <c r="D158" s="0" t="s">
        <v>102</v>
      </c>
      <c r="E158" s="0" t="str">
        <f>"s1_node_"&amp;D158&amp;"_name"</f>
        <v>s1_node_survival_name</v>
      </c>
      <c r="F158" s="13" t="str">
        <f>"s1_node_"&amp;D158&amp;"_desc"</f>
        <v>s1_node_survival_desc</v>
      </c>
      <c r="G158" s="0" t="s">
        <v>138</v>
      </c>
      <c r="H158" s="0">
        <v>5</v>
      </c>
      <c r="I158" s="0" t="s">
        <v>27</v>
      </c>
      <c r="J158" s="0" t="s">
        <v>380</v>
      </c>
      <c r="K158" s="0">
        <v>3070</v>
      </c>
      <c r="L158" s="13">
        <v>3</v>
      </c>
      <c r="M158" s="0">
        <v>87</v>
      </c>
      <c r="N158" s="0">
        <v>2</v>
      </c>
      <c r="O158" s="0" t="s">
        <v>381</v>
      </c>
      <c r="T158" s="0" t="str">
        <f>_xlfn.TEXTJOIN("_",TRUE,C158,"node_eff",D158,M158,N158)</f>
        <v>s1_node_eff_survival_87_2</v>
      </c>
    </row>
    <row r="159" spans="1:20" x14ac:dyDescent="0.45">
      <c r="A159" s="0" t="str">
        <f>_xlfn.TEXTJOIN("_",TRUE,C159,"node",D159,M159,N159)</f>
        <v>s1_node_survival_87_6</v>
      </c>
      <c r="B159" s="0" t="s">
        <v>0</v>
      </c>
      <c r="C159" s="0" t="s">
        <v>26</v>
      </c>
      <c r="D159" s="0" t="s">
        <v>102</v>
      </c>
      <c r="E159" s="0" t="str">
        <f>"s1_node_"&amp;D159&amp;"_name"</f>
        <v>s1_node_survival_name</v>
      </c>
      <c r="F159" s="13" t="str">
        <f>"s1_node_"&amp;D159&amp;"_desc"</f>
        <v>s1_node_survival_desc</v>
      </c>
      <c r="G159" s="0" t="s">
        <v>142</v>
      </c>
      <c r="H159" s="0">
        <v>5</v>
      </c>
      <c r="I159" s="0" t="s">
        <v>27</v>
      </c>
      <c r="J159" s="0" t="s">
        <v>380</v>
      </c>
      <c r="K159" s="0">
        <v>3070</v>
      </c>
      <c r="L159" s="13">
        <v>3</v>
      </c>
      <c r="M159" s="0">
        <v>87</v>
      </c>
      <c r="N159" s="0">
        <v>6</v>
      </c>
      <c r="O159" s="0" t="s">
        <v>381</v>
      </c>
      <c r="T159" s="0" t="str">
        <f>_xlfn.TEXTJOIN("_",TRUE,C159,"node_eff",D159,M159,N159)</f>
        <v>s1_node_eff_survival_87_6</v>
      </c>
    </row>
    <row r="160" spans="1:20" x14ac:dyDescent="0.45">
      <c r="A160" s="0" t="str">
        <f>_xlfn.TEXTJOIN("_",TRUE,C160,"node",D160,M160,N160)</f>
        <v>s1_node_survival_88_2</v>
      </c>
      <c r="B160" s="0" t="s">
        <v>0</v>
      </c>
      <c r="C160" s="0" t="s">
        <v>26</v>
      </c>
      <c r="D160" s="0" t="s">
        <v>102</v>
      </c>
      <c r="E160" s="0" t="str">
        <f>"s1_node_"&amp;D160&amp;"_name"</f>
        <v>s1_node_survival_name</v>
      </c>
      <c r="F160" s="13" t="str">
        <f>"s1_node_"&amp;D160&amp;"_desc"</f>
        <v>s1_node_survival_desc</v>
      </c>
      <c r="G160" s="0" t="s">
        <v>142</v>
      </c>
      <c r="H160" s="0">
        <v>5</v>
      </c>
      <c r="I160" s="0" t="s">
        <v>27</v>
      </c>
      <c r="J160" s="0" t="s">
        <v>382</v>
      </c>
      <c r="K160" s="0">
        <v>3100</v>
      </c>
      <c r="L160" s="13">
        <v>3</v>
      </c>
      <c r="M160" s="0">
        <v>88</v>
      </c>
      <c r="N160" s="0">
        <v>2</v>
      </c>
      <c r="O160" s="0" t="s">
        <v>383</v>
      </c>
      <c r="T160" s="0" t="str">
        <f>_xlfn.TEXTJOIN("_",TRUE,C160,"node_eff",D160,M160,N160)</f>
        <v>s1_node_eff_survival_88_2</v>
      </c>
    </row>
    <row r="161" spans="1:20" x14ac:dyDescent="0.45">
      <c r="A161" s="0" t="str">
        <f>_xlfn.TEXTJOIN("_",TRUE,C161,"node",D161,M161,N161)</f>
        <v>s1_node_survival_88_6</v>
      </c>
      <c r="B161" s="0" t="s">
        <v>0</v>
      </c>
      <c r="C161" s="0" t="s">
        <v>26</v>
      </c>
      <c r="D161" s="0" t="s">
        <v>102</v>
      </c>
      <c r="E161" s="0" t="str">
        <f>"s1_node_"&amp;D161&amp;"_name"</f>
        <v>s1_node_survival_name</v>
      </c>
      <c r="F161" s="13" t="str">
        <f>"s1_node_"&amp;D161&amp;"_desc"</f>
        <v>s1_node_survival_desc</v>
      </c>
      <c r="G161" s="0" t="s">
        <v>138</v>
      </c>
      <c r="H161" s="0">
        <v>5</v>
      </c>
      <c r="I161" s="0" t="s">
        <v>27</v>
      </c>
      <c r="J161" s="0" t="s">
        <v>382</v>
      </c>
      <c r="K161" s="0">
        <v>3100</v>
      </c>
      <c r="L161" s="13">
        <v>3</v>
      </c>
      <c r="M161" s="0">
        <v>88</v>
      </c>
      <c r="N161" s="0">
        <v>6</v>
      </c>
      <c r="O161" s="0" t="s">
        <v>384</v>
      </c>
      <c r="T161" s="0" t="str">
        <f>_xlfn.TEXTJOIN("_",TRUE,C161,"node_eff",D161,M161,N161)</f>
        <v>s1_node_eff_survival_88_6</v>
      </c>
    </row>
    <row r="162" spans="1:20" x14ac:dyDescent="0.45">
      <c r="A162" s="0" t="str">
        <f>_xlfn.TEXTJOIN("_",TRUE,C162,"node",D162,M162,N162)</f>
        <v>s1_node_survival_89_2</v>
      </c>
      <c r="B162" s="0" t="s">
        <v>0</v>
      </c>
      <c r="C162" s="0" t="s">
        <v>26</v>
      </c>
      <c r="D162" s="0" t="s">
        <v>102</v>
      </c>
      <c r="E162" s="0" t="str">
        <f>"s1_node_"&amp;D162&amp;"_name"</f>
        <v>s1_node_survival_name</v>
      </c>
      <c r="F162" s="13" t="str">
        <f>"s1_node_"&amp;D162&amp;"_desc"</f>
        <v>s1_node_survival_desc</v>
      </c>
      <c r="G162" s="0" t="s">
        <v>138</v>
      </c>
      <c r="H162" s="0">
        <v>5</v>
      </c>
      <c r="I162" s="0" t="s">
        <v>27</v>
      </c>
      <c r="J162" s="0" t="s">
        <v>385</v>
      </c>
      <c r="K162" s="0">
        <v>3140</v>
      </c>
      <c r="L162" s="13">
        <v>3</v>
      </c>
      <c r="M162" s="0">
        <v>89</v>
      </c>
      <c r="N162" s="0">
        <v>2</v>
      </c>
      <c r="O162" s="0" t="s">
        <v>386</v>
      </c>
      <c r="T162" s="0" t="str">
        <f>_xlfn.TEXTJOIN("_",TRUE,C162,"node_eff",D162,M162,N162)</f>
        <v>s1_node_eff_survival_89_2</v>
      </c>
    </row>
    <row r="163" spans="1:20" x14ac:dyDescent="0.45">
      <c r="A163" s="0" t="str">
        <f>_xlfn.TEXTJOIN("_",TRUE,C163,"node",D163,M163,N163)</f>
        <v>s1_node_survival_89_6</v>
      </c>
      <c r="B163" s="0" t="s">
        <v>0</v>
      </c>
      <c r="C163" s="0" t="s">
        <v>26</v>
      </c>
      <c r="D163" s="0" t="s">
        <v>102</v>
      </c>
      <c r="E163" s="0" t="str">
        <f>"s1_node_"&amp;D163&amp;"_name"</f>
        <v>s1_node_survival_name</v>
      </c>
      <c r="F163" s="13" t="str">
        <f>"s1_node_"&amp;D163&amp;"_desc"</f>
        <v>s1_node_survival_desc</v>
      </c>
      <c r="G163" s="0" t="s">
        <v>138</v>
      </c>
      <c r="H163" s="0">
        <v>5</v>
      </c>
      <c r="I163" s="0" t="s">
        <v>27</v>
      </c>
      <c r="J163" s="0" t="s">
        <v>385</v>
      </c>
      <c r="K163" s="0">
        <v>3140</v>
      </c>
      <c r="L163" s="13">
        <v>3</v>
      </c>
      <c r="M163" s="0">
        <v>89</v>
      </c>
      <c r="N163" s="0">
        <v>6</v>
      </c>
      <c r="O163" s="0" t="s">
        <v>387</v>
      </c>
      <c r="T163" s="0" t="str">
        <f>_xlfn.TEXTJOIN("_",TRUE,C163,"node_eff",D163,M163,N163)</f>
        <v>s1_node_eff_survival_89_6</v>
      </c>
    </row>
    <row r="164" spans="1:20" x14ac:dyDescent="0.45">
      <c r="A164" s="0" t="str">
        <f>_xlfn.TEXTJOIN("_",TRUE,C164,"node",D164,M164,N164)</f>
        <v>s1_node_survival_90_2</v>
      </c>
      <c r="B164" s="0" t="s">
        <v>0</v>
      </c>
      <c r="C164" s="0" t="s">
        <v>26</v>
      </c>
      <c r="D164" s="0" t="s">
        <v>102</v>
      </c>
      <c r="E164" s="0" t="str">
        <f>"s1_node_"&amp;D164&amp;"_name"</f>
        <v>s1_node_survival_name</v>
      </c>
      <c r="F164" s="13" t="str">
        <f>"s1_node_"&amp;D164&amp;"_desc"</f>
        <v>s1_node_survival_desc</v>
      </c>
      <c r="G164" s="0" t="s">
        <v>149</v>
      </c>
      <c r="H164" s="0">
        <v>5</v>
      </c>
      <c r="I164" s="0" t="s">
        <v>27</v>
      </c>
      <c r="J164" s="0" t="s">
        <v>388</v>
      </c>
      <c r="K164" s="0">
        <v>3170</v>
      </c>
      <c r="L164" s="13">
        <v>3</v>
      </c>
      <c r="M164" s="0">
        <v>90</v>
      </c>
      <c r="N164" s="0">
        <v>2</v>
      </c>
      <c r="O164" s="0" t="s">
        <v>389</v>
      </c>
      <c r="T164" s="0" t="str">
        <f>_xlfn.TEXTJOIN("_",TRUE,C164,"node_eff",D164,M164,N164)</f>
        <v>s1_node_eff_survival_90_2</v>
      </c>
    </row>
    <row r="165" spans="1:20" x14ac:dyDescent="0.45">
      <c r="A165" s="0" t="str">
        <f>_xlfn.TEXTJOIN("_",TRUE,C165,"node",D165,M165,N165)</f>
        <v>s1_node_survival_90_6</v>
      </c>
      <c r="B165" s="0" t="s">
        <v>0</v>
      </c>
      <c r="C165" s="0" t="s">
        <v>26</v>
      </c>
      <c r="D165" s="0" t="s">
        <v>102</v>
      </c>
      <c r="E165" s="0" t="str">
        <f>"s1_node_"&amp;D165&amp;"_name"</f>
        <v>s1_node_survival_name</v>
      </c>
      <c r="F165" s="13" t="str">
        <f>"s1_node_"&amp;D165&amp;"_desc"</f>
        <v>s1_node_survival_desc</v>
      </c>
      <c r="G165" s="0" t="s">
        <v>149</v>
      </c>
      <c r="H165" s="0">
        <v>5</v>
      </c>
      <c r="I165" s="0" t="s">
        <v>27</v>
      </c>
      <c r="J165" s="0" t="s">
        <v>388</v>
      </c>
      <c r="K165" s="0">
        <v>3170</v>
      </c>
      <c r="L165" s="13">
        <v>3</v>
      </c>
      <c r="M165" s="0">
        <v>90</v>
      </c>
      <c r="N165" s="0">
        <v>6</v>
      </c>
      <c r="O165" s="0" t="s">
        <v>390</v>
      </c>
      <c r="T165" s="0" t="str">
        <f>_xlfn.TEXTJOIN("_",TRUE,C165,"node_eff",D165,M165,N165)</f>
        <v>s1_node_eff_survival_90_6</v>
      </c>
    </row>
    <row r="166" spans="1:20" x14ac:dyDescent="0.45">
      <c r="A166" s="0" t="str">
        <f>_xlfn.TEXTJOIN("_",TRUE,C166,"node",D166,M166,N166)</f>
        <v>s1_node_survival_91_4</v>
      </c>
      <c r="B166" s="0" t="s">
        <v>0</v>
      </c>
      <c r="C166" s="0" t="s">
        <v>26</v>
      </c>
      <c r="D166" s="0" t="s">
        <v>102</v>
      </c>
      <c r="E166" s="0" t="str">
        <f>"s1_node_"&amp;D166&amp;"_name"</f>
        <v>s1_node_survival_name</v>
      </c>
      <c r="F166" s="13" t="str">
        <f>"s1_node_"&amp;D166&amp;"_desc"</f>
        <v>s1_node_survival_desc</v>
      </c>
      <c r="G166" s="0" t="s">
        <v>138</v>
      </c>
      <c r="H166" s="0">
        <v>5</v>
      </c>
      <c r="I166" s="0" t="s">
        <v>27</v>
      </c>
      <c r="J166" s="0" t="s">
        <v>391</v>
      </c>
      <c r="K166" s="0">
        <v>3210</v>
      </c>
      <c r="L166" s="13">
        <v>3</v>
      </c>
      <c r="M166" s="0">
        <v>91</v>
      </c>
      <c r="N166" s="0">
        <v>4</v>
      </c>
      <c r="O166" s="0" t="s">
        <v>392</v>
      </c>
      <c r="P166" s="0" t="s">
        <v>393</v>
      </c>
      <c r="T166" s="0" t="str">
        <f>_xlfn.TEXTJOIN("_",TRUE,C166,"node_eff",D166,M166,N166)</f>
        <v>s1_node_eff_survival_91_4</v>
      </c>
    </row>
    <row r="167" spans="1:20" x14ac:dyDescent="0.45">
      <c r="A167" s="0" t="str">
        <f>_xlfn.TEXTJOIN("_",TRUE,C167,"node",D167,M167,N167)</f>
        <v>s1_node_survival_92_2</v>
      </c>
      <c r="B167" s="0" t="s">
        <v>0</v>
      </c>
      <c r="C167" s="0" t="s">
        <v>26</v>
      </c>
      <c r="D167" s="0" t="s">
        <v>102</v>
      </c>
      <c r="E167" s="0" t="str">
        <f>"s1_node_"&amp;D167&amp;"_name"</f>
        <v>s1_node_survival_name</v>
      </c>
      <c r="F167" s="13" t="str">
        <f>"s1_node_"&amp;D167&amp;"_desc"</f>
        <v>s1_node_survival_desc</v>
      </c>
      <c r="G167" s="0" t="s">
        <v>138</v>
      </c>
      <c r="H167" s="0">
        <v>5</v>
      </c>
      <c r="I167" s="0" t="s">
        <v>27</v>
      </c>
      <c r="J167" s="0" t="s">
        <v>394</v>
      </c>
      <c r="K167" s="0">
        <v>3240</v>
      </c>
      <c r="L167" s="13">
        <v>3</v>
      </c>
      <c r="M167" s="0">
        <v>92</v>
      </c>
      <c r="N167" s="0">
        <v>2</v>
      </c>
      <c r="O167" s="0" t="s">
        <v>395</v>
      </c>
      <c r="T167" s="0" t="str">
        <f>_xlfn.TEXTJOIN("_",TRUE,C167,"node_eff",D167,M167,N167)</f>
        <v>s1_node_eff_survival_92_2</v>
      </c>
    </row>
    <row r="168" spans="1:20" x14ac:dyDescent="0.45">
      <c r="A168" s="0" t="str">
        <f>_xlfn.TEXTJOIN("_",TRUE,C168,"node",D168,M168,N168)</f>
        <v>s1_node_survival_92_6</v>
      </c>
      <c r="B168" s="0" t="s">
        <v>0</v>
      </c>
      <c r="C168" s="0" t="s">
        <v>26</v>
      </c>
      <c r="D168" s="0" t="s">
        <v>102</v>
      </c>
      <c r="E168" s="0" t="str">
        <f>"s1_node_"&amp;D168&amp;"_name"</f>
        <v>s1_node_survival_name</v>
      </c>
      <c r="F168" s="13" t="str">
        <f>"s1_node_"&amp;D168&amp;"_desc"</f>
        <v>s1_node_survival_desc</v>
      </c>
      <c r="G168" s="0" t="s">
        <v>142</v>
      </c>
      <c r="H168" s="0">
        <v>5</v>
      </c>
      <c r="I168" s="0" t="s">
        <v>27</v>
      </c>
      <c r="J168" s="0" t="s">
        <v>394</v>
      </c>
      <c r="K168" s="0">
        <v>3240</v>
      </c>
      <c r="L168" s="13">
        <v>3</v>
      </c>
      <c r="M168" s="0">
        <v>92</v>
      </c>
      <c r="N168" s="0">
        <v>6</v>
      </c>
      <c r="O168" s="0" t="s">
        <v>395</v>
      </c>
      <c r="T168" s="0" t="str">
        <f>_xlfn.TEXTJOIN("_",TRUE,C168,"node_eff",D168,M168,N168)</f>
        <v>s1_node_eff_survival_92_6</v>
      </c>
    </row>
    <row r="169" spans="1:20" x14ac:dyDescent="0.45">
      <c r="A169" s="0" t="str">
        <f>_xlfn.TEXTJOIN("_",TRUE,C169,"node",D169,M169,N169)</f>
        <v>s1_node_survival_93_2</v>
      </c>
      <c r="B169" s="0" t="s">
        <v>0</v>
      </c>
      <c r="C169" s="0" t="s">
        <v>26</v>
      </c>
      <c r="D169" s="0" t="s">
        <v>102</v>
      </c>
      <c r="E169" s="0" t="str">
        <f>"s1_node_"&amp;D169&amp;"_name"</f>
        <v>s1_node_survival_name</v>
      </c>
      <c r="F169" s="13" t="str">
        <f>"s1_node_"&amp;D169&amp;"_desc"</f>
        <v>s1_node_survival_desc</v>
      </c>
      <c r="G169" s="0" t="s">
        <v>142</v>
      </c>
      <c r="H169" s="0">
        <v>5</v>
      </c>
      <c r="I169" s="0" t="s">
        <v>27</v>
      </c>
      <c r="J169" s="0" t="s">
        <v>396</v>
      </c>
      <c r="K169" s="0">
        <v>3280</v>
      </c>
      <c r="L169" s="13">
        <v>3</v>
      </c>
      <c r="M169" s="0">
        <v>93</v>
      </c>
      <c r="N169" s="0">
        <v>2</v>
      </c>
      <c r="O169" s="0" t="s">
        <v>397</v>
      </c>
      <c r="T169" s="0" t="str">
        <f>_xlfn.TEXTJOIN("_",TRUE,C169,"node_eff",D169,M169,N169)</f>
        <v>s1_node_eff_survival_93_2</v>
      </c>
    </row>
    <row r="170" spans="1:20" x14ac:dyDescent="0.45">
      <c r="A170" s="0" t="str">
        <f>_xlfn.TEXTJOIN("_",TRUE,C170,"node",D170,M170,N170)</f>
        <v>s1_node_survival_93_6</v>
      </c>
      <c r="B170" s="0" t="s">
        <v>0</v>
      </c>
      <c r="C170" s="0" t="s">
        <v>26</v>
      </c>
      <c r="D170" s="0" t="s">
        <v>102</v>
      </c>
      <c r="E170" s="0" t="str">
        <f>"s1_node_"&amp;D170&amp;"_name"</f>
        <v>s1_node_survival_name</v>
      </c>
      <c r="F170" s="13" t="str">
        <f>"s1_node_"&amp;D170&amp;"_desc"</f>
        <v>s1_node_survival_desc</v>
      </c>
      <c r="G170" s="0" t="s">
        <v>138</v>
      </c>
      <c r="H170" s="0">
        <v>5</v>
      </c>
      <c r="I170" s="0" t="s">
        <v>27</v>
      </c>
      <c r="J170" s="0" t="s">
        <v>396</v>
      </c>
      <c r="K170" s="0">
        <v>3280</v>
      </c>
      <c r="L170" s="13">
        <v>3</v>
      </c>
      <c r="M170" s="0">
        <v>93</v>
      </c>
      <c r="N170" s="0">
        <v>6</v>
      </c>
      <c r="O170" s="0" t="s">
        <v>398</v>
      </c>
      <c r="T170" s="0" t="str">
        <f>_xlfn.TEXTJOIN("_",TRUE,C170,"node_eff",D170,M170,N170)</f>
        <v>s1_node_eff_survival_93_6</v>
      </c>
    </row>
    <row r="171" spans="1:20" x14ac:dyDescent="0.45">
      <c r="A171" s="0" t="str">
        <f>_xlfn.TEXTJOIN("_",TRUE,C171,"node",D171,M171,N171)</f>
        <v>s1_node_survival_94_2</v>
      </c>
      <c r="B171" s="0" t="s">
        <v>0</v>
      </c>
      <c r="C171" s="0" t="s">
        <v>26</v>
      </c>
      <c r="D171" s="0" t="s">
        <v>102</v>
      </c>
      <c r="E171" s="0" t="str">
        <f>"s1_node_"&amp;D171&amp;"_name"</f>
        <v>s1_node_survival_name</v>
      </c>
      <c r="F171" s="13" t="str">
        <f>"s1_node_"&amp;D171&amp;"_desc"</f>
        <v>s1_node_survival_desc</v>
      </c>
      <c r="G171" s="0" t="s">
        <v>138</v>
      </c>
      <c r="H171" s="0">
        <v>5</v>
      </c>
      <c r="I171" s="0" t="s">
        <v>27</v>
      </c>
      <c r="J171" s="0" t="s">
        <v>399</v>
      </c>
      <c r="K171" s="0">
        <v>3310</v>
      </c>
      <c r="L171" s="13">
        <v>3</v>
      </c>
      <c r="M171" s="0">
        <v>94</v>
      </c>
      <c r="N171" s="0">
        <v>2</v>
      </c>
      <c r="O171" s="0" t="s">
        <v>400</v>
      </c>
      <c r="T171" s="0" t="str">
        <f>_xlfn.TEXTJOIN("_",TRUE,C171,"node_eff",D171,M171,N171)</f>
        <v>s1_node_eff_survival_94_2</v>
      </c>
    </row>
    <row r="172" spans="1:20" x14ac:dyDescent="0.45">
      <c r="A172" s="0" t="str">
        <f>_xlfn.TEXTJOIN("_",TRUE,C172,"node",D172,M172,N172)</f>
        <v>s1_node_survival_94_6</v>
      </c>
      <c r="B172" s="0" t="s">
        <v>0</v>
      </c>
      <c r="C172" s="0" t="s">
        <v>26</v>
      </c>
      <c r="D172" s="0" t="s">
        <v>102</v>
      </c>
      <c r="E172" s="0" t="str">
        <f>"s1_node_"&amp;D172&amp;"_name"</f>
        <v>s1_node_survival_name</v>
      </c>
      <c r="F172" s="13" t="str">
        <f>"s1_node_"&amp;D172&amp;"_desc"</f>
        <v>s1_node_survival_desc</v>
      </c>
      <c r="G172" s="0" t="s">
        <v>138</v>
      </c>
      <c r="H172" s="0">
        <v>5</v>
      </c>
      <c r="I172" s="0" t="s">
        <v>27</v>
      </c>
      <c r="J172" s="0" t="s">
        <v>399</v>
      </c>
      <c r="K172" s="0">
        <v>3310</v>
      </c>
      <c r="L172" s="13">
        <v>3</v>
      </c>
      <c r="M172" s="0">
        <v>94</v>
      </c>
      <c r="N172" s="0">
        <v>6</v>
      </c>
      <c r="O172" s="0" t="s">
        <v>401</v>
      </c>
      <c r="T172" s="0" t="str">
        <f>_xlfn.TEXTJOIN("_",TRUE,C172,"node_eff",D172,M172,N172)</f>
        <v>s1_node_eff_survival_94_6</v>
      </c>
    </row>
    <row r="173" spans="1:20" x14ac:dyDescent="0.45">
      <c r="A173" s="0" t="str">
        <f>_xlfn.TEXTJOIN("_",TRUE,C173,"node",D173,M173,N173)</f>
        <v>s1_node_survival_95_2</v>
      </c>
      <c r="B173" s="0" t="s">
        <v>0</v>
      </c>
      <c r="C173" s="0" t="s">
        <v>26</v>
      </c>
      <c r="D173" s="0" t="s">
        <v>102</v>
      </c>
      <c r="E173" s="0" t="str">
        <f>"s1_node_"&amp;D173&amp;"_name"</f>
        <v>s1_node_survival_name</v>
      </c>
      <c r="F173" s="13" t="str">
        <f>"s1_node_"&amp;D173&amp;"_desc"</f>
        <v>s1_node_survival_desc</v>
      </c>
      <c r="G173" s="0" t="s">
        <v>149</v>
      </c>
      <c r="H173" s="0">
        <v>5</v>
      </c>
      <c r="I173" s="0" t="s">
        <v>27</v>
      </c>
      <c r="J173" s="0" t="s">
        <v>402</v>
      </c>
      <c r="K173" s="0">
        <v>3350</v>
      </c>
      <c r="L173" s="13">
        <v>3</v>
      </c>
      <c r="M173" s="0">
        <v>95</v>
      </c>
      <c r="N173" s="0">
        <v>2</v>
      </c>
      <c r="O173" s="0" t="s">
        <v>403</v>
      </c>
      <c r="T173" s="0" t="str">
        <f>_xlfn.TEXTJOIN("_",TRUE,C173,"node_eff",D173,M173,N173)</f>
        <v>s1_node_eff_survival_95_2</v>
      </c>
    </row>
    <row r="174" spans="1:20" x14ac:dyDescent="0.45">
      <c r="A174" s="0" t="str">
        <f>_xlfn.TEXTJOIN("_",TRUE,C174,"node",D174,M174,N174)</f>
        <v>s1_node_survival_95_6</v>
      </c>
      <c r="B174" s="0" t="s">
        <v>0</v>
      </c>
      <c r="C174" s="0" t="s">
        <v>26</v>
      </c>
      <c r="D174" s="0" t="s">
        <v>102</v>
      </c>
      <c r="E174" s="0" t="str">
        <f>"s1_node_"&amp;D174&amp;"_name"</f>
        <v>s1_node_survival_name</v>
      </c>
      <c r="F174" s="13" t="str">
        <f>"s1_node_"&amp;D174&amp;"_desc"</f>
        <v>s1_node_survival_desc</v>
      </c>
      <c r="G174" s="0" t="s">
        <v>149</v>
      </c>
      <c r="H174" s="0">
        <v>5</v>
      </c>
      <c r="I174" s="0" t="s">
        <v>27</v>
      </c>
      <c r="J174" s="0" t="s">
        <v>402</v>
      </c>
      <c r="K174" s="0">
        <v>3350</v>
      </c>
      <c r="L174" s="13">
        <v>3</v>
      </c>
      <c r="M174" s="0">
        <v>95</v>
      </c>
      <c r="N174" s="0">
        <v>6</v>
      </c>
      <c r="O174" s="0" t="s">
        <v>404</v>
      </c>
      <c r="T174" s="0" t="str">
        <f>_xlfn.TEXTJOIN("_",TRUE,C174,"node_eff",D174,M174,N174)</f>
        <v>s1_node_eff_survival_95_6</v>
      </c>
    </row>
    <row r="175" spans="1:20" x14ac:dyDescent="0.45">
      <c r="A175" s="0" t="str">
        <f>_xlfn.TEXTJOIN("_",TRUE,C175,"node",D175,M175,N175)</f>
        <v>s1_node_survival_96_4</v>
      </c>
      <c r="B175" s="0" t="s">
        <v>0</v>
      </c>
      <c r="C175" s="0" t="s">
        <v>26</v>
      </c>
      <c r="D175" s="0" t="s">
        <v>102</v>
      </c>
      <c r="E175" s="0" t="str">
        <f>"s1_node_"&amp;D175&amp;"_name"</f>
        <v>s1_node_survival_name</v>
      </c>
      <c r="F175" s="13" t="str">
        <f>"s1_node_"&amp;D175&amp;"_desc"</f>
        <v>s1_node_survival_desc</v>
      </c>
      <c r="G175" s="0" t="s">
        <v>138</v>
      </c>
      <c r="H175" s="0">
        <v>5</v>
      </c>
      <c r="I175" s="0" t="s">
        <v>27</v>
      </c>
      <c r="J175" s="0" t="s">
        <v>405</v>
      </c>
      <c r="K175" s="0">
        <v>3380</v>
      </c>
      <c r="L175" s="13">
        <v>3</v>
      </c>
      <c r="M175" s="0">
        <v>96</v>
      </c>
      <c r="N175" s="0">
        <v>4</v>
      </c>
      <c r="O175" s="0" t="s">
        <v>406</v>
      </c>
      <c r="P175" s="0" t="s">
        <v>407</v>
      </c>
      <c r="T175" s="0" t="str">
        <f>_xlfn.TEXTJOIN("_",TRUE,C175,"node_eff",D175,M175,N175)</f>
        <v>s1_node_eff_survival_96_4</v>
      </c>
    </row>
    <row r="176" spans="1:20" x14ac:dyDescent="0.45">
      <c r="A176" s="0" t="str">
        <f>_xlfn.TEXTJOIN("_",TRUE,C176,"node",D176,M176,N176)</f>
        <v>s1_node_survival_97_2</v>
      </c>
      <c r="B176" s="0" t="s">
        <v>0</v>
      </c>
      <c r="C176" s="0" t="s">
        <v>26</v>
      </c>
      <c r="D176" s="0" t="s">
        <v>102</v>
      </c>
      <c r="E176" s="0" t="str">
        <f>"s1_node_"&amp;D176&amp;"_name"</f>
        <v>s1_node_survival_name</v>
      </c>
      <c r="F176" s="13" t="str">
        <f>"s1_node_"&amp;D176&amp;"_desc"</f>
        <v>s1_node_survival_desc</v>
      </c>
      <c r="G176" s="0" t="s">
        <v>138</v>
      </c>
      <c r="H176" s="0">
        <v>5</v>
      </c>
      <c r="I176" s="0" t="s">
        <v>27</v>
      </c>
      <c r="J176" s="0" t="s">
        <v>408</v>
      </c>
      <c r="K176" s="0">
        <v>3420</v>
      </c>
      <c r="L176" s="13">
        <v>3</v>
      </c>
      <c r="M176" s="0">
        <v>97</v>
      </c>
      <c r="N176" s="0">
        <v>2</v>
      </c>
      <c r="O176" s="0" t="s">
        <v>409</v>
      </c>
      <c r="T176" s="0" t="str">
        <f>_xlfn.TEXTJOIN("_",TRUE,C176,"node_eff",D176,M176,N176)</f>
        <v>s1_node_eff_survival_97_2</v>
      </c>
    </row>
    <row r="177" spans="1:20" x14ac:dyDescent="0.45">
      <c r="A177" s="0" t="str">
        <f>_xlfn.TEXTJOIN("_",TRUE,C177,"node",D177,M177,N177)</f>
        <v>s1_node_survival_97_6</v>
      </c>
      <c r="B177" s="0" t="s">
        <v>0</v>
      </c>
      <c r="C177" s="0" t="s">
        <v>26</v>
      </c>
      <c r="D177" s="0" t="s">
        <v>102</v>
      </c>
      <c r="E177" s="0" t="str">
        <f>"s1_node_"&amp;D177&amp;"_name"</f>
        <v>s1_node_survival_name</v>
      </c>
      <c r="F177" s="13" t="str">
        <f>"s1_node_"&amp;D177&amp;"_desc"</f>
        <v>s1_node_survival_desc</v>
      </c>
      <c r="G177" s="0" t="s">
        <v>142</v>
      </c>
      <c r="H177" s="0">
        <v>5</v>
      </c>
      <c r="I177" s="0" t="s">
        <v>27</v>
      </c>
      <c r="J177" s="0" t="s">
        <v>408</v>
      </c>
      <c r="K177" s="0">
        <v>3420</v>
      </c>
      <c r="L177" s="13">
        <v>3</v>
      </c>
      <c r="M177" s="0">
        <v>97</v>
      </c>
      <c r="N177" s="0">
        <v>6</v>
      </c>
      <c r="O177" s="0" t="s">
        <v>409</v>
      </c>
      <c r="T177" s="0" t="str">
        <f>_xlfn.TEXTJOIN("_",TRUE,C177,"node_eff",D177,M177,N177)</f>
        <v>s1_node_eff_survival_97_6</v>
      </c>
    </row>
    <row r="178" spans="1:20" x14ac:dyDescent="0.45">
      <c r="A178" s="0" t="str">
        <f>_xlfn.TEXTJOIN("_",TRUE,C178,"node",D178,M178,N178)</f>
        <v>s1_node_survival_98_2</v>
      </c>
      <c r="B178" s="0" t="s">
        <v>0</v>
      </c>
      <c r="C178" s="0" t="s">
        <v>26</v>
      </c>
      <c r="D178" s="0" t="s">
        <v>102</v>
      </c>
      <c r="E178" s="0" t="str">
        <f>"s1_node_"&amp;D178&amp;"_name"</f>
        <v>s1_node_survival_name</v>
      </c>
      <c r="F178" s="13" t="str">
        <f>"s1_node_"&amp;D178&amp;"_desc"</f>
        <v>s1_node_survival_desc</v>
      </c>
      <c r="G178" s="0" t="s">
        <v>142</v>
      </c>
      <c r="H178" s="0">
        <v>5</v>
      </c>
      <c r="I178" s="0" t="s">
        <v>27</v>
      </c>
      <c r="J178" s="0" t="s">
        <v>410</v>
      </c>
      <c r="K178" s="0">
        <v>3450</v>
      </c>
      <c r="L178" s="13">
        <v>3</v>
      </c>
      <c r="M178" s="0">
        <v>98</v>
      </c>
      <c r="N178" s="0">
        <v>2</v>
      </c>
      <c r="O178" s="0" t="s">
        <v>411</v>
      </c>
      <c r="T178" s="0" t="str">
        <f>_xlfn.TEXTJOIN("_",TRUE,C178,"node_eff",D178,M178,N178)</f>
        <v>s1_node_eff_survival_98_2</v>
      </c>
    </row>
    <row r="179" spans="1:20" x14ac:dyDescent="0.45">
      <c r="A179" s="0" t="str">
        <f>_xlfn.TEXTJOIN("_",TRUE,C179,"node",D179,M179,N179)</f>
        <v>s1_node_survival_98_6</v>
      </c>
      <c r="B179" s="0" t="s">
        <v>0</v>
      </c>
      <c r="C179" s="0" t="s">
        <v>26</v>
      </c>
      <c r="D179" s="0" t="s">
        <v>102</v>
      </c>
      <c r="E179" s="0" t="str">
        <f>"s1_node_"&amp;D179&amp;"_name"</f>
        <v>s1_node_survival_name</v>
      </c>
      <c r="F179" s="13" t="str">
        <f>"s1_node_"&amp;D179&amp;"_desc"</f>
        <v>s1_node_survival_desc</v>
      </c>
      <c r="G179" s="0" t="s">
        <v>138</v>
      </c>
      <c r="H179" s="0">
        <v>5</v>
      </c>
      <c r="I179" s="0" t="s">
        <v>27</v>
      </c>
      <c r="J179" s="0" t="s">
        <v>410</v>
      </c>
      <c r="K179" s="0">
        <v>3450</v>
      </c>
      <c r="L179" s="13">
        <v>3</v>
      </c>
      <c r="M179" s="0">
        <v>98</v>
      </c>
      <c r="N179" s="0">
        <v>6</v>
      </c>
      <c r="O179" s="0" t="s">
        <v>412</v>
      </c>
      <c r="T179" s="0" t="str">
        <f>_xlfn.TEXTJOIN("_",TRUE,C179,"node_eff",D179,M179,N179)</f>
        <v>s1_node_eff_survival_98_6</v>
      </c>
    </row>
    <row r="180" spans="1:20" x14ac:dyDescent="0.45">
      <c r="A180" s="0" t="str">
        <f>_xlfn.TEXTJOIN("_",TRUE,C180,"node",D180,M180,N180)</f>
        <v>s1_node_survival_99_2</v>
      </c>
      <c r="B180" s="0" t="s">
        <v>0</v>
      </c>
      <c r="C180" s="0" t="s">
        <v>26</v>
      </c>
      <c r="D180" s="0" t="s">
        <v>102</v>
      </c>
      <c r="E180" s="0" t="str">
        <f>"s1_node_"&amp;D180&amp;"_name"</f>
        <v>s1_node_survival_name</v>
      </c>
      <c r="F180" s="13" t="str">
        <f>"s1_node_"&amp;D180&amp;"_desc"</f>
        <v>s1_node_survival_desc</v>
      </c>
      <c r="G180" s="0" t="s">
        <v>138</v>
      </c>
      <c r="H180" s="0">
        <v>5</v>
      </c>
      <c r="I180" s="0" t="s">
        <v>27</v>
      </c>
      <c r="J180" s="0" t="s">
        <v>413</v>
      </c>
      <c r="K180" s="0">
        <v>3490</v>
      </c>
      <c r="L180" s="13">
        <v>3</v>
      </c>
      <c r="M180" s="0">
        <v>99</v>
      </c>
      <c r="N180" s="0">
        <v>2</v>
      </c>
      <c r="O180" s="0" t="s">
        <v>414</v>
      </c>
      <c r="T180" s="0" t="str">
        <f>_xlfn.TEXTJOIN("_",TRUE,C180,"node_eff",D180,M180,N180)</f>
        <v>s1_node_eff_survival_99_2</v>
      </c>
    </row>
    <row r="181" spans="1:20" x14ac:dyDescent="0.45">
      <c r="A181" s="0" t="str">
        <f>_xlfn.TEXTJOIN("_",TRUE,C181,"node",D181,M181,N181)</f>
        <v>s1_node_survival_99_6</v>
      </c>
      <c r="B181" s="0" t="s">
        <v>0</v>
      </c>
      <c r="C181" s="0" t="s">
        <v>26</v>
      </c>
      <c r="D181" s="0" t="s">
        <v>102</v>
      </c>
      <c r="E181" s="0" t="str">
        <f>"s1_node_"&amp;D181&amp;"_name"</f>
        <v>s1_node_survival_name</v>
      </c>
      <c r="F181" s="13" t="str">
        <f>"s1_node_"&amp;D181&amp;"_desc"</f>
        <v>s1_node_survival_desc</v>
      </c>
      <c r="G181" s="0" t="s">
        <v>138</v>
      </c>
      <c r="H181" s="0">
        <v>5</v>
      </c>
      <c r="I181" s="0" t="s">
        <v>27</v>
      </c>
      <c r="J181" s="0" t="s">
        <v>413</v>
      </c>
      <c r="K181" s="0">
        <v>3490</v>
      </c>
      <c r="L181" s="13">
        <v>3</v>
      </c>
      <c r="M181" s="0">
        <v>99</v>
      </c>
      <c r="N181" s="0">
        <v>6</v>
      </c>
      <c r="O181" s="0" t="s">
        <v>415</v>
      </c>
      <c r="T181" s="0" t="str">
        <f>_xlfn.TEXTJOIN("_",TRUE,C181,"node_eff",D181,M181,N181)</f>
        <v>s1_node_eff_survival_99_6</v>
      </c>
    </row>
    <row r="182" spans="1:20" x14ac:dyDescent="0.45">
      <c r="A182" s="0" t="str">
        <f>_xlfn.TEXTJOIN("_",TRUE,C182,"node",D182,M182,N182)</f>
        <v>s1_node_survival_100_4</v>
      </c>
      <c r="B182" s="0" t="s">
        <v>0</v>
      </c>
      <c r="C182" s="0" t="s">
        <v>26</v>
      </c>
      <c r="D182" s="0" t="s">
        <v>102</v>
      </c>
      <c r="E182" s="0" t="str">
        <f>"s1_node_"&amp;D182&amp;"_name"</f>
        <v>s1_node_survival_name</v>
      </c>
      <c r="F182" s="13" t="str">
        <f>"s1_node_"&amp;D182&amp;"_desc"</f>
        <v>s1_node_survival_desc</v>
      </c>
      <c r="G182" s="0" t="s">
        <v>149</v>
      </c>
      <c r="H182" s="0">
        <v>5</v>
      </c>
      <c r="I182" s="0" t="s">
        <v>27</v>
      </c>
      <c r="J182" s="0" t="s">
        <v>416</v>
      </c>
      <c r="K182" s="0">
        <v>3520</v>
      </c>
      <c r="L182" s="13">
        <v>3</v>
      </c>
      <c r="M182" s="0">
        <v>100</v>
      </c>
      <c r="N182" s="0">
        <v>4</v>
      </c>
      <c r="O182" s="0" t="s">
        <v>417</v>
      </c>
      <c r="P182" s="0" t="s">
        <v>418</v>
      </c>
      <c r="T182" s="0" t="str">
        <f>_xlfn.TEXTJOIN("_",TRUE,C182,"node_eff",D182,M182,N182)</f>
        <v>s1_node_eff_survival_100_4</v>
      </c>
    </row>
    <row r="183" spans="1:20" x14ac:dyDescent="0.45">
      <c r="A183" s="0" t="str">
        <f>_xlfn.TEXTJOIN("_",TRUE,C183,"node",D183,M183,N183)</f>
        <v>s1_node_economy_1_4</v>
      </c>
      <c r="B183" s="0" t="s">
        <v>0</v>
      </c>
      <c r="C183" s="0" t="s">
        <v>26</v>
      </c>
      <c r="D183" s="0" t="s">
        <v>103</v>
      </c>
      <c r="E183" s="0" t="str">
        <f>"s1_node_"&amp;D183&amp;"_name"</f>
        <v>s1_node_economy_name</v>
      </c>
      <c r="F183" s="13" t="str">
        <f>"s1_node_"&amp;D183&amp;"_desc"</f>
        <v>s1_node_economy_desc</v>
      </c>
      <c r="G183" s="0" t="s">
        <v>419</v>
      </c>
      <c r="H183" s="0">
        <v>1</v>
      </c>
      <c r="I183" s="0" t="s">
        <v>27</v>
      </c>
      <c r="J183" s="0" t="s">
        <v>420</v>
      </c>
      <c r="K183" s="0">
        <v>110</v>
      </c>
      <c r="L183" s="13">
        <v>3</v>
      </c>
      <c r="M183" s="0">
        <v>1</v>
      </c>
      <c r="N183" s="0">
        <v>4</v>
      </c>
      <c r="T183" s="0" t="str">
        <f>_xlfn.TEXTJOIN("_",TRUE,C183,"node_eff",D183,M183,N183)</f>
        <v>s1_node_eff_economy_1_4</v>
      </c>
    </row>
    <row r="184" spans="1:20" x14ac:dyDescent="0.45">
      <c r="A184" s="0" t="str">
        <f>_xlfn.TEXTJOIN("_",TRUE,C184,"node",D184,M184,N184)</f>
        <v>s1_node_economy_2_2</v>
      </c>
      <c r="B184" s="0" t="s">
        <v>0</v>
      </c>
      <c r="C184" s="0" t="s">
        <v>26</v>
      </c>
      <c r="D184" s="0" t="s">
        <v>103</v>
      </c>
      <c r="E184" s="0" t="str">
        <f>"s1_node_"&amp;D184&amp;"_name"</f>
        <v>s1_node_economy_name</v>
      </c>
      <c r="F184" s="13" t="str">
        <f>"s1_node_"&amp;D184&amp;"_desc"</f>
        <v>s1_node_economy_desc</v>
      </c>
      <c r="G184" s="0" t="s">
        <v>419</v>
      </c>
      <c r="H184" s="0">
        <v>1</v>
      </c>
      <c r="I184" s="0" t="s">
        <v>27</v>
      </c>
      <c r="J184" s="0" t="s">
        <v>143</v>
      </c>
      <c r="K184" s="0">
        <v>150</v>
      </c>
      <c r="L184" s="13">
        <v>3</v>
      </c>
      <c r="M184" s="0">
        <v>2</v>
      </c>
      <c r="N184" s="0">
        <v>2</v>
      </c>
      <c r="T184" s="0" t="str">
        <f>_xlfn.TEXTJOIN("_",TRUE,C184,"node_eff",D184,M184,N184)</f>
        <v>s1_node_eff_economy_2_2</v>
      </c>
    </row>
    <row r="185" spans="1:20" x14ac:dyDescent="0.45">
      <c r="A185" s="0" t="str">
        <f>_xlfn.TEXTJOIN("_",TRUE,C185,"node",D185,M185,N185)</f>
        <v>s1_node_economy_2_4</v>
      </c>
      <c r="B185" s="0" t="s">
        <v>0</v>
      </c>
      <c r="C185" s="0" t="s">
        <v>26</v>
      </c>
      <c r="D185" s="0" t="s">
        <v>103</v>
      </c>
      <c r="E185" s="0" t="str">
        <f>"s1_node_"&amp;D185&amp;"_name"</f>
        <v>s1_node_economy_name</v>
      </c>
      <c r="F185" s="13" t="str">
        <f>"s1_node_"&amp;D185&amp;"_desc"</f>
        <v>s1_node_economy_desc</v>
      </c>
      <c r="G185" s="0" t="s">
        <v>419</v>
      </c>
      <c r="H185" s="0">
        <v>1</v>
      </c>
      <c r="I185" s="0" t="s">
        <v>27</v>
      </c>
      <c r="J185" s="0" t="s">
        <v>143</v>
      </c>
      <c r="K185" s="0">
        <v>150</v>
      </c>
      <c r="L185" s="13">
        <v>3</v>
      </c>
      <c r="M185" s="0">
        <v>2</v>
      </c>
      <c r="N185" s="0">
        <v>4</v>
      </c>
      <c r="T185" s="0" t="str">
        <f>_xlfn.TEXTJOIN("_",TRUE,C185,"node_eff",D185,M185,N185)</f>
        <v>s1_node_eff_economy_2_4</v>
      </c>
    </row>
    <row r="186" spans="1:20" x14ac:dyDescent="0.45">
      <c r="A186" s="0" t="str">
        <f>_xlfn.TEXTJOIN("_",TRUE,C186,"node",D186,M186,N186)</f>
        <v>s1_node_economy_2_6</v>
      </c>
      <c r="B186" s="0" t="s">
        <v>0</v>
      </c>
      <c r="C186" s="0" t="s">
        <v>26</v>
      </c>
      <c r="D186" s="0" t="s">
        <v>103</v>
      </c>
      <c r="E186" s="0" t="str">
        <f>"s1_node_"&amp;D186&amp;"_name"</f>
        <v>s1_node_economy_name</v>
      </c>
      <c r="F186" s="13" t="str">
        <f>"s1_node_"&amp;D186&amp;"_desc"</f>
        <v>s1_node_economy_desc</v>
      </c>
      <c r="G186" s="0" t="s">
        <v>419</v>
      </c>
      <c r="H186" s="0">
        <v>1</v>
      </c>
      <c r="I186" s="0" t="s">
        <v>27</v>
      </c>
      <c r="J186" s="0" t="s">
        <v>143</v>
      </c>
      <c r="K186" s="0">
        <v>150</v>
      </c>
      <c r="L186" s="13">
        <v>3</v>
      </c>
      <c r="M186" s="0">
        <v>2</v>
      </c>
      <c r="N186" s="0">
        <v>6</v>
      </c>
      <c r="T186" s="0" t="str">
        <f>_xlfn.TEXTJOIN("_",TRUE,C186,"node_eff",D186,M186,N186)</f>
        <v>s1_node_eff_economy_2_6</v>
      </c>
    </row>
    <row r="187" spans="1:20" x14ac:dyDescent="0.45">
      <c r="A187" s="0" t="str">
        <f>_xlfn.TEXTJOIN("_",TRUE,C187,"node",D187,M187,N187)</f>
        <v>s1_node_economy_3_2</v>
      </c>
      <c r="B187" s="0" t="s">
        <v>0</v>
      </c>
      <c r="C187" s="0" t="s">
        <v>26</v>
      </c>
      <c r="D187" s="0" t="s">
        <v>103</v>
      </c>
      <c r="E187" s="0" t="str">
        <f>"s1_node_"&amp;D187&amp;"_name"</f>
        <v>s1_node_economy_name</v>
      </c>
      <c r="F187" s="13" t="str">
        <f>"s1_node_"&amp;D187&amp;"_desc"</f>
        <v>s1_node_economy_desc</v>
      </c>
      <c r="G187" s="0" t="s">
        <v>419</v>
      </c>
      <c r="H187" s="0">
        <v>1</v>
      </c>
      <c r="I187" s="0" t="s">
        <v>27</v>
      </c>
      <c r="J187" s="0" t="s">
        <v>146</v>
      </c>
      <c r="K187" s="0">
        <v>180</v>
      </c>
      <c r="L187" s="13">
        <v>3</v>
      </c>
      <c r="M187" s="0">
        <v>3</v>
      </c>
      <c r="N187" s="0">
        <v>2</v>
      </c>
      <c r="P187" s="0" t="s">
        <v>421</v>
      </c>
      <c r="T187" s="0" t="str">
        <f>_xlfn.TEXTJOIN("_",TRUE,C187,"node_eff",D187,M187,N187)</f>
        <v>s1_node_eff_economy_3_2</v>
      </c>
    </row>
    <row r="188" spans="1:20" x14ac:dyDescent="0.45">
      <c r="A188" s="0" t="str">
        <f>_xlfn.TEXTJOIN("_",TRUE,C188,"node",D188,M188,N188)</f>
        <v>s1_node_economy_3_6</v>
      </c>
      <c r="B188" s="0" t="s">
        <v>0</v>
      </c>
      <c r="C188" s="0" t="s">
        <v>26</v>
      </c>
      <c r="D188" s="0" t="s">
        <v>103</v>
      </c>
      <c r="E188" s="0" t="str">
        <f>"s1_node_"&amp;D188&amp;"_name"</f>
        <v>s1_node_economy_name</v>
      </c>
      <c r="F188" s="13" t="str">
        <f>"s1_node_"&amp;D188&amp;"_desc"</f>
        <v>s1_node_economy_desc</v>
      </c>
      <c r="G188" s="0" t="s">
        <v>422</v>
      </c>
      <c r="H188" s="0">
        <v>1</v>
      </c>
      <c r="I188" s="0" t="s">
        <v>27</v>
      </c>
      <c r="J188" s="0" t="s">
        <v>146</v>
      </c>
      <c r="K188" s="0">
        <v>180</v>
      </c>
      <c r="L188" s="13">
        <v>3</v>
      </c>
      <c r="M188" s="0">
        <v>3</v>
      </c>
      <c r="N188" s="0">
        <v>6</v>
      </c>
      <c r="P188" s="0" t="s">
        <v>423</v>
      </c>
      <c r="T188" s="0" t="str">
        <f>_xlfn.TEXTJOIN("_",TRUE,C188,"node_eff",D188,M188,N188)</f>
        <v>s1_node_eff_economy_3_6</v>
      </c>
    </row>
    <row r="189" spans="1:20" x14ac:dyDescent="0.45">
      <c r="A189" s="0" t="str">
        <f>_xlfn.TEXTJOIN("_",TRUE,C189,"node",D189,M189,N189)</f>
        <v>s1_node_economy_4_2</v>
      </c>
      <c r="B189" s="0" t="s">
        <v>0</v>
      </c>
      <c r="C189" s="0" t="s">
        <v>26</v>
      </c>
      <c r="D189" s="0" t="s">
        <v>103</v>
      </c>
      <c r="E189" s="0" t="str">
        <f>"s1_node_"&amp;D189&amp;"_name"</f>
        <v>s1_node_economy_name</v>
      </c>
      <c r="F189" s="13" t="str">
        <f>"s1_node_"&amp;D189&amp;"_desc"</f>
        <v>s1_node_economy_desc</v>
      </c>
      <c r="G189" s="0" t="s">
        <v>419</v>
      </c>
      <c r="H189" s="0">
        <v>1</v>
      </c>
      <c r="I189" s="0" t="s">
        <v>27</v>
      </c>
      <c r="J189" s="0" t="s">
        <v>150</v>
      </c>
      <c r="K189" s="0">
        <v>220</v>
      </c>
      <c r="L189" s="13">
        <v>3</v>
      </c>
      <c r="M189" s="0">
        <v>4</v>
      </c>
      <c r="N189" s="0">
        <v>2</v>
      </c>
      <c r="T189" s="0" t="str">
        <f>_xlfn.TEXTJOIN("_",TRUE,C189,"node_eff",D189,M189,N189)</f>
        <v>s1_node_eff_economy_4_2</v>
      </c>
    </row>
    <row r="190" spans="1:20" x14ac:dyDescent="0.45">
      <c r="A190" s="0" t="str">
        <f>_xlfn.TEXTJOIN("_",TRUE,C190,"node",D190,M190,N190)</f>
        <v>s1_node_economy_4_4</v>
      </c>
      <c r="B190" s="0" t="s">
        <v>0</v>
      </c>
      <c r="C190" s="0" t="s">
        <v>26</v>
      </c>
      <c r="D190" s="0" t="s">
        <v>103</v>
      </c>
      <c r="E190" s="0" t="str">
        <f>"s1_node_"&amp;D190&amp;"_name"</f>
        <v>s1_node_economy_name</v>
      </c>
      <c r="F190" s="13" t="str">
        <f>"s1_node_"&amp;D190&amp;"_desc"</f>
        <v>s1_node_economy_desc</v>
      </c>
      <c r="G190" s="0" t="s">
        <v>419</v>
      </c>
      <c r="H190" s="0">
        <v>1</v>
      </c>
      <c r="I190" s="0" t="s">
        <v>27</v>
      </c>
      <c r="J190" s="0" t="s">
        <v>150</v>
      </c>
      <c r="K190" s="0">
        <v>220</v>
      </c>
      <c r="L190" s="13">
        <v>3</v>
      </c>
      <c r="M190" s="0">
        <v>4</v>
      </c>
      <c r="N190" s="0">
        <v>4</v>
      </c>
      <c r="P190" s="0" t="s">
        <v>424</v>
      </c>
      <c r="T190" s="0" t="str">
        <f>_xlfn.TEXTJOIN("_",TRUE,C190,"node_eff",D190,M190,N190)</f>
        <v>s1_node_eff_economy_4_4</v>
      </c>
    </row>
    <row r="191" spans="1:20" x14ac:dyDescent="0.45">
      <c r="A191" s="0" t="str">
        <f>_xlfn.TEXTJOIN("_",TRUE,C191,"node",D191,M191,N191)</f>
        <v>s1_node_economy_4_6</v>
      </c>
      <c r="B191" s="0" t="s">
        <v>0</v>
      </c>
      <c r="C191" s="0" t="s">
        <v>26</v>
      </c>
      <c r="D191" s="0" t="s">
        <v>103</v>
      </c>
      <c r="E191" s="0" t="str">
        <f>"s1_node_"&amp;D191&amp;"_name"</f>
        <v>s1_node_economy_name</v>
      </c>
      <c r="F191" s="13" t="str">
        <f>"s1_node_"&amp;D191&amp;"_desc"</f>
        <v>s1_node_economy_desc</v>
      </c>
      <c r="G191" s="0" t="s">
        <v>419</v>
      </c>
      <c r="H191" s="0">
        <v>1</v>
      </c>
      <c r="I191" s="0" t="s">
        <v>27</v>
      </c>
      <c r="J191" s="0" t="s">
        <v>150</v>
      </c>
      <c r="K191" s="0">
        <v>220</v>
      </c>
      <c r="L191" s="13">
        <v>3</v>
      </c>
      <c r="M191" s="0">
        <v>4</v>
      </c>
      <c r="N191" s="0">
        <v>6</v>
      </c>
      <c r="T191" s="0" t="str">
        <f>_xlfn.TEXTJOIN("_",TRUE,C191,"node_eff",D191,M191,N191)</f>
        <v>s1_node_eff_economy_4_6</v>
      </c>
    </row>
    <row r="192" spans="1:20" x14ac:dyDescent="0.45">
      <c r="A192" s="0" t="str">
        <f>_xlfn.TEXTJOIN("_",TRUE,C192,"node",D192,M192,N192)</f>
        <v>s1_node_economy_5_2</v>
      </c>
      <c r="B192" s="0" t="s">
        <v>0</v>
      </c>
      <c r="C192" s="0" t="s">
        <v>26</v>
      </c>
      <c r="D192" s="0" t="s">
        <v>103</v>
      </c>
      <c r="E192" s="0" t="str">
        <f>"s1_node_"&amp;D192&amp;"_name"</f>
        <v>s1_node_economy_name</v>
      </c>
      <c r="F192" s="13" t="str">
        <f>"s1_node_"&amp;D192&amp;"_desc"</f>
        <v>s1_node_economy_desc</v>
      </c>
      <c r="G192" s="0" t="s">
        <v>419</v>
      </c>
      <c r="H192" s="0">
        <v>1</v>
      </c>
      <c r="I192" s="0" t="s">
        <v>27</v>
      </c>
      <c r="J192" s="0" t="s">
        <v>153</v>
      </c>
      <c r="K192" s="0">
        <v>250</v>
      </c>
      <c r="L192" s="13">
        <v>3</v>
      </c>
      <c r="M192" s="0">
        <v>5</v>
      </c>
      <c r="N192" s="0">
        <v>2</v>
      </c>
      <c r="P192" s="0" t="s">
        <v>425</v>
      </c>
      <c r="T192" s="0" t="str">
        <f>_xlfn.TEXTJOIN("_",TRUE,C192,"node_eff",D192,M192,N192)</f>
        <v>s1_node_eff_economy_5_2</v>
      </c>
    </row>
    <row r="193" spans="1:20" x14ac:dyDescent="0.45">
      <c r="A193" s="0" t="str">
        <f>_xlfn.TEXTJOIN("_",TRUE,C193,"node",D193,M193,N193)</f>
        <v>s1_node_economy_5_6</v>
      </c>
      <c r="B193" s="0" t="s">
        <v>0</v>
      </c>
      <c r="C193" s="0" t="s">
        <v>26</v>
      </c>
      <c r="D193" s="0" t="s">
        <v>103</v>
      </c>
      <c r="E193" s="0" t="str">
        <f>"s1_node_"&amp;D193&amp;"_name"</f>
        <v>s1_node_economy_name</v>
      </c>
      <c r="F193" s="13" t="str">
        <f>"s1_node_"&amp;D193&amp;"_desc"</f>
        <v>s1_node_economy_desc</v>
      </c>
      <c r="G193" s="0" t="s">
        <v>419</v>
      </c>
      <c r="H193" s="0">
        <v>1</v>
      </c>
      <c r="I193" s="0" t="s">
        <v>27</v>
      </c>
      <c r="J193" s="0" t="s">
        <v>153</v>
      </c>
      <c r="K193" s="0">
        <v>250</v>
      </c>
      <c r="L193" s="13">
        <v>3</v>
      </c>
      <c r="M193" s="0">
        <v>5</v>
      </c>
      <c r="N193" s="0">
        <v>6</v>
      </c>
      <c r="P193" s="0" t="s">
        <v>426</v>
      </c>
      <c r="T193" s="0" t="str">
        <f>_xlfn.TEXTJOIN("_",TRUE,C193,"node_eff",D193,M193,N193)</f>
        <v>s1_node_eff_economy_5_6</v>
      </c>
    </row>
    <row r="194" spans="1:20" x14ac:dyDescent="0.45">
      <c r="A194" s="0" t="str">
        <f>_xlfn.TEXTJOIN("_",TRUE,C194,"node",D194,M194,N194)</f>
        <v>s1_node_economy_6_4</v>
      </c>
      <c r="B194" s="0" t="s">
        <v>0</v>
      </c>
      <c r="C194" s="0" t="s">
        <v>26</v>
      </c>
      <c r="D194" s="0" t="s">
        <v>103</v>
      </c>
      <c r="E194" s="0" t="str">
        <f>"s1_node_"&amp;D194&amp;"_name"</f>
        <v>s1_node_economy_name</v>
      </c>
      <c r="F194" s="13" t="str">
        <f>"s1_node_"&amp;D194&amp;"_desc"</f>
        <v>s1_node_economy_desc</v>
      </c>
      <c r="G194" s="0" t="s">
        <v>422</v>
      </c>
      <c r="H194" s="0">
        <v>1</v>
      </c>
      <c r="I194" s="0" t="s">
        <v>27</v>
      </c>
      <c r="J194" s="0" t="s">
        <v>156</v>
      </c>
      <c r="K194" s="0">
        <v>290</v>
      </c>
      <c r="L194" s="13">
        <v>3</v>
      </c>
      <c r="M194" s="0">
        <v>6</v>
      </c>
      <c r="N194" s="0">
        <v>4</v>
      </c>
      <c r="P194" s="0" t="s">
        <v>427</v>
      </c>
      <c r="T194" s="0" t="str">
        <f>_xlfn.TEXTJOIN("_",TRUE,C194,"node_eff",D194,M194,N194)</f>
        <v>s1_node_eff_economy_6_4</v>
      </c>
    </row>
    <row r="195" spans="1:20" x14ac:dyDescent="0.45">
      <c r="A195" s="0" t="str">
        <f>_xlfn.TEXTJOIN("_",TRUE,C195,"node",D195,M195,N195)</f>
        <v>s1_node_economy_7_2</v>
      </c>
      <c r="B195" s="0" t="s">
        <v>0</v>
      </c>
      <c r="C195" s="0" t="s">
        <v>26</v>
      </c>
      <c r="D195" s="0" t="s">
        <v>103</v>
      </c>
      <c r="E195" s="0" t="str">
        <f>"s1_node_"&amp;D195&amp;"_name"</f>
        <v>s1_node_economy_name</v>
      </c>
      <c r="F195" s="13" t="str">
        <f>"s1_node_"&amp;D195&amp;"_desc"</f>
        <v>s1_node_economy_desc</v>
      </c>
      <c r="G195" s="0" t="s">
        <v>419</v>
      </c>
      <c r="H195" s="0">
        <v>1</v>
      </c>
      <c r="I195" s="0" t="s">
        <v>27</v>
      </c>
      <c r="J195" s="0" t="s">
        <v>428</v>
      </c>
      <c r="K195" s="0">
        <v>330</v>
      </c>
      <c r="L195" s="13">
        <v>3</v>
      </c>
      <c r="M195" s="0">
        <v>7</v>
      </c>
      <c r="N195" s="0">
        <v>2</v>
      </c>
      <c r="T195" s="0" t="str">
        <f>_xlfn.TEXTJOIN("_",TRUE,C195,"node_eff",D195,M195,N195)</f>
        <v>s1_node_eff_economy_7_2</v>
      </c>
    </row>
    <row r="196" spans="1:20" x14ac:dyDescent="0.45">
      <c r="A196" s="0" t="str">
        <f>_xlfn.TEXTJOIN("_",TRUE,C196,"node",D196,M196,N196)</f>
        <v>s1_node_economy_7_4</v>
      </c>
      <c r="B196" s="0" t="s">
        <v>0</v>
      </c>
      <c r="C196" s="0" t="s">
        <v>26</v>
      </c>
      <c r="D196" s="0" t="s">
        <v>103</v>
      </c>
      <c r="E196" s="0" t="str">
        <f>"s1_node_"&amp;D196&amp;"_name"</f>
        <v>s1_node_economy_name</v>
      </c>
      <c r="F196" s="13" t="str">
        <f>"s1_node_"&amp;D196&amp;"_desc"</f>
        <v>s1_node_economy_desc</v>
      </c>
      <c r="G196" s="0" t="s">
        <v>419</v>
      </c>
      <c r="H196" s="0">
        <v>1</v>
      </c>
      <c r="I196" s="0" t="s">
        <v>27</v>
      </c>
      <c r="J196" s="0" t="s">
        <v>428</v>
      </c>
      <c r="K196" s="0">
        <v>330</v>
      </c>
      <c r="L196" s="13">
        <v>3</v>
      </c>
      <c r="M196" s="0">
        <v>7</v>
      </c>
      <c r="N196" s="0">
        <v>4</v>
      </c>
      <c r="T196" s="0" t="str">
        <f>_xlfn.TEXTJOIN("_",TRUE,C196,"node_eff",D196,M196,N196)</f>
        <v>s1_node_eff_economy_7_4</v>
      </c>
    </row>
    <row r="197" spans="1:20" x14ac:dyDescent="0.45">
      <c r="A197" s="0" t="str">
        <f>_xlfn.TEXTJOIN("_",TRUE,C197,"node",D197,M197,N197)</f>
        <v>s1_node_economy_7_6</v>
      </c>
      <c r="B197" s="0" t="s">
        <v>0</v>
      </c>
      <c r="C197" s="0" t="s">
        <v>26</v>
      </c>
      <c r="D197" s="0" t="s">
        <v>103</v>
      </c>
      <c r="E197" s="0" t="str">
        <f>"s1_node_"&amp;D197&amp;"_name"</f>
        <v>s1_node_economy_name</v>
      </c>
      <c r="F197" s="13" t="str">
        <f>"s1_node_"&amp;D197&amp;"_desc"</f>
        <v>s1_node_economy_desc</v>
      </c>
      <c r="G197" s="0" t="s">
        <v>419</v>
      </c>
      <c r="H197" s="0">
        <v>1</v>
      </c>
      <c r="I197" s="0" t="s">
        <v>27</v>
      </c>
      <c r="J197" s="0" t="s">
        <v>428</v>
      </c>
      <c r="K197" s="0">
        <v>330</v>
      </c>
      <c r="L197" s="13">
        <v>3</v>
      </c>
      <c r="M197" s="0">
        <v>7</v>
      </c>
      <c r="N197" s="0">
        <v>6</v>
      </c>
      <c r="T197" s="0" t="str">
        <f>_xlfn.TEXTJOIN("_",TRUE,C197,"node_eff",D197,M197,N197)</f>
        <v>s1_node_eff_economy_7_6</v>
      </c>
    </row>
    <row r="198" spans="1:20" x14ac:dyDescent="0.45">
      <c r="A198" s="0" t="str">
        <f>_xlfn.TEXTJOIN("_",TRUE,C198,"node",D198,M198,N198)</f>
        <v>s1_node_economy_8_2</v>
      </c>
      <c r="B198" s="0" t="s">
        <v>0</v>
      </c>
      <c r="C198" s="0" t="s">
        <v>26</v>
      </c>
      <c r="D198" s="0" t="s">
        <v>103</v>
      </c>
      <c r="E198" s="0" t="str">
        <f>"s1_node_"&amp;D198&amp;"_name"</f>
        <v>s1_node_economy_name</v>
      </c>
      <c r="F198" s="13" t="str">
        <f>"s1_node_"&amp;D198&amp;"_desc"</f>
        <v>s1_node_economy_desc</v>
      </c>
      <c r="G198" s="0" t="s">
        <v>419</v>
      </c>
      <c r="H198" s="0">
        <v>1</v>
      </c>
      <c r="I198" s="0" t="s">
        <v>27</v>
      </c>
      <c r="J198" s="0" t="s">
        <v>161</v>
      </c>
      <c r="K198" s="0">
        <v>360</v>
      </c>
      <c r="L198" s="13">
        <v>3</v>
      </c>
      <c r="M198" s="0">
        <v>8</v>
      </c>
      <c r="N198" s="0">
        <v>2</v>
      </c>
      <c r="P198" s="0" t="s">
        <v>429</v>
      </c>
      <c r="T198" s="0" t="str">
        <f>_xlfn.TEXTJOIN("_",TRUE,C198,"node_eff",D198,M198,N198)</f>
        <v>s1_node_eff_economy_8_2</v>
      </c>
    </row>
    <row r="199" spans="1:20" x14ac:dyDescent="0.45">
      <c r="A199" s="0" t="str">
        <f>_xlfn.TEXTJOIN("_",TRUE,C199,"node",D199,M199,N199)</f>
        <v>s1_node_economy_8_6</v>
      </c>
      <c r="B199" s="0" t="s">
        <v>0</v>
      </c>
      <c r="C199" s="0" t="s">
        <v>26</v>
      </c>
      <c r="D199" s="0" t="s">
        <v>103</v>
      </c>
      <c r="E199" s="0" t="str">
        <f>"s1_node_"&amp;D199&amp;"_name"</f>
        <v>s1_node_economy_name</v>
      </c>
      <c r="F199" s="13" t="str">
        <f>"s1_node_"&amp;D199&amp;"_desc"</f>
        <v>s1_node_economy_desc</v>
      </c>
      <c r="G199" s="0" t="s">
        <v>419</v>
      </c>
      <c r="H199" s="0">
        <v>1</v>
      </c>
      <c r="I199" s="0" t="s">
        <v>27</v>
      </c>
      <c r="J199" s="0" t="s">
        <v>161</v>
      </c>
      <c r="K199" s="0">
        <v>360</v>
      </c>
      <c r="L199" s="13">
        <v>3</v>
      </c>
      <c r="M199" s="0">
        <v>8</v>
      </c>
      <c r="N199" s="0">
        <v>6</v>
      </c>
      <c r="P199" s="0" t="s">
        <v>430</v>
      </c>
      <c r="T199" s="0" t="str">
        <f>_xlfn.TEXTJOIN("_",TRUE,C199,"node_eff",D199,M199,N199)</f>
        <v>s1_node_eff_economy_8_6</v>
      </c>
    </row>
    <row r="200" spans="1:20" x14ac:dyDescent="0.45">
      <c r="A200" s="0" t="str">
        <f>_xlfn.TEXTJOIN("_",TRUE,C200,"node",D200,M200,N200)</f>
        <v>s1_node_economy_9_2</v>
      </c>
      <c r="B200" s="0" t="s">
        <v>0</v>
      </c>
      <c r="C200" s="0" t="s">
        <v>26</v>
      </c>
      <c r="D200" s="0" t="s">
        <v>103</v>
      </c>
      <c r="E200" s="0" t="str">
        <f>"s1_node_"&amp;D200&amp;"_name"</f>
        <v>s1_node_economy_name</v>
      </c>
      <c r="F200" s="13" t="str">
        <f>"s1_node_"&amp;D200&amp;"_desc"</f>
        <v>s1_node_economy_desc</v>
      </c>
      <c r="G200" s="0" t="s">
        <v>422</v>
      </c>
      <c r="H200" s="0">
        <v>1</v>
      </c>
      <c r="I200" s="0" t="s">
        <v>27</v>
      </c>
      <c r="J200" s="0" t="s">
        <v>431</v>
      </c>
      <c r="K200" s="0">
        <v>400</v>
      </c>
      <c r="L200" s="13">
        <v>3</v>
      </c>
      <c r="M200" s="0">
        <v>9</v>
      </c>
      <c r="N200" s="0">
        <v>2</v>
      </c>
      <c r="T200" s="0" t="str">
        <f>_xlfn.TEXTJOIN("_",TRUE,C200,"node_eff",D200,M200,N200)</f>
        <v>s1_node_eff_economy_9_2</v>
      </c>
    </row>
    <row r="201" spans="1:20" x14ac:dyDescent="0.45">
      <c r="A201" s="0" t="str">
        <f>_xlfn.TEXTJOIN("_",TRUE,C201,"node",D201,M201,N201)</f>
        <v>s1_node_economy_9_4</v>
      </c>
      <c r="B201" s="0" t="s">
        <v>0</v>
      </c>
      <c r="C201" s="0" t="s">
        <v>26</v>
      </c>
      <c r="D201" s="0" t="s">
        <v>103</v>
      </c>
      <c r="E201" s="0" t="str">
        <f>"s1_node_"&amp;D201&amp;"_name"</f>
        <v>s1_node_economy_name</v>
      </c>
      <c r="F201" s="13" t="str">
        <f>"s1_node_"&amp;D201&amp;"_desc"</f>
        <v>s1_node_economy_desc</v>
      </c>
      <c r="G201" s="0" t="s">
        <v>419</v>
      </c>
      <c r="H201" s="0">
        <v>1</v>
      </c>
      <c r="I201" s="0" t="s">
        <v>27</v>
      </c>
      <c r="J201" s="0" t="s">
        <v>431</v>
      </c>
      <c r="K201" s="0">
        <v>400</v>
      </c>
      <c r="L201" s="13">
        <v>3</v>
      </c>
      <c r="M201" s="0">
        <v>9</v>
      </c>
      <c r="N201" s="0">
        <v>4</v>
      </c>
      <c r="P201" s="0" t="s">
        <v>432</v>
      </c>
      <c r="T201" s="0" t="str">
        <f>_xlfn.TEXTJOIN("_",TRUE,C201,"node_eff",D201,M201,N201)</f>
        <v>s1_node_eff_economy_9_4</v>
      </c>
    </row>
    <row r="202" spans="1:20" x14ac:dyDescent="0.45">
      <c r="A202" s="0" t="str">
        <f>_xlfn.TEXTJOIN("_",TRUE,C202,"node",D202,M202,N202)</f>
        <v>s1_node_economy_9_6</v>
      </c>
      <c r="B202" s="0" t="s">
        <v>0</v>
      </c>
      <c r="C202" s="0" t="s">
        <v>26</v>
      </c>
      <c r="D202" s="0" t="s">
        <v>103</v>
      </c>
      <c r="E202" s="0" t="str">
        <f>"s1_node_"&amp;D202&amp;"_name"</f>
        <v>s1_node_economy_name</v>
      </c>
      <c r="F202" s="13" t="str">
        <f>"s1_node_"&amp;D202&amp;"_desc"</f>
        <v>s1_node_economy_desc</v>
      </c>
      <c r="G202" s="0" t="s">
        <v>419</v>
      </c>
      <c r="H202" s="0">
        <v>1</v>
      </c>
      <c r="I202" s="0" t="s">
        <v>27</v>
      </c>
      <c r="J202" s="0" t="s">
        <v>431</v>
      </c>
      <c r="K202" s="0">
        <v>400</v>
      </c>
      <c r="L202" s="13">
        <v>3</v>
      </c>
      <c r="M202" s="0">
        <v>9</v>
      </c>
      <c r="N202" s="0">
        <v>6</v>
      </c>
      <c r="T202" s="0" t="str">
        <f>_xlfn.TEXTJOIN("_",TRUE,C202,"node_eff",D202,M202,N202)</f>
        <v>s1_node_eff_economy_9_6</v>
      </c>
    </row>
    <row r="203" spans="1:20" x14ac:dyDescent="0.45">
      <c r="A203" s="0" t="str">
        <f>_xlfn.TEXTJOIN("_",TRUE,C203,"node",D203,M203,N203)</f>
        <v>s1_node_economy_10_2</v>
      </c>
      <c r="B203" s="0" t="s">
        <v>0</v>
      </c>
      <c r="C203" s="0" t="s">
        <v>26</v>
      </c>
      <c r="D203" s="0" t="s">
        <v>103</v>
      </c>
      <c r="E203" s="0" t="str">
        <f>"s1_node_"&amp;D203&amp;"_name"</f>
        <v>s1_node_economy_name</v>
      </c>
      <c r="F203" s="13" t="str">
        <f>"s1_node_"&amp;D203&amp;"_desc"</f>
        <v>s1_node_economy_desc</v>
      </c>
      <c r="G203" s="0" t="s">
        <v>419</v>
      </c>
      <c r="H203" s="0">
        <v>1</v>
      </c>
      <c r="I203" s="0" t="s">
        <v>27</v>
      </c>
      <c r="J203" s="0" t="s">
        <v>167</v>
      </c>
      <c r="K203" s="0">
        <v>430</v>
      </c>
      <c r="L203" s="13">
        <v>3</v>
      </c>
      <c r="M203" s="0">
        <v>10</v>
      </c>
      <c r="N203" s="0">
        <v>2</v>
      </c>
      <c r="P203" s="0" t="s">
        <v>433</v>
      </c>
      <c r="T203" s="0" t="str">
        <f>_xlfn.TEXTJOIN("_",TRUE,C203,"node_eff",D203,M203,N203)</f>
        <v>s1_node_eff_economy_10_2</v>
      </c>
    </row>
    <row r="204" spans="1:20" x14ac:dyDescent="0.45">
      <c r="A204" s="0" t="str">
        <f>_xlfn.TEXTJOIN("_",TRUE,C204,"node",D204,M204,N204)</f>
        <v>s1_node_economy_10_6</v>
      </c>
      <c r="B204" s="0" t="s">
        <v>0</v>
      </c>
      <c r="C204" s="0" t="s">
        <v>26</v>
      </c>
      <c r="D204" s="0" t="s">
        <v>103</v>
      </c>
      <c r="E204" s="0" t="str">
        <f>"s1_node_"&amp;D204&amp;"_name"</f>
        <v>s1_node_economy_name</v>
      </c>
      <c r="F204" s="13" t="str">
        <f>"s1_node_"&amp;D204&amp;"_desc"</f>
        <v>s1_node_economy_desc</v>
      </c>
      <c r="G204" s="0" t="s">
        <v>419</v>
      </c>
      <c r="H204" s="0">
        <v>1</v>
      </c>
      <c r="I204" s="0" t="s">
        <v>27</v>
      </c>
      <c r="J204" s="0" t="s">
        <v>167</v>
      </c>
      <c r="K204" s="0">
        <v>430</v>
      </c>
      <c r="L204" s="13">
        <v>3</v>
      </c>
      <c r="M204" s="0">
        <v>10</v>
      </c>
      <c r="N204" s="0">
        <v>6</v>
      </c>
      <c r="P204" s="0" t="s">
        <v>434</v>
      </c>
      <c r="T204" s="0" t="str">
        <f>_xlfn.TEXTJOIN("_",TRUE,C204,"node_eff",D204,M204,N204)</f>
        <v>s1_node_eff_economy_10_6</v>
      </c>
    </row>
    <row r="205" spans="1:20" x14ac:dyDescent="0.45">
      <c r="A205" s="0" t="str">
        <f>_xlfn.TEXTJOIN("_",TRUE,C205,"node",D205,M205,N205)</f>
        <v>s1_node_economy_11_4</v>
      </c>
      <c r="B205" s="0" t="s">
        <v>0</v>
      </c>
      <c r="C205" s="0" t="s">
        <v>26</v>
      </c>
      <c r="D205" s="0" t="s">
        <v>103</v>
      </c>
      <c r="E205" s="0" t="str">
        <f>"s1_node_"&amp;D205&amp;"_name"</f>
        <v>s1_node_economy_name</v>
      </c>
      <c r="F205" s="13" t="str">
        <f>"s1_node_"&amp;D205&amp;"_desc"</f>
        <v>s1_node_economy_desc</v>
      </c>
      <c r="G205" s="0" t="s">
        <v>419</v>
      </c>
      <c r="H205" s="0">
        <v>1</v>
      </c>
      <c r="I205" s="0" t="s">
        <v>27</v>
      </c>
      <c r="J205" s="0" t="s">
        <v>435</v>
      </c>
      <c r="K205" s="0">
        <v>470</v>
      </c>
      <c r="L205" s="13">
        <v>3</v>
      </c>
      <c r="M205" s="0">
        <v>11</v>
      </c>
      <c r="N205" s="0">
        <v>4</v>
      </c>
      <c r="P205" s="0" t="s">
        <v>436</v>
      </c>
      <c r="T205" s="0" t="str">
        <f>_xlfn.TEXTJOIN("_",TRUE,C205,"node_eff",D205,M205,N205)</f>
        <v>s1_node_eff_economy_11_4</v>
      </c>
    </row>
    <row r="206" spans="1:20" x14ac:dyDescent="0.45">
      <c r="A206" s="0" t="str">
        <f>_xlfn.TEXTJOIN("_",TRUE,C206,"node",D206,M206,N206)</f>
        <v>s1_node_economy_12_2</v>
      </c>
      <c r="B206" s="0" t="s">
        <v>0</v>
      </c>
      <c r="C206" s="0" t="s">
        <v>26</v>
      </c>
      <c r="D206" s="0" t="s">
        <v>103</v>
      </c>
      <c r="E206" s="0" t="str">
        <f>"s1_node_"&amp;D206&amp;"_name"</f>
        <v>s1_node_economy_name</v>
      </c>
      <c r="F206" s="13" t="str">
        <f>"s1_node_"&amp;D206&amp;"_desc"</f>
        <v>s1_node_economy_desc</v>
      </c>
      <c r="G206" s="0" t="s">
        <v>422</v>
      </c>
      <c r="H206" s="0">
        <v>1</v>
      </c>
      <c r="I206" s="0" t="s">
        <v>27</v>
      </c>
      <c r="J206" s="0" t="s">
        <v>172</v>
      </c>
      <c r="K206" s="0">
        <v>500</v>
      </c>
      <c r="L206" s="13">
        <v>3</v>
      </c>
      <c r="M206" s="0">
        <v>12</v>
      </c>
      <c r="N206" s="0">
        <v>2</v>
      </c>
      <c r="T206" s="0" t="str">
        <f>_xlfn.TEXTJOIN("_",TRUE,C206,"node_eff",D206,M206,N206)</f>
        <v>s1_node_eff_economy_12_2</v>
      </c>
    </row>
    <row r="207" spans="1:20" x14ac:dyDescent="0.45">
      <c r="A207" s="0" t="str">
        <f>_xlfn.TEXTJOIN("_",TRUE,C207,"node",D207,M207,N207)</f>
        <v>s1_node_economy_12_4</v>
      </c>
      <c r="B207" s="0" t="s">
        <v>0</v>
      </c>
      <c r="C207" s="0" t="s">
        <v>26</v>
      </c>
      <c r="D207" s="0" t="s">
        <v>103</v>
      </c>
      <c r="E207" s="0" t="str">
        <f>"s1_node_"&amp;D207&amp;"_name"</f>
        <v>s1_node_economy_name</v>
      </c>
      <c r="F207" s="13" t="str">
        <f>"s1_node_"&amp;D207&amp;"_desc"</f>
        <v>s1_node_economy_desc</v>
      </c>
      <c r="G207" s="0" t="s">
        <v>419</v>
      </c>
      <c r="H207" s="0">
        <v>1</v>
      </c>
      <c r="I207" s="0" t="s">
        <v>27</v>
      </c>
      <c r="J207" s="0" t="s">
        <v>172</v>
      </c>
      <c r="K207" s="0">
        <v>500</v>
      </c>
      <c r="L207" s="13">
        <v>3</v>
      </c>
      <c r="M207" s="0">
        <v>12</v>
      </c>
      <c r="N207" s="0">
        <v>4</v>
      </c>
      <c r="T207" s="0" t="str">
        <f>_xlfn.TEXTJOIN("_",TRUE,C207,"node_eff",D207,M207,N207)</f>
        <v>s1_node_eff_economy_12_4</v>
      </c>
    </row>
    <row r="208" spans="1:20" x14ac:dyDescent="0.45">
      <c r="A208" s="0" t="str">
        <f>_xlfn.TEXTJOIN("_",TRUE,C208,"node",D208,M208,N208)</f>
        <v>s1_node_economy_12_6</v>
      </c>
      <c r="B208" s="0" t="s">
        <v>0</v>
      </c>
      <c r="C208" s="0" t="s">
        <v>26</v>
      </c>
      <c r="D208" s="0" t="s">
        <v>103</v>
      </c>
      <c r="E208" s="0" t="str">
        <f>"s1_node_"&amp;D208&amp;"_name"</f>
        <v>s1_node_economy_name</v>
      </c>
      <c r="F208" s="13" t="str">
        <f>"s1_node_"&amp;D208&amp;"_desc"</f>
        <v>s1_node_economy_desc</v>
      </c>
      <c r="G208" s="0" t="s">
        <v>419</v>
      </c>
      <c r="H208" s="0">
        <v>1</v>
      </c>
      <c r="I208" s="0" t="s">
        <v>27</v>
      </c>
      <c r="J208" s="0" t="s">
        <v>172</v>
      </c>
      <c r="K208" s="0">
        <v>500</v>
      </c>
      <c r="L208" s="13">
        <v>3</v>
      </c>
      <c r="M208" s="0">
        <v>12</v>
      </c>
      <c r="N208" s="0">
        <v>6</v>
      </c>
      <c r="T208" s="0" t="str">
        <f>_xlfn.TEXTJOIN("_",TRUE,C208,"node_eff",D208,M208,N208)</f>
        <v>s1_node_eff_economy_12_6</v>
      </c>
    </row>
    <row r="209" spans="1:20" x14ac:dyDescent="0.45">
      <c r="A209" s="0" t="str">
        <f>_xlfn.TEXTJOIN("_",TRUE,C209,"node",D209,M209,N209)</f>
        <v>s1_node_economy_13_2</v>
      </c>
      <c r="B209" s="0" t="s">
        <v>0</v>
      </c>
      <c r="C209" s="0" t="s">
        <v>26</v>
      </c>
      <c r="D209" s="0" t="s">
        <v>103</v>
      </c>
      <c r="E209" s="0" t="str">
        <f>"s1_node_"&amp;D209&amp;"_name"</f>
        <v>s1_node_economy_name</v>
      </c>
      <c r="F209" s="13" t="str">
        <f>"s1_node_"&amp;D209&amp;"_desc"</f>
        <v>s1_node_economy_desc</v>
      </c>
      <c r="G209" s="0" t="s">
        <v>419</v>
      </c>
      <c r="H209" s="0">
        <v>1</v>
      </c>
      <c r="I209" s="0" t="s">
        <v>27</v>
      </c>
      <c r="J209" s="0" t="s">
        <v>437</v>
      </c>
      <c r="K209" s="0">
        <v>540</v>
      </c>
      <c r="L209" s="13">
        <v>3</v>
      </c>
      <c r="M209" s="0">
        <v>13</v>
      </c>
      <c r="N209" s="0">
        <v>2</v>
      </c>
      <c r="P209" s="0" t="s">
        <v>438</v>
      </c>
      <c r="T209" s="0" t="str">
        <f>_xlfn.TEXTJOIN("_",TRUE,C209,"node_eff",D209,M209,N209)</f>
        <v>s1_node_eff_economy_13_2</v>
      </c>
    </row>
    <row r="210" spans="1:20" x14ac:dyDescent="0.45">
      <c r="A210" s="0" t="str">
        <f>_xlfn.TEXTJOIN("_",TRUE,C210,"node",D210,M210,N210)</f>
        <v>s1_node_economy_13_6</v>
      </c>
      <c r="B210" s="0" t="s">
        <v>0</v>
      </c>
      <c r="C210" s="0" t="s">
        <v>26</v>
      </c>
      <c r="D210" s="0" t="s">
        <v>103</v>
      </c>
      <c r="E210" s="0" t="str">
        <f>"s1_node_"&amp;D210&amp;"_name"</f>
        <v>s1_node_economy_name</v>
      </c>
      <c r="F210" s="13" t="str">
        <f>"s1_node_"&amp;D210&amp;"_desc"</f>
        <v>s1_node_economy_desc</v>
      </c>
      <c r="G210" s="0" t="s">
        <v>419</v>
      </c>
      <c r="H210" s="0">
        <v>1</v>
      </c>
      <c r="I210" s="0" t="s">
        <v>27</v>
      </c>
      <c r="J210" s="0" t="s">
        <v>437</v>
      </c>
      <c r="K210" s="0">
        <v>540</v>
      </c>
      <c r="L210" s="13">
        <v>3</v>
      </c>
      <c r="M210" s="0">
        <v>13</v>
      </c>
      <c r="N210" s="0">
        <v>6</v>
      </c>
      <c r="P210" s="0" t="s">
        <v>439</v>
      </c>
      <c r="T210" s="0" t="str">
        <f>_xlfn.TEXTJOIN("_",TRUE,C210,"node_eff",D210,M210,N210)</f>
        <v>s1_node_eff_economy_13_6</v>
      </c>
    </row>
    <row r="211" spans="1:20" x14ac:dyDescent="0.45">
      <c r="A211" s="0" t="str">
        <f>_xlfn.TEXTJOIN("_",TRUE,C211,"node",D211,M211,N211)</f>
        <v>s1_node_economy_14_2</v>
      </c>
      <c r="B211" s="0" t="s">
        <v>0</v>
      </c>
      <c r="C211" s="0" t="s">
        <v>26</v>
      </c>
      <c r="D211" s="0" t="s">
        <v>103</v>
      </c>
      <c r="E211" s="0" t="str">
        <f>"s1_node_"&amp;D211&amp;"_name"</f>
        <v>s1_node_economy_name</v>
      </c>
      <c r="F211" s="13" t="str">
        <f>"s1_node_"&amp;D211&amp;"_desc"</f>
        <v>s1_node_economy_desc</v>
      </c>
      <c r="G211" s="0" t="s">
        <v>419</v>
      </c>
      <c r="H211" s="0">
        <v>1</v>
      </c>
      <c r="I211" s="0" t="s">
        <v>27</v>
      </c>
      <c r="J211" s="0" t="s">
        <v>440</v>
      </c>
      <c r="K211" s="0">
        <v>580</v>
      </c>
      <c r="L211" s="13">
        <v>3</v>
      </c>
      <c r="M211" s="0">
        <v>14</v>
      </c>
      <c r="N211" s="0">
        <v>2</v>
      </c>
      <c r="T211" s="0" t="str">
        <f>_xlfn.TEXTJOIN("_",TRUE,C211,"node_eff",D211,M211,N211)</f>
        <v>s1_node_eff_economy_14_2</v>
      </c>
    </row>
    <row r="212" spans="1:20" x14ac:dyDescent="0.45">
      <c r="A212" s="0" t="str">
        <f>_xlfn.TEXTJOIN("_",TRUE,C212,"node",D212,M212,N212)</f>
        <v>s1_node_economy_14_4</v>
      </c>
      <c r="B212" s="0" t="s">
        <v>0</v>
      </c>
      <c r="C212" s="0" t="s">
        <v>26</v>
      </c>
      <c r="D212" s="0" t="s">
        <v>103</v>
      </c>
      <c r="E212" s="0" t="str">
        <f>"s1_node_"&amp;D212&amp;"_name"</f>
        <v>s1_node_economy_name</v>
      </c>
      <c r="F212" s="13" t="str">
        <f>"s1_node_"&amp;D212&amp;"_desc"</f>
        <v>s1_node_economy_desc</v>
      </c>
      <c r="G212" s="0" t="s">
        <v>422</v>
      </c>
      <c r="H212" s="0">
        <v>1</v>
      </c>
      <c r="I212" s="0" t="s">
        <v>27</v>
      </c>
      <c r="J212" s="0" t="s">
        <v>440</v>
      </c>
      <c r="K212" s="0">
        <v>580</v>
      </c>
      <c r="L212" s="13">
        <v>3</v>
      </c>
      <c r="M212" s="0">
        <v>14</v>
      </c>
      <c r="N212" s="0">
        <v>4</v>
      </c>
      <c r="P212" s="0" t="s">
        <v>441</v>
      </c>
      <c r="T212" s="0" t="str">
        <f>_xlfn.TEXTJOIN("_",TRUE,C212,"node_eff",D212,M212,N212)</f>
        <v>s1_node_eff_economy_14_4</v>
      </c>
    </row>
    <row r="213" spans="1:20" x14ac:dyDescent="0.45">
      <c r="A213" s="0" t="str">
        <f>_xlfn.TEXTJOIN("_",TRUE,C213,"node",D213,M213,N213)</f>
        <v>s1_node_economy_14_6</v>
      </c>
      <c r="B213" s="0" t="s">
        <v>0</v>
      </c>
      <c r="C213" s="0" t="s">
        <v>26</v>
      </c>
      <c r="D213" s="0" t="s">
        <v>103</v>
      </c>
      <c r="E213" s="0" t="str">
        <f>"s1_node_"&amp;D213&amp;"_name"</f>
        <v>s1_node_economy_name</v>
      </c>
      <c r="F213" s="13" t="str">
        <f>"s1_node_"&amp;D213&amp;"_desc"</f>
        <v>s1_node_economy_desc</v>
      </c>
      <c r="G213" s="0" t="s">
        <v>419</v>
      </c>
      <c r="H213" s="0">
        <v>1</v>
      </c>
      <c r="I213" s="0" t="s">
        <v>27</v>
      </c>
      <c r="J213" s="0" t="s">
        <v>440</v>
      </c>
      <c r="K213" s="0">
        <v>580</v>
      </c>
      <c r="L213" s="13">
        <v>3</v>
      </c>
      <c r="M213" s="0">
        <v>14</v>
      </c>
      <c r="N213" s="0">
        <v>6</v>
      </c>
      <c r="T213" s="0" t="str">
        <f>_xlfn.TEXTJOIN("_",TRUE,C213,"node_eff",D213,M213,N213)</f>
        <v>s1_node_eff_economy_14_6</v>
      </c>
    </row>
    <row r="214" spans="1:20" x14ac:dyDescent="0.45">
      <c r="A214" s="0" t="str">
        <f>_xlfn.TEXTJOIN("_",TRUE,C214,"node",D214,M214,N214)</f>
        <v>s1_node_economy_15_2</v>
      </c>
      <c r="B214" s="0" t="s">
        <v>0</v>
      </c>
      <c r="C214" s="0" t="s">
        <v>26</v>
      </c>
      <c r="D214" s="0" t="s">
        <v>103</v>
      </c>
      <c r="E214" s="0" t="str">
        <f>"s1_node_"&amp;D214&amp;"_name"</f>
        <v>s1_node_economy_name</v>
      </c>
      <c r="F214" s="13" t="str">
        <f>"s1_node_"&amp;D214&amp;"_desc"</f>
        <v>s1_node_economy_desc</v>
      </c>
      <c r="G214" s="0" t="s">
        <v>419</v>
      </c>
      <c r="H214" s="0">
        <v>1</v>
      </c>
      <c r="I214" s="0" t="s">
        <v>27</v>
      </c>
      <c r="J214" s="0" t="s">
        <v>442</v>
      </c>
      <c r="K214" s="0">
        <v>610</v>
      </c>
      <c r="L214" s="13">
        <v>3</v>
      </c>
      <c r="M214" s="0">
        <v>15</v>
      </c>
      <c r="N214" s="0">
        <v>2</v>
      </c>
      <c r="P214" s="0" t="s">
        <v>443</v>
      </c>
      <c r="T214" s="0" t="str">
        <f>_xlfn.TEXTJOIN("_",TRUE,C214,"node_eff",D214,M214,N214)</f>
        <v>s1_node_eff_economy_15_2</v>
      </c>
    </row>
    <row r="215" spans="1:20" x14ac:dyDescent="0.45">
      <c r="A215" s="0" t="str">
        <f>_xlfn.TEXTJOIN("_",TRUE,C215,"node",D215,M215,N215)</f>
        <v>s1_node_economy_15_6</v>
      </c>
      <c r="B215" s="0" t="s">
        <v>0</v>
      </c>
      <c r="C215" s="0" t="s">
        <v>26</v>
      </c>
      <c r="D215" s="0" t="s">
        <v>103</v>
      </c>
      <c r="E215" s="0" t="str">
        <f>"s1_node_"&amp;D215&amp;"_name"</f>
        <v>s1_node_economy_name</v>
      </c>
      <c r="F215" s="13" t="str">
        <f>"s1_node_"&amp;D215&amp;"_desc"</f>
        <v>s1_node_economy_desc</v>
      </c>
      <c r="G215" s="0" t="s">
        <v>419</v>
      </c>
      <c r="H215" s="0">
        <v>1</v>
      </c>
      <c r="I215" s="0" t="s">
        <v>27</v>
      </c>
      <c r="J215" s="0" t="s">
        <v>442</v>
      </c>
      <c r="K215" s="0">
        <v>610</v>
      </c>
      <c r="L215" s="13">
        <v>3</v>
      </c>
      <c r="M215" s="0">
        <v>15</v>
      </c>
      <c r="N215" s="0">
        <v>6</v>
      </c>
      <c r="P215" s="0" t="s">
        <v>444</v>
      </c>
      <c r="T215" s="0" t="str">
        <f>_xlfn.TEXTJOIN("_",TRUE,C215,"node_eff",D215,M215,N215)</f>
        <v>s1_node_eff_economy_15_6</v>
      </c>
    </row>
    <row r="216" spans="1:20" x14ac:dyDescent="0.45">
      <c r="A216" s="0" t="str">
        <f>_xlfn.TEXTJOIN("_",TRUE,C216,"node",D216,M216,N216)</f>
        <v>s1_node_economy_16_4</v>
      </c>
      <c r="B216" s="0" t="s">
        <v>0</v>
      </c>
      <c r="C216" s="0" t="s">
        <v>26</v>
      </c>
      <c r="D216" s="0" t="s">
        <v>103</v>
      </c>
      <c r="E216" s="0" t="str">
        <f>"s1_node_"&amp;D216&amp;"_name"</f>
        <v>s1_node_economy_name</v>
      </c>
      <c r="F216" s="13" t="str">
        <f>"s1_node_"&amp;D216&amp;"_desc"</f>
        <v>s1_node_economy_desc</v>
      </c>
      <c r="G216" s="0" t="s">
        <v>419</v>
      </c>
      <c r="H216" s="0">
        <v>1</v>
      </c>
      <c r="I216" s="0" t="s">
        <v>27</v>
      </c>
      <c r="J216" s="0" t="s">
        <v>445</v>
      </c>
      <c r="K216" s="0">
        <v>650</v>
      </c>
      <c r="L216" s="13">
        <v>3</v>
      </c>
      <c r="M216" s="0">
        <v>16</v>
      </c>
      <c r="N216" s="0">
        <v>4</v>
      </c>
      <c r="P216" s="0" t="s">
        <v>446</v>
      </c>
      <c r="T216" s="0" t="str">
        <f>_xlfn.TEXTJOIN("_",TRUE,C216,"node_eff",D216,M216,N216)</f>
        <v>s1_node_eff_economy_16_4</v>
      </c>
    </row>
    <row r="217" spans="1:20" x14ac:dyDescent="0.45">
      <c r="A217" s="0" t="str">
        <f>_xlfn.TEXTJOIN("_",TRUE,C217,"node",D217,M217,N217)</f>
        <v>s1_node_economy_17_2</v>
      </c>
      <c r="B217" s="0" t="s">
        <v>0</v>
      </c>
      <c r="C217" s="0" t="s">
        <v>26</v>
      </c>
      <c r="D217" s="0" t="s">
        <v>103</v>
      </c>
      <c r="E217" s="0" t="str">
        <f>"s1_node_"&amp;D217&amp;"_name"</f>
        <v>s1_node_economy_name</v>
      </c>
      <c r="F217" s="13" t="str">
        <f>"s1_node_"&amp;D217&amp;"_desc"</f>
        <v>s1_node_economy_desc</v>
      </c>
      <c r="G217" s="0" t="s">
        <v>419</v>
      </c>
      <c r="H217" s="0">
        <v>1</v>
      </c>
      <c r="I217" s="0" t="s">
        <v>27</v>
      </c>
      <c r="J217" s="0" t="s">
        <v>447</v>
      </c>
      <c r="K217" s="0">
        <v>680</v>
      </c>
      <c r="L217" s="13">
        <v>3</v>
      </c>
      <c r="M217" s="0">
        <v>17</v>
      </c>
      <c r="N217" s="0">
        <v>2</v>
      </c>
      <c r="T217" s="0" t="str">
        <f>_xlfn.TEXTJOIN("_",TRUE,C217,"node_eff",D217,M217,N217)</f>
        <v>s1_node_eff_economy_17_2</v>
      </c>
    </row>
    <row r="218" spans="1:20" x14ac:dyDescent="0.45">
      <c r="A218" s="0" t="str">
        <f>_xlfn.TEXTJOIN("_",TRUE,C218,"node",D218,M218,N218)</f>
        <v>s1_node_economy_17_4</v>
      </c>
      <c r="B218" s="0" t="s">
        <v>0</v>
      </c>
      <c r="C218" s="0" t="s">
        <v>26</v>
      </c>
      <c r="D218" s="0" t="s">
        <v>103</v>
      </c>
      <c r="E218" s="0" t="str">
        <f>"s1_node_"&amp;D218&amp;"_name"</f>
        <v>s1_node_economy_name</v>
      </c>
      <c r="F218" s="13" t="str">
        <f>"s1_node_"&amp;D218&amp;"_desc"</f>
        <v>s1_node_economy_desc</v>
      </c>
      <c r="G218" s="0" t="s">
        <v>422</v>
      </c>
      <c r="H218" s="0">
        <v>1</v>
      </c>
      <c r="I218" s="0" t="s">
        <v>27</v>
      </c>
      <c r="J218" s="0" t="s">
        <v>447</v>
      </c>
      <c r="K218" s="0">
        <v>680</v>
      </c>
      <c r="L218" s="13">
        <v>3</v>
      </c>
      <c r="M218" s="0">
        <v>17</v>
      </c>
      <c r="N218" s="0">
        <v>4</v>
      </c>
      <c r="T218" s="0" t="str">
        <f>_xlfn.TEXTJOIN("_",TRUE,C218,"node_eff",D218,M218,N218)</f>
        <v>s1_node_eff_economy_17_4</v>
      </c>
    </row>
    <row r="219" spans="1:20" x14ac:dyDescent="0.45">
      <c r="A219" s="0" t="str">
        <f>_xlfn.TEXTJOIN("_",TRUE,C219,"node",D219,M219,N219)</f>
        <v>s1_node_economy_17_6</v>
      </c>
      <c r="B219" s="0" t="s">
        <v>0</v>
      </c>
      <c r="C219" s="0" t="s">
        <v>26</v>
      </c>
      <c r="D219" s="0" t="s">
        <v>103</v>
      </c>
      <c r="E219" s="0" t="str">
        <f>"s1_node_"&amp;D219&amp;"_name"</f>
        <v>s1_node_economy_name</v>
      </c>
      <c r="F219" s="13" t="str">
        <f>"s1_node_"&amp;D219&amp;"_desc"</f>
        <v>s1_node_economy_desc</v>
      </c>
      <c r="G219" s="0" t="s">
        <v>419</v>
      </c>
      <c r="H219" s="0">
        <v>1</v>
      </c>
      <c r="I219" s="0" t="s">
        <v>27</v>
      </c>
      <c r="J219" s="0" t="s">
        <v>447</v>
      </c>
      <c r="K219" s="0">
        <v>680</v>
      </c>
      <c r="L219" s="13">
        <v>3</v>
      </c>
      <c r="M219" s="0">
        <v>17</v>
      </c>
      <c r="N219" s="0">
        <v>6</v>
      </c>
      <c r="T219" s="0" t="str">
        <f>_xlfn.TEXTJOIN("_",TRUE,C219,"node_eff",D219,M219,N219)</f>
        <v>s1_node_eff_economy_17_6</v>
      </c>
    </row>
    <row r="220" spans="1:20" x14ac:dyDescent="0.45">
      <c r="A220" s="0" t="str">
        <f>_xlfn.TEXTJOIN("_",TRUE,C220,"node",D220,M220,N220)</f>
        <v>s1_node_economy_18_2</v>
      </c>
      <c r="B220" s="0" t="s">
        <v>0</v>
      </c>
      <c r="C220" s="0" t="s">
        <v>26</v>
      </c>
      <c r="D220" s="0" t="s">
        <v>103</v>
      </c>
      <c r="E220" s="0" t="str">
        <f>"s1_node_"&amp;D220&amp;"_name"</f>
        <v>s1_node_economy_name</v>
      </c>
      <c r="F220" s="13" t="str">
        <f>"s1_node_"&amp;D220&amp;"_desc"</f>
        <v>s1_node_economy_desc</v>
      </c>
      <c r="G220" s="0" t="s">
        <v>419</v>
      </c>
      <c r="H220" s="0">
        <v>1</v>
      </c>
      <c r="I220" s="0" t="s">
        <v>27</v>
      </c>
      <c r="J220" s="0" t="s">
        <v>448</v>
      </c>
      <c r="K220" s="0">
        <v>720</v>
      </c>
      <c r="L220" s="13">
        <v>3</v>
      </c>
      <c r="M220" s="0">
        <v>18</v>
      </c>
      <c r="N220" s="0">
        <v>2</v>
      </c>
      <c r="P220" s="0" t="s">
        <v>449</v>
      </c>
      <c r="T220" s="0" t="str">
        <f>_xlfn.TEXTJOIN("_",TRUE,C220,"node_eff",D220,M220,N220)</f>
        <v>s1_node_eff_economy_18_2</v>
      </c>
    </row>
    <row r="221" spans="1:20" x14ac:dyDescent="0.45">
      <c r="A221" s="0" t="str">
        <f>_xlfn.TEXTJOIN("_",TRUE,C221,"node",D221,M221,N221)</f>
        <v>s1_node_economy_18_6</v>
      </c>
      <c r="B221" s="0" t="s">
        <v>0</v>
      </c>
      <c r="C221" s="0" t="s">
        <v>26</v>
      </c>
      <c r="D221" s="0" t="s">
        <v>103</v>
      </c>
      <c r="E221" s="0" t="str">
        <f>"s1_node_"&amp;D221&amp;"_name"</f>
        <v>s1_node_economy_name</v>
      </c>
      <c r="F221" s="13" t="str">
        <f>"s1_node_"&amp;D221&amp;"_desc"</f>
        <v>s1_node_economy_desc</v>
      </c>
      <c r="G221" s="0" t="s">
        <v>419</v>
      </c>
      <c r="H221" s="0">
        <v>1</v>
      </c>
      <c r="I221" s="0" t="s">
        <v>27</v>
      </c>
      <c r="J221" s="0" t="s">
        <v>448</v>
      </c>
      <c r="K221" s="0">
        <v>720</v>
      </c>
      <c r="L221" s="13">
        <v>3</v>
      </c>
      <c r="M221" s="0">
        <v>18</v>
      </c>
      <c r="N221" s="0">
        <v>6</v>
      </c>
      <c r="P221" s="0" t="s">
        <v>450</v>
      </c>
      <c r="T221" s="0" t="str">
        <f>_xlfn.TEXTJOIN("_",TRUE,C221,"node_eff",D221,M221,N221)</f>
        <v>s1_node_eff_economy_18_6</v>
      </c>
    </row>
    <row r="222" spans="1:20" x14ac:dyDescent="0.45">
      <c r="A222" s="0" t="str">
        <f>_xlfn.TEXTJOIN("_",TRUE,C222,"node",D222,M222,N222)</f>
        <v>s1_node_economy_19_2</v>
      </c>
      <c r="B222" s="0" t="s">
        <v>0</v>
      </c>
      <c r="C222" s="0" t="s">
        <v>26</v>
      </c>
      <c r="D222" s="0" t="s">
        <v>103</v>
      </c>
      <c r="E222" s="0" t="str">
        <f>"s1_node_"&amp;D222&amp;"_name"</f>
        <v>s1_node_economy_name</v>
      </c>
      <c r="F222" s="13" t="str">
        <f>"s1_node_"&amp;D222&amp;"_desc"</f>
        <v>s1_node_economy_desc</v>
      </c>
      <c r="G222" s="0" t="s">
        <v>419</v>
      </c>
      <c r="H222" s="0">
        <v>1</v>
      </c>
      <c r="I222" s="0" t="s">
        <v>27</v>
      </c>
      <c r="J222" s="0" t="s">
        <v>451</v>
      </c>
      <c r="K222" s="0">
        <v>750</v>
      </c>
      <c r="L222" s="13">
        <v>3</v>
      </c>
      <c r="M222" s="0">
        <v>19</v>
      </c>
      <c r="N222" s="0">
        <v>2</v>
      </c>
      <c r="T222" s="0" t="str">
        <f>_xlfn.TEXTJOIN("_",TRUE,C222,"node_eff",D222,M222,N222)</f>
        <v>s1_node_eff_economy_19_2</v>
      </c>
    </row>
    <row r="223" spans="1:20" x14ac:dyDescent="0.45">
      <c r="A223" s="0" t="str">
        <f>_xlfn.TEXTJOIN("_",TRUE,C223,"node",D223,M223,N223)</f>
        <v>s1_node_economy_19_4</v>
      </c>
      <c r="B223" s="0" t="s">
        <v>0</v>
      </c>
      <c r="C223" s="0" t="s">
        <v>26</v>
      </c>
      <c r="D223" s="0" t="s">
        <v>103</v>
      </c>
      <c r="E223" s="0" t="str">
        <f>"s1_node_"&amp;D223&amp;"_name"</f>
        <v>s1_node_economy_name</v>
      </c>
      <c r="F223" s="13" t="str">
        <f>"s1_node_"&amp;D223&amp;"_desc"</f>
        <v>s1_node_economy_desc</v>
      </c>
      <c r="G223" s="0" t="s">
        <v>419</v>
      </c>
      <c r="H223" s="0">
        <v>1</v>
      </c>
      <c r="I223" s="0" t="s">
        <v>27</v>
      </c>
      <c r="J223" s="0" t="s">
        <v>451</v>
      </c>
      <c r="K223" s="0">
        <v>750</v>
      </c>
      <c r="L223" s="13">
        <v>3</v>
      </c>
      <c r="M223" s="0">
        <v>19</v>
      </c>
      <c r="N223" s="0">
        <v>4</v>
      </c>
      <c r="P223" s="0" t="s">
        <v>452</v>
      </c>
      <c r="T223" s="0" t="str">
        <f>_xlfn.TEXTJOIN("_",TRUE,C223,"node_eff",D223,M223,N223)</f>
        <v>s1_node_eff_economy_19_4</v>
      </c>
    </row>
    <row r="224" spans="1:20" x14ac:dyDescent="0.45">
      <c r="A224" s="0" t="str">
        <f>_xlfn.TEXTJOIN("_",TRUE,C224,"node",D224,M224,N224)</f>
        <v>s1_node_economy_19_6</v>
      </c>
      <c r="B224" s="0" t="s">
        <v>0</v>
      </c>
      <c r="C224" s="0" t="s">
        <v>26</v>
      </c>
      <c r="D224" s="0" t="s">
        <v>103</v>
      </c>
      <c r="E224" s="0" t="str">
        <f>"s1_node_"&amp;D224&amp;"_name"</f>
        <v>s1_node_economy_name</v>
      </c>
      <c r="F224" s="13" t="str">
        <f>"s1_node_"&amp;D224&amp;"_desc"</f>
        <v>s1_node_economy_desc</v>
      </c>
      <c r="G224" s="0" t="s">
        <v>422</v>
      </c>
      <c r="H224" s="0">
        <v>1</v>
      </c>
      <c r="I224" s="0" t="s">
        <v>27</v>
      </c>
      <c r="J224" s="0" t="s">
        <v>451</v>
      </c>
      <c r="K224" s="0">
        <v>750</v>
      </c>
      <c r="L224" s="13">
        <v>3</v>
      </c>
      <c r="M224" s="0">
        <v>19</v>
      </c>
      <c r="N224" s="0">
        <v>6</v>
      </c>
      <c r="T224" s="0" t="str">
        <f>_xlfn.TEXTJOIN("_",TRUE,C224,"node_eff",D224,M224,N224)</f>
        <v>s1_node_eff_economy_19_6</v>
      </c>
    </row>
    <row r="225" spans="1:20" x14ac:dyDescent="0.45">
      <c r="A225" s="0" t="str">
        <f>_xlfn.TEXTJOIN("_",TRUE,C225,"node",D225,M225,N225)</f>
        <v>s1_node_economy_20_2</v>
      </c>
      <c r="B225" s="0" t="s">
        <v>0</v>
      </c>
      <c r="C225" s="0" t="s">
        <v>26</v>
      </c>
      <c r="D225" s="0" t="s">
        <v>103</v>
      </c>
      <c r="E225" s="0" t="str">
        <f>"s1_node_"&amp;D225&amp;"_name"</f>
        <v>s1_node_economy_name</v>
      </c>
      <c r="F225" s="13" t="str">
        <f>"s1_node_"&amp;D225&amp;"_desc"</f>
        <v>s1_node_economy_desc</v>
      </c>
      <c r="G225" s="0" t="s">
        <v>419</v>
      </c>
      <c r="H225" s="0">
        <v>1</v>
      </c>
      <c r="I225" s="0" t="s">
        <v>27</v>
      </c>
      <c r="J225" s="0" t="s">
        <v>453</v>
      </c>
      <c r="K225" s="0">
        <v>790</v>
      </c>
      <c r="L225" s="13">
        <v>3</v>
      </c>
      <c r="M225" s="0">
        <v>20</v>
      </c>
      <c r="N225" s="0">
        <v>2</v>
      </c>
      <c r="P225" s="0" t="s">
        <v>454</v>
      </c>
      <c r="T225" s="0" t="str">
        <f>_xlfn.TEXTJOIN("_",TRUE,C225,"node_eff",D225,M225,N225)</f>
        <v>s1_node_eff_economy_20_2</v>
      </c>
    </row>
    <row r="226" spans="1:20" x14ac:dyDescent="0.45">
      <c r="A226" s="0" t="str">
        <f>_xlfn.TEXTJOIN("_",TRUE,C226,"node",D226,M226,N226)</f>
        <v>s1_node_economy_20_6</v>
      </c>
      <c r="B226" s="0" t="s">
        <v>0</v>
      </c>
      <c r="C226" s="0" t="s">
        <v>26</v>
      </c>
      <c r="D226" s="0" t="s">
        <v>103</v>
      </c>
      <c r="E226" s="0" t="str">
        <f>"s1_node_"&amp;D226&amp;"_name"</f>
        <v>s1_node_economy_name</v>
      </c>
      <c r="F226" s="13" t="str">
        <f>"s1_node_"&amp;D226&amp;"_desc"</f>
        <v>s1_node_economy_desc</v>
      </c>
      <c r="G226" s="0" t="s">
        <v>419</v>
      </c>
      <c r="H226" s="0">
        <v>1</v>
      </c>
      <c r="I226" s="0" t="s">
        <v>27</v>
      </c>
      <c r="J226" s="0" t="s">
        <v>453</v>
      </c>
      <c r="K226" s="0">
        <v>790</v>
      </c>
      <c r="L226" s="13">
        <v>3</v>
      </c>
      <c r="M226" s="0">
        <v>20</v>
      </c>
      <c r="N226" s="0">
        <v>6</v>
      </c>
      <c r="P226" s="0" t="s">
        <v>455</v>
      </c>
      <c r="T226" s="0" t="str">
        <f>_xlfn.TEXTJOIN("_",TRUE,C226,"node_eff",D226,M226,N226)</f>
        <v>s1_node_eff_economy_20_6</v>
      </c>
    </row>
    <row r="227" spans="1:20" x14ac:dyDescent="0.45">
      <c r="A227" s="0" t="str">
        <f>_xlfn.TEXTJOIN("_",TRUE,C227,"node",D227,M227,N227)</f>
        <v>s1_node_economy_21_4</v>
      </c>
      <c r="B227" s="0" t="s">
        <v>0</v>
      </c>
      <c r="C227" s="0" t="s">
        <v>26</v>
      </c>
      <c r="D227" s="0" t="s">
        <v>103</v>
      </c>
      <c r="E227" s="0" t="str">
        <f>"s1_node_"&amp;D227&amp;"_name"</f>
        <v>s1_node_economy_name</v>
      </c>
      <c r="F227" s="13" t="str">
        <f>"s1_node_"&amp;D227&amp;"_desc"</f>
        <v>s1_node_economy_desc</v>
      </c>
      <c r="G227" s="0" t="s">
        <v>419</v>
      </c>
      <c r="H227" s="0">
        <v>2</v>
      </c>
      <c r="I227" s="0" t="s">
        <v>27</v>
      </c>
      <c r="J227" s="0" t="s">
        <v>456</v>
      </c>
      <c r="K227" s="0">
        <v>830</v>
      </c>
      <c r="L227" s="13">
        <v>3</v>
      </c>
      <c r="M227" s="0">
        <v>21</v>
      </c>
      <c r="N227" s="0">
        <v>4</v>
      </c>
      <c r="P227" s="0" t="s">
        <v>457</v>
      </c>
      <c r="T227" s="0" t="str">
        <f>_xlfn.TEXTJOIN("_",TRUE,C227,"node_eff",D227,M227,N227)</f>
        <v>s1_node_eff_economy_21_4</v>
      </c>
    </row>
    <row r="228" spans="1:20" x14ac:dyDescent="0.45">
      <c r="A228" s="0" t="str">
        <f>_xlfn.TEXTJOIN("_",TRUE,C228,"node",D228,M228,N228)</f>
        <v>s1_node_economy_22_2</v>
      </c>
      <c r="B228" s="0" t="s">
        <v>0</v>
      </c>
      <c r="C228" s="0" t="s">
        <v>26</v>
      </c>
      <c r="D228" s="0" t="s">
        <v>103</v>
      </c>
      <c r="E228" s="0" t="str">
        <f>"s1_node_"&amp;D228&amp;"_name"</f>
        <v>s1_node_economy_name</v>
      </c>
      <c r="F228" s="13" t="str">
        <f>"s1_node_"&amp;D228&amp;"_desc"</f>
        <v>s1_node_economy_desc</v>
      </c>
      <c r="G228" s="0" t="s">
        <v>419</v>
      </c>
      <c r="H228" s="0">
        <v>2</v>
      </c>
      <c r="I228" s="0" t="s">
        <v>27</v>
      </c>
      <c r="J228" s="0" t="s">
        <v>458</v>
      </c>
      <c r="K228" s="0">
        <v>860</v>
      </c>
      <c r="L228" s="13">
        <v>3</v>
      </c>
      <c r="M228" s="0">
        <v>22</v>
      </c>
      <c r="N228" s="0">
        <v>2</v>
      </c>
      <c r="T228" s="0" t="str">
        <f>_xlfn.TEXTJOIN("_",TRUE,C228,"node_eff",D228,M228,N228)</f>
        <v>s1_node_eff_economy_22_2</v>
      </c>
    </row>
    <row r="229" spans="1:20" x14ac:dyDescent="0.45">
      <c r="A229" s="0" t="str">
        <f>_xlfn.TEXTJOIN("_",TRUE,C229,"node",D229,M229,N229)</f>
        <v>s1_node_economy_22_4</v>
      </c>
      <c r="B229" s="0" t="s">
        <v>0</v>
      </c>
      <c r="C229" s="0" t="s">
        <v>26</v>
      </c>
      <c r="D229" s="0" t="s">
        <v>103</v>
      </c>
      <c r="E229" s="0" t="str">
        <f>"s1_node_"&amp;D229&amp;"_name"</f>
        <v>s1_node_economy_name</v>
      </c>
      <c r="F229" s="13" t="str">
        <f>"s1_node_"&amp;D229&amp;"_desc"</f>
        <v>s1_node_economy_desc</v>
      </c>
      <c r="G229" s="0" t="s">
        <v>419</v>
      </c>
      <c r="H229" s="0">
        <v>2</v>
      </c>
      <c r="I229" s="0" t="s">
        <v>27</v>
      </c>
      <c r="J229" s="0" t="s">
        <v>458</v>
      </c>
      <c r="K229" s="0">
        <v>860</v>
      </c>
      <c r="L229" s="13">
        <v>3</v>
      </c>
      <c r="M229" s="0">
        <v>22</v>
      </c>
      <c r="N229" s="0">
        <v>4</v>
      </c>
      <c r="T229" s="0" t="str">
        <f>_xlfn.TEXTJOIN("_",TRUE,C229,"node_eff",D229,M229,N229)</f>
        <v>s1_node_eff_economy_22_4</v>
      </c>
    </row>
    <row r="230" spans="1:20" x14ac:dyDescent="0.45">
      <c r="A230" s="0" t="str">
        <f>_xlfn.TEXTJOIN("_",TRUE,C230,"node",D230,M230,N230)</f>
        <v>s1_node_economy_22_6</v>
      </c>
      <c r="B230" s="0" t="s">
        <v>0</v>
      </c>
      <c r="C230" s="0" t="s">
        <v>26</v>
      </c>
      <c r="D230" s="0" t="s">
        <v>103</v>
      </c>
      <c r="E230" s="0" t="str">
        <f>"s1_node_"&amp;D230&amp;"_name"</f>
        <v>s1_node_economy_name</v>
      </c>
      <c r="F230" s="13" t="str">
        <f>"s1_node_"&amp;D230&amp;"_desc"</f>
        <v>s1_node_economy_desc</v>
      </c>
      <c r="G230" s="0" t="s">
        <v>422</v>
      </c>
      <c r="H230" s="0">
        <v>2</v>
      </c>
      <c r="I230" s="0" t="s">
        <v>27</v>
      </c>
      <c r="J230" s="0" t="s">
        <v>458</v>
      </c>
      <c r="K230" s="0">
        <v>860</v>
      </c>
      <c r="L230" s="13">
        <v>3</v>
      </c>
      <c r="M230" s="0">
        <v>22</v>
      </c>
      <c r="N230" s="0">
        <v>6</v>
      </c>
      <c r="T230" s="0" t="str">
        <f>_xlfn.TEXTJOIN("_",TRUE,C230,"node_eff",D230,M230,N230)</f>
        <v>s1_node_eff_economy_22_6</v>
      </c>
    </row>
    <row r="231" spans="1:20" x14ac:dyDescent="0.45">
      <c r="A231" s="0" t="str">
        <f>_xlfn.TEXTJOIN("_",TRUE,C231,"node",D231,M231,N231)</f>
        <v>s1_node_economy_23_2</v>
      </c>
      <c r="B231" s="0" t="s">
        <v>0</v>
      </c>
      <c r="C231" s="0" t="s">
        <v>26</v>
      </c>
      <c r="D231" s="0" t="s">
        <v>103</v>
      </c>
      <c r="E231" s="0" t="str">
        <f>"s1_node_"&amp;D231&amp;"_name"</f>
        <v>s1_node_economy_name</v>
      </c>
      <c r="F231" s="13" t="str">
        <f>"s1_node_"&amp;D231&amp;"_desc"</f>
        <v>s1_node_economy_desc</v>
      </c>
      <c r="G231" s="0" t="s">
        <v>419</v>
      </c>
      <c r="H231" s="0">
        <v>2</v>
      </c>
      <c r="I231" s="0" t="s">
        <v>27</v>
      </c>
      <c r="J231" s="0" t="s">
        <v>459</v>
      </c>
      <c r="K231" s="0">
        <v>900</v>
      </c>
      <c r="L231" s="13">
        <v>3</v>
      </c>
      <c r="M231" s="0">
        <v>23</v>
      </c>
      <c r="N231" s="0">
        <v>2</v>
      </c>
      <c r="P231" s="0" t="s">
        <v>460</v>
      </c>
      <c r="T231" s="0" t="str">
        <f>_xlfn.TEXTJOIN("_",TRUE,C231,"node_eff",D231,M231,N231)</f>
        <v>s1_node_eff_economy_23_2</v>
      </c>
    </row>
    <row r="232" spans="1:20" x14ac:dyDescent="0.45">
      <c r="A232" s="0" t="str">
        <f>_xlfn.TEXTJOIN("_",TRUE,C232,"node",D232,M232,N232)</f>
        <v>s1_node_economy_23_6</v>
      </c>
      <c r="B232" s="0" t="s">
        <v>0</v>
      </c>
      <c r="C232" s="0" t="s">
        <v>26</v>
      </c>
      <c r="D232" s="0" t="s">
        <v>103</v>
      </c>
      <c r="E232" s="0" t="str">
        <f>"s1_node_"&amp;D232&amp;"_name"</f>
        <v>s1_node_economy_name</v>
      </c>
      <c r="F232" s="13" t="str">
        <f>"s1_node_"&amp;D232&amp;"_desc"</f>
        <v>s1_node_economy_desc</v>
      </c>
      <c r="G232" s="0" t="s">
        <v>419</v>
      </c>
      <c r="H232" s="0">
        <v>2</v>
      </c>
      <c r="I232" s="0" t="s">
        <v>27</v>
      </c>
      <c r="J232" s="0" t="s">
        <v>459</v>
      </c>
      <c r="K232" s="0">
        <v>900</v>
      </c>
      <c r="L232" s="13">
        <v>3</v>
      </c>
      <c r="M232" s="0">
        <v>23</v>
      </c>
      <c r="N232" s="0">
        <v>6</v>
      </c>
      <c r="P232" s="0" t="s">
        <v>461</v>
      </c>
      <c r="T232" s="0" t="str">
        <f>_xlfn.TEXTJOIN("_",TRUE,C232,"node_eff",D232,M232,N232)</f>
        <v>s1_node_eff_economy_23_6</v>
      </c>
    </row>
    <row r="233" spans="1:20" x14ac:dyDescent="0.45">
      <c r="A233" s="0" t="str">
        <f>_xlfn.TEXTJOIN("_",TRUE,C233,"node",D233,M233,N233)</f>
        <v>s1_node_economy_24_2</v>
      </c>
      <c r="B233" s="0" t="s">
        <v>0</v>
      </c>
      <c r="C233" s="0" t="s">
        <v>26</v>
      </c>
      <c r="D233" s="0" t="s">
        <v>103</v>
      </c>
      <c r="E233" s="0" t="str">
        <f>"s1_node_"&amp;D233&amp;"_name"</f>
        <v>s1_node_economy_name</v>
      </c>
      <c r="F233" s="13" t="str">
        <f>"s1_node_"&amp;D233&amp;"_desc"</f>
        <v>s1_node_economy_desc</v>
      </c>
      <c r="G233" s="0" t="s">
        <v>419</v>
      </c>
      <c r="H233" s="0">
        <v>2</v>
      </c>
      <c r="I233" s="0" t="s">
        <v>27</v>
      </c>
      <c r="J233" s="0" t="s">
        <v>462</v>
      </c>
      <c r="K233" s="0">
        <v>930</v>
      </c>
      <c r="L233" s="13">
        <v>3</v>
      </c>
      <c r="M233" s="0">
        <v>24</v>
      </c>
      <c r="N233" s="0">
        <v>2</v>
      </c>
      <c r="T233" s="0" t="str">
        <f>_xlfn.TEXTJOIN("_",TRUE,C233,"node_eff",D233,M233,N233)</f>
        <v>s1_node_eff_economy_24_2</v>
      </c>
    </row>
    <row r="234" spans="1:20" x14ac:dyDescent="0.45">
      <c r="A234" s="0" t="str">
        <f>_xlfn.TEXTJOIN("_",TRUE,C234,"node",D234,M234,N234)</f>
        <v>s1_node_economy_24_4</v>
      </c>
      <c r="B234" s="0" t="s">
        <v>0</v>
      </c>
      <c r="C234" s="0" t="s">
        <v>26</v>
      </c>
      <c r="D234" s="0" t="s">
        <v>103</v>
      </c>
      <c r="E234" s="0" t="str">
        <f>"s1_node_"&amp;D234&amp;"_name"</f>
        <v>s1_node_economy_name</v>
      </c>
      <c r="F234" s="13" t="str">
        <f>"s1_node_"&amp;D234&amp;"_desc"</f>
        <v>s1_node_economy_desc</v>
      </c>
      <c r="G234" s="0" t="s">
        <v>419</v>
      </c>
      <c r="H234" s="0">
        <v>2</v>
      </c>
      <c r="I234" s="0" t="s">
        <v>27</v>
      </c>
      <c r="J234" s="0" t="s">
        <v>462</v>
      </c>
      <c r="K234" s="0">
        <v>930</v>
      </c>
      <c r="L234" s="13">
        <v>3</v>
      </c>
      <c r="M234" s="0">
        <v>24</v>
      </c>
      <c r="N234" s="0">
        <v>4</v>
      </c>
      <c r="P234" s="0" t="s">
        <v>463</v>
      </c>
      <c r="T234" s="0" t="str">
        <f>_xlfn.TEXTJOIN("_",TRUE,C234,"node_eff",D234,M234,N234)</f>
        <v>s1_node_eff_economy_24_4</v>
      </c>
    </row>
    <row r="235" spans="1:20" x14ac:dyDescent="0.45">
      <c r="A235" s="0" t="str">
        <f>_xlfn.TEXTJOIN("_",TRUE,C235,"node",D235,M235,N235)</f>
        <v>s1_node_economy_24_6</v>
      </c>
      <c r="B235" s="0" t="s">
        <v>0</v>
      </c>
      <c r="C235" s="0" t="s">
        <v>26</v>
      </c>
      <c r="D235" s="0" t="s">
        <v>103</v>
      </c>
      <c r="E235" s="0" t="str">
        <f>"s1_node_"&amp;D235&amp;"_name"</f>
        <v>s1_node_economy_name</v>
      </c>
      <c r="F235" s="13" t="str">
        <f>"s1_node_"&amp;D235&amp;"_desc"</f>
        <v>s1_node_economy_desc</v>
      </c>
      <c r="G235" s="0" t="s">
        <v>419</v>
      </c>
      <c r="H235" s="0">
        <v>2</v>
      </c>
      <c r="I235" s="0" t="s">
        <v>27</v>
      </c>
      <c r="J235" s="0" t="s">
        <v>462</v>
      </c>
      <c r="K235" s="0">
        <v>930</v>
      </c>
      <c r="L235" s="13">
        <v>3</v>
      </c>
      <c r="M235" s="0">
        <v>24</v>
      </c>
      <c r="N235" s="0">
        <v>6</v>
      </c>
      <c r="T235" s="0" t="str">
        <f>_xlfn.TEXTJOIN("_",TRUE,C235,"node_eff",D235,M235,N235)</f>
        <v>s1_node_eff_economy_24_6</v>
      </c>
    </row>
    <row r="236" spans="1:20" x14ac:dyDescent="0.45">
      <c r="A236" s="0" t="str">
        <f>_xlfn.TEXTJOIN("_",TRUE,C236,"node",D236,M236,N236)</f>
        <v>s1_node_economy_25_2</v>
      </c>
      <c r="B236" s="0" t="s">
        <v>0</v>
      </c>
      <c r="C236" s="0" t="s">
        <v>26</v>
      </c>
      <c r="D236" s="0" t="s">
        <v>103</v>
      </c>
      <c r="E236" s="0" t="str">
        <f>"s1_node_"&amp;D236&amp;"_name"</f>
        <v>s1_node_economy_name</v>
      </c>
      <c r="F236" s="13" t="str">
        <f>"s1_node_"&amp;D236&amp;"_desc"</f>
        <v>s1_node_economy_desc</v>
      </c>
      <c r="G236" s="0" t="s">
        <v>422</v>
      </c>
      <c r="H236" s="0">
        <v>2</v>
      </c>
      <c r="I236" s="0" t="s">
        <v>27</v>
      </c>
      <c r="J236" s="0" t="s">
        <v>464</v>
      </c>
      <c r="K236" s="0">
        <v>970</v>
      </c>
      <c r="L236" s="13">
        <v>3</v>
      </c>
      <c r="M236" s="0">
        <v>25</v>
      </c>
      <c r="N236" s="0">
        <v>2</v>
      </c>
      <c r="P236" s="0" t="s">
        <v>465</v>
      </c>
      <c r="T236" s="0" t="str">
        <f>_xlfn.TEXTJOIN("_",TRUE,C236,"node_eff",D236,M236,N236)</f>
        <v>s1_node_eff_economy_25_2</v>
      </c>
    </row>
    <row r="237" spans="1:20" x14ac:dyDescent="0.45">
      <c r="A237" s="0" t="str">
        <f>_xlfn.TEXTJOIN("_",TRUE,C237,"node",D237,M237,N237)</f>
        <v>s1_node_economy_25_6</v>
      </c>
      <c r="B237" s="0" t="s">
        <v>0</v>
      </c>
      <c r="C237" s="0" t="s">
        <v>26</v>
      </c>
      <c r="D237" s="0" t="s">
        <v>103</v>
      </c>
      <c r="E237" s="0" t="str">
        <f>"s1_node_"&amp;D237&amp;"_name"</f>
        <v>s1_node_economy_name</v>
      </c>
      <c r="F237" s="13" t="str">
        <f>"s1_node_"&amp;D237&amp;"_desc"</f>
        <v>s1_node_economy_desc</v>
      </c>
      <c r="G237" s="0" t="s">
        <v>419</v>
      </c>
      <c r="H237" s="0">
        <v>2</v>
      </c>
      <c r="I237" s="0" t="s">
        <v>27</v>
      </c>
      <c r="J237" s="0" t="s">
        <v>464</v>
      </c>
      <c r="K237" s="0">
        <v>970</v>
      </c>
      <c r="L237" s="13">
        <v>3</v>
      </c>
      <c r="M237" s="0">
        <v>25</v>
      </c>
      <c r="N237" s="0">
        <v>6</v>
      </c>
      <c r="P237" s="0" t="s">
        <v>466</v>
      </c>
      <c r="T237" s="0" t="str">
        <f>_xlfn.TEXTJOIN("_",TRUE,C237,"node_eff",D237,M237,N237)</f>
        <v>s1_node_eff_economy_25_6</v>
      </c>
    </row>
    <row r="238" spans="1:20" x14ac:dyDescent="0.45">
      <c r="A238" s="0" t="str">
        <f>_xlfn.TEXTJOIN("_",TRUE,C238,"node",D238,M238,N238)</f>
        <v>s1_node_economy_26_4</v>
      </c>
      <c r="B238" s="0" t="s">
        <v>0</v>
      </c>
      <c r="C238" s="0" t="s">
        <v>26</v>
      </c>
      <c r="D238" s="0" t="s">
        <v>103</v>
      </c>
      <c r="E238" s="0" t="str">
        <f>"s1_node_"&amp;D238&amp;"_name"</f>
        <v>s1_node_economy_name</v>
      </c>
      <c r="F238" s="13" t="str">
        <f>"s1_node_"&amp;D238&amp;"_desc"</f>
        <v>s1_node_economy_desc</v>
      </c>
      <c r="G238" s="0" t="s">
        <v>419</v>
      </c>
      <c r="H238" s="0">
        <v>2</v>
      </c>
      <c r="I238" s="0" t="s">
        <v>27</v>
      </c>
      <c r="J238" s="0" t="s">
        <v>467</v>
      </c>
      <c r="K238" s="0">
        <v>1000</v>
      </c>
      <c r="L238" s="13">
        <v>3</v>
      </c>
      <c r="M238" s="0">
        <v>26</v>
      </c>
      <c r="N238" s="0">
        <v>4</v>
      </c>
      <c r="P238" s="0" t="s">
        <v>468</v>
      </c>
      <c r="T238" s="0" t="str">
        <f>_xlfn.TEXTJOIN("_",TRUE,C238,"node_eff",D238,M238,N238)</f>
        <v>s1_node_eff_economy_26_4</v>
      </c>
    </row>
    <row r="239" spans="1:20" x14ac:dyDescent="0.45">
      <c r="A239" s="0" t="str">
        <f>_xlfn.TEXTJOIN("_",TRUE,C239,"node",D239,M239,N239)</f>
        <v>s1_node_economy_27_2</v>
      </c>
      <c r="B239" s="0" t="s">
        <v>0</v>
      </c>
      <c r="C239" s="0" t="s">
        <v>26</v>
      </c>
      <c r="D239" s="0" t="s">
        <v>103</v>
      </c>
      <c r="E239" s="0" t="str">
        <f>"s1_node_"&amp;D239&amp;"_name"</f>
        <v>s1_node_economy_name</v>
      </c>
      <c r="F239" s="13" t="str">
        <f>"s1_node_"&amp;D239&amp;"_desc"</f>
        <v>s1_node_economy_desc</v>
      </c>
      <c r="G239" s="0" t="s">
        <v>419</v>
      </c>
      <c r="H239" s="0">
        <v>2</v>
      </c>
      <c r="I239" s="0" t="s">
        <v>27</v>
      </c>
      <c r="J239" s="0" t="s">
        <v>469</v>
      </c>
      <c r="K239" s="0">
        <v>1040</v>
      </c>
      <c r="L239" s="13">
        <v>3</v>
      </c>
      <c r="M239" s="0">
        <v>27</v>
      </c>
      <c r="N239" s="0">
        <v>2</v>
      </c>
      <c r="T239" s="0" t="str">
        <f>_xlfn.TEXTJOIN("_",TRUE,C239,"node_eff",D239,M239,N239)</f>
        <v>s1_node_eff_economy_27_2</v>
      </c>
    </row>
    <row r="240" spans="1:20" x14ac:dyDescent="0.45">
      <c r="A240" s="0" t="str">
        <f>_xlfn.TEXTJOIN("_",TRUE,C240,"node",D240,M240,N240)</f>
        <v>s1_node_economy_27_4</v>
      </c>
      <c r="B240" s="0" t="s">
        <v>0</v>
      </c>
      <c r="C240" s="0" t="s">
        <v>26</v>
      </c>
      <c r="D240" s="0" t="s">
        <v>103</v>
      </c>
      <c r="E240" s="0" t="str">
        <f>"s1_node_"&amp;D240&amp;"_name"</f>
        <v>s1_node_economy_name</v>
      </c>
      <c r="F240" s="13" t="str">
        <f>"s1_node_"&amp;D240&amp;"_desc"</f>
        <v>s1_node_economy_desc</v>
      </c>
      <c r="G240" s="0" t="s">
        <v>419</v>
      </c>
      <c r="H240" s="0">
        <v>2</v>
      </c>
      <c r="I240" s="0" t="s">
        <v>27</v>
      </c>
      <c r="J240" s="0" t="s">
        <v>469</v>
      </c>
      <c r="K240" s="0">
        <v>1040</v>
      </c>
      <c r="L240" s="13">
        <v>3</v>
      </c>
      <c r="M240" s="0">
        <v>27</v>
      </c>
      <c r="N240" s="0">
        <v>4</v>
      </c>
      <c r="T240" s="0" t="str">
        <f>_xlfn.TEXTJOIN("_",TRUE,C240,"node_eff",D240,M240,N240)</f>
        <v>s1_node_eff_economy_27_4</v>
      </c>
    </row>
    <row r="241" spans="1:20" x14ac:dyDescent="0.45">
      <c r="A241" s="0" t="str">
        <f>_xlfn.TEXTJOIN("_",TRUE,C241,"node",D241,M241,N241)</f>
        <v>s1_node_economy_27_6</v>
      </c>
      <c r="B241" s="0" t="s">
        <v>0</v>
      </c>
      <c r="C241" s="0" t="s">
        <v>26</v>
      </c>
      <c r="D241" s="0" t="s">
        <v>103</v>
      </c>
      <c r="E241" s="0" t="str">
        <f>"s1_node_"&amp;D241&amp;"_name"</f>
        <v>s1_node_economy_name</v>
      </c>
      <c r="F241" s="13" t="str">
        <f>"s1_node_"&amp;D241&amp;"_desc"</f>
        <v>s1_node_economy_desc</v>
      </c>
      <c r="G241" s="0" t="s">
        <v>419</v>
      </c>
      <c r="H241" s="0">
        <v>2</v>
      </c>
      <c r="I241" s="0" t="s">
        <v>27</v>
      </c>
      <c r="J241" s="0" t="s">
        <v>469</v>
      </c>
      <c r="K241" s="0">
        <v>1040</v>
      </c>
      <c r="L241" s="13">
        <v>3</v>
      </c>
      <c r="M241" s="0">
        <v>27</v>
      </c>
      <c r="N241" s="0">
        <v>6</v>
      </c>
      <c r="T241" s="0" t="str">
        <f>_xlfn.TEXTJOIN("_",TRUE,C241,"node_eff",D241,M241,N241)</f>
        <v>s1_node_eff_economy_27_6</v>
      </c>
    </row>
    <row r="242" spans="1:20" x14ac:dyDescent="0.45">
      <c r="A242" s="0" t="str">
        <f>_xlfn.TEXTJOIN("_",TRUE,C242,"node",D242,M242,N242)</f>
        <v>s1_node_economy_28_2</v>
      </c>
      <c r="B242" s="0" t="s">
        <v>0</v>
      </c>
      <c r="C242" s="0" t="s">
        <v>26</v>
      </c>
      <c r="D242" s="0" t="s">
        <v>103</v>
      </c>
      <c r="E242" s="0" t="str">
        <f>"s1_node_"&amp;D242&amp;"_name"</f>
        <v>s1_node_economy_name</v>
      </c>
      <c r="F242" s="13" t="str">
        <f>"s1_node_"&amp;D242&amp;"_desc"</f>
        <v>s1_node_economy_desc</v>
      </c>
      <c r="G242" s="0" t="s">
        <v>422</v>
      </c>
      <c r="H242" s="0">
        <v>2</v>
      </c>
      <c r="I242" s="0" t="s">
        <v>27</v>
      </c>
      <c r="J242" s="0" t="s">
        <v>470</v>
      </c>
      <c r="K242" s="0">
        <v>1080</v>
      </c>
      <c r="L242" s="13">
        <v>3</v>
      </c>
      <c r="M242" s="0">
        <v>28</v>
      </c>
      <c r="N242" s="0">
        <v>2</v>
      </c>
      <c r="P242" s="0" t="s">
        <v>471</v>
      </c>
      <c r="T242" s="0" t="str">
        <f>_xlfn.TEXTJOIN("_",TRUE,C242,"node_eff",D242,M242,N242)</f>
        <v>s1_node_eff_economy_28_2</v>
      </c>
    </row>
    <row r="243" spans="1:20" x14ac:dyDescent="0.45">
      <c r="A243" s="0" t="str">
        <f>_xlfn.TEXTJOIN("_",TRUE,C243,"node",D243,M243,N243)</f>
        <v>s1_node_economy_28_6</v>
      </c>
      <c r="B243" s="0" t="s">
        <v>0</v>
      </c>
      <c r="C243" s="0" t="s">
        <v>26</v>
      </c>
      <c r="D243" s="0" t="s">
        <v>103</v>
      </c>
      <c r="E243" s="0" t="str">
        <f>"s1_node_"&amp;D243&amp;"_name"</f>
        <v>s1_node_economy_name</v>
      </c>
      <c r="F243" s="13" t="str">
        <f>"s1_node_"&amp;D243&amp;"_desc"</f>
        <v>s1_node_economy_desc</v>
      </c>
      <c r="G243" s="0" t="s">
        <v>419</v>
      </c>
      <c r="H243" s="0">
        <v>2</v>
      </c>
      <c r="I243" s="0" t="s">
        <v>27</v>
      </c>
      <c r="J243" s="0" t="s">
        <v>470</v>
      </c>
      <c r="K243" s="0">
        <v>1080</v>
      </c>
      <c r="L243" s="13">
        <v>3</v>
      </c>
      <c r="M243" s="0">
        <v>28</v>
      </c>
      <c r="N243" s="0">
        <v>6</v>
      </c>
      <c r="P243" s="0" t="s">
        <v>472</v>
      </c>
      <c r="T243" s="0" t="str">
        <f>_xlfn.TEXTJOIN("_",TRUE,C243,"node_eff",D243,M243,N243)</f>
        <v>s1_node_eff_economy_28_6</v>
      </c>
    </row>
    <row r="244" spans="1:20" x14ac:dyDescent="0.45">
      <c r="A244" s="0" t="str">
        <f>_xlfn.TEXTJOIN("_",TRUE,C244,"node",D244,M244,N244)</f>
        <v>s1_node_economy_29_2</v>
      </c>
      <c r="B244" s="0" t="s">
        <v>0</v>
      </c>
      <c r="C244" s="0" t="s">
        <v>26</v>
      </c>
      <c r="D244" s="0" t="s">
        <v>103</v>
      </c>
      <c r="E244" s="0" t="str">
        <f>"s1_node_"&amp;D244&amp;"_name"</f>
        <v>s1_node_economy_name</v>
      </c>
      <c r="F244" s="13" t="str">
        <f>"s1_node_"&amp;D244&amp;"_desc"</f>
        <v>s1_node_economy_desc</v>
      </c>
      <c r="G244" s="0" t="s">
        <v>419</v>
      </c>
      <c r="H244" s="0">
        <v>2</v>
      </c>
      <c r="I244" s="0" t="s">
        <v>27</v>
      </c>
      <c r="J244" s="0" t="s">
        <v>473</v>
      </c>
      <c r="K244" s="0">
        <v>1110</v>
      </c>
      <c r="L244" s="13">
        <v>3</v>
      </c>
      <c r="M244" s="0">
        <v>29</v>
      </c>
      <c r="N244" s="0">
        <v>2</v>
      </c>
      <c r="T244" s="0" t="str">
        <f>_xlfn.TEXTJOIN("_",TRUE,C244,"node_eff",D244,M244,N244)</f>
        <v>s1_node_eff_economy_29_2</v>
      </c>
    </row>
    <row r="245" spans="1:20" x14ac:dyDescent="0.45">
      <c r="A245" s="0" t="str">
        <f>_xlfn.TEXTJOIN("_",TRUE,C245,"node",D245,M245,N245)</f>
        <v>s1_node_economy_29_4</v>
      </c>
      <c r="B245" s="0" t="s">
        <v>0</v>
      </c>
      <c r="C245" s="0" t="s">
        <v>26</v>
      </c>
      <c r="D245" s="0" t="s">
        <v>103</v>
      </c>
      <c r="E245" s="0" t="str">
        <f>"s1_node_"&amp;D245&amp;"_name"</f>
        <v>s1_node_economy_name</v>
      </c>
      <c r="F245" s="13" t="str">
        <f>"s1_node_"&amp;D245&amp;"_desc"</f>
        <v>s1_node_economy_desc</v>
      </c>
      <c r="G245" s="0" t="s">
        <v>419</v>
      </c>
      <c r="H245" s="0">
        <v>2</v>
      </c>
      <c r="I245" s="0" t="s">
        <v>27</v>
      </c>
      <c r="J245" s="0" t="s">
        <v>473</v>
      </c>
      <c r="K245" s="0">
        <v>1110</v>
      </c>
      <c r="L245" s="13">
        <v>3</v>
      </c>
      <c r="M245" s="0">
        <v>29</v>
      </c>
      <c r="N245" s="0">
        <v>4</v>
      </c>
      <c r="P245" s="0" t="s">
        <v>474</v>
      </c>
      <c r="T245" s="0" t="str">
        <f>_xlfn.TEXTJOIN("_",TRUE,C245,"node_eff",D245,M245,N245)</f>
        <v>s1_node_eff_economy_29_4</v>
      </c>
    </row>
    <row r="246" spans="1:20" x14ac:dyDescent="0.45">
      <c r="A246" s="0" t="str">
        <f>_xlfn.TEXTJOIN("_",TRUE,C246,"node",D246,M246,N246)</f>
        <v>s1_node_economy_29_6</v>
      </c>
      <c r="B246" s="0" t="s">
        <v>0</v>
      </c>
      <c r="C246" s="0" t="s">
        <v>26</v>
      </c>
      <c r="D246" s="0" t="s">
        <v>103</v>
      </c>
      <c r="E246" s="0" t="str">
        <f>"s1_node_"&amp;D246&amp;"_name"</f>
        <v>s1_node_economy_name</v>
      </c>
      <c r="F246" s="13" t="str">
        <f>"s1_node_"&amp;D246&amp;"_desc"</f>
        <v>s1_node_economy_desc</v>
      </c>
      <c r="G246" s="0" t="s">
        <v>419</v>
      </c>
      <c r="H246" s="0">
        <v>2</v>
      </c>
      <c r="I246" s="0" t="s">
        <v>27</v>
      </c>
      <c r="J246" s="0" t="s">
        <v>473</v>
      </c>
      <c r="K246" s="0">
        <v>1110</v>
      </c>
      <c r="L246" s="13">
        <v>3</v>
      </c>
      <c r="M246" s="0">
        <v>29</v>
      </c>
      <c r="N246" s="0">
        <v>6</v>
      </c>
      <c r="T246" s="0" t="str">
        <f>_xlfn.TEXTJOIN("_",TRUE,C246,"node_eff",D246,M246,N246)</f>
        <v>s1_node_eff_economy_29_6</v>
      </c>
    </row>
    <row r="247" spans="1:20" x14ac:dyDescent="0.45">
      <c r="A247" s="0" t="str">
        <f>_xlfn.TEXTJOIN("_",TRUE,C247,"node",D247,M247,N247)</f>
        <v>s1_node_economy_30_2</v>
      </c>
      <c r="B247" s="0" t="s">
        <v>0</v>
      </c>
      <c r="C247" s="0" t="s">
        <v>26</v>
      </c>
      <c r="D247" s="0" t="s">
        <v>103</v>
      </c>
      <c r="E247" s="0" t="str">
        <f>"s1_node_"&amp;D247&amp;"_name"</f>
        <v>s1_node_economy_name</v>
      </c>
      <c r="F247" s="13" t="str">
        <f>"s1_node_"&amp;D247&amp;"_desc"</f>
        <v>s1_node_economy_desc</v>
      </c>
      <c r="G247" s="0" t="s">
        <v>419</v>
      </c>
      <c r="H247" s="0">
        <v>2</v>
      </c>
      <c r="I247" s="0" t="s">
        <v>27</v>
      </c>
      <c r="J247" s="0" t="s">
        <v>475</v>
      </c>
      <c r="K247" s="0">
        <v>1150</v>
      </c>
      <c r="L247" s="13">
        <v>3</v>
      </c>
      <c r="M247" s="0">
        <v>30</v>
      </c>
      <c r="N247" s="0">
        <v>2</v>
      </c>
      <c r="P247" s="0" t="s">
        <v>476</v>
      </c>
      <c r="T247" s="0" t="str">
        <f>_xlfn.TEXTJOIN("_",TRUE,C247,"node_eff",D247,M247,N247)</f>
        <v>s1_node_eff_economy_30_2</v>
      </c>
    </row>
    <row r="248" spans="1:20" x14ac:dyDescent="0.45">
      <c r="A248" s="0" t="str">
        <f>_xlfn.TEXTJOIN("_",TRUE,C248,"node",D248,M248,N248)</f>
        <v>s1_node_economy_30_6</v>
      </c>
      <c r="B248" s="0" t="s">
        <v>0</v>
      </c>
      <c r="C248" s="0" t="s">
        <v>26</v>
      </c>
      <c r="D248" s="0" t="s">
        <v>103</v>
      </c>
      <c r="E248" s="0" t="str">
        <f>"s1_node_"&amp;D248&amp;"_name"</f>
        <v>s1_node_economy_name</v>
      </c>
      <c r="F248" s="13" t="str">
        <f>"s1_node_"&amp;D248&amp;"_desc"</f>
        <v>s1_node_economy_desc</v>
      </c>
      <c r="G248" s="0" t="s">
        <v>422</v>
      </c>
      <c r="H248" s="0">
        <v>2</v>
      </c>
      <c r="I248" s="0" t="s">
        <v>27</v>
      </c>
      <c r="J248" s="0" t="s">
        <v>475</v>
      </c>
      <c r="K248" s="0">
        <v>1150</v>
      </c>
      <c r="L248" s="13">
        <v>3</v>
      </c>
      <c r="M248" s="0">
        <v>30</v>
      </c>
      <c r="N248" s="0">
        <v>6</v>
      </c>
      <c r="P248" s="0" t="s">
        <v>477</v>
      </c>
      <c r="T248" s="0" t="str">
        <f>_xlfn.TEXTJOIN("_",TRUE,C248,"node_eff",D248,M248,N248)</f>
        <v>s1_node_eff_economy_30_6</v>
      </c>
    </row>
    <row r="249" spans="1:20" x14ac:dyDescent="0.45">
      <c r="A249" s="0" t="str">
        <f>_xlfn.TEXTJOIN("_",TRUE,C249,"node",D249,M249,N249)</f>
        <v>s1_node_economy_31_4</v>
      </c>
      <c r="B249" s="0" t="s">
        <v>0</v>
      </c>
      <c r="C249" s="0" t="s">
        <v>26</v>
      </c>
      <c r="D249" s="0" t="s">
        <v>103</v>
      </c>
      <c r="E249" s="0" t="str">
        <f>"s1_node_"&amp;D249&amp;"_name"</f>
        <v>s1_node_economy_name</v>
      </c>
      <c r="F249" s="13" t="str">
        <f>"s1_node_"&amp;D249&amp;"_desc"</f>
        <v>s1_node_economy_desc</v>
      </c>
      <c r="G249" s="0" t="s">
        <v>419</v>
      </c>
      <c r="H249" s="0">
        <v>2</v>
      </c>
      <c r="I249" s="0" t="s">
        <v>27</v>
      </c>
      <c r="J249" s="0" t="s">
        <v>478</v>
      </c>
      <c r="K249" s="0">
        <v>1180</v>
      </c>
      <c r="L249" s="13">
        <v>3</v>
      </c>
      <c r="M249" s="0">
        <v>31</v>
      </c>
      <c r="N249" s="0">
        <v>4</v>
      </c>
      <c r="P249" s="0" t="s">
        <v>479</v>
      </c>
      <c r="T249" s="0" t="str">
        <f>_xlfn.TEXTJOIN("_",TRUE,C249,"node_eff",D249,M249,N249)</f>
        <v>s1_node_eff_economy_31_4</v>
      </c>
    </row>
    <row r="250" spans="1:20" x14ac:dyDescent="0.45">
      <c r="A250" s="0" t="str">
        <f>_xlfn.TEXTJOIN("_",TRUE,C250,"node",D250,M250,N250)</f>
        <v>s1_node_economy_32_2</v>
      </c>
      <c r="B250" s="0" t="s">
        <v>0</v>
      </c>
      <c r="C250" s="0" t="s">
        <v>26</v>
      </c>
      <c r="D250" s="0" t="s">
        <v>103</v>
      </c>
      <c r="E250" s="0" t="str">
        <f>"s1_node_"&amp;D250&amp;"_name"</f>
        <v>s1_node_economy_name</v>
      </c>
      <c r="F250" s="13" t="str">
        <f>"s1_node_"&amp;D250&amp;"_desc"</f>
        <v>s1_node_economy_desc</v>
      </c>
      <c r="G250" s="0" t="s">
        <v>419</v>
      </c>
      <c r="H250" s="0">
        <v>2</v>
      </c>
      <c r="I250" s="0" t="s">
        <v>27</v>
      </c>
      <c r="J250" s="0" t="s">
        <v>480</v>
      </c>
      <c r="K250" s="0">
        <v>1220</v>
      </c>
      <c r="L250" s="13">
        <v>3</v>
      </c>
      <c r="M250" s="0">
        <v>32</v>
      </c>
      <c r="N250" s="0">
        <v>2</v>
      </c>
      <c r="T250" s="0" t="str">
        <f>_xlfn.TEXTJOIN("_",TRUE,C250,"node_eff",D250,M250,N250)</f>
        <v>s1_node_eff_economy_32_2</v>
      </c>
    </row>
    <row r="251" spans="1:20" x14ac:dyDescent="0.45">
      <c r="A251" s="0" t="str">
        <f>_xlfn.TEXTJOIN("_",TRUE,C251,"node",D251,M251,N251)</f>
        <v>s1_node_economy_32_4</v>
      </c>
      <c r="B251" s="0" t="s">
        <v>0</v>
      </c>
      <c r="C251" s="0" t="s">
        <v>26</v>
      </c>
      <c r="D251" s="0" t="s">
        <v>103</v>
      </c>
      <c r="E251" s="0" t="str">
        <f>"s1_node_"&amp;D251&amp;"_name"</f>
        <v>s1_node_economy_name</v>
      </c>
      <c r="F251" s="13" t="str">
        <f>"s1_node_"&amp;D251&amp;"_desc"</f>
        <v>s1_node_economy_desc</v>
      </c>
      <c r="G251" s="0" t="s">
        <v>419</v>
      </c>
      <c r="H251" s="0">
        <v>2</v>
      </c>
      <c r="I251" s="0" t="s">
        <v>27</v>
      </c>
      <c r="J251" s="0" t="s">
        <v>480</v>
      </c>
      <c r="K251" s="0">
        <v>1220</v>
      </c>
      <c r="L251" s="13">
        <v>3</v>
      </c>
      <c r="M251" s="0">
        <v>32</v>
      </c>
      <c r="N251" s="0">
        <v>4</v>
      </c>
      <c r="T251" s="0" t="str">
        <f>_xlfn.TEXTJOIN("_",TRUE,C251,"node_eff",D251,M251,N251)</f>
        <v>s1_node_eff_economy_32_4</v>
      </c>
    </row>
    <row r="252" spans="1:20" x14ac:dyDescent="0.45">
      <c r="A252" s="0" t="str">
        <f>_xlfn.TEXTJOIN("_",TRUE,C252,"node",D252,M252,N252)</f>
        <v>s1_node_economy_32_6</v>
      </c>
      <c r="B252" s="0" t="s">
        <v>0</v>
      </c>
      <c r="C252" s="0" t="s">
        <v>26</v>
      </c>
      <c r="D252" s="0" t="s">
        <v>103</v>
      </c>
      <c r="E252" s="0" t="str">
        <f>"s1_node_"&amp;D252&amp;"_name"</f>
        <v>s1_node_economy_name</v>
      </c>
      <c r="F252" s="13" t="str">
        <f>"s1_node_"&amp;D252&amp;"_desc"</f>
        <v>s1_node_economy_desc</v>
      </c>
      <c r="G252" s="0" t="s">
        <v>419</v>
      </c>
      <c r="H252" s="0">
        <v>2</v>
      </c>
      <c r="I252" s="0" t="s">
        <v>27</v>
      </c>
      <c r="J252" s="0" t="s">
        <v>480</v>
      </c>
      <c r="K252" s="0">
        <v>1220</v>
      </c>
      <c r="L252" s="13">
        <v>3</v>
      </c>
      <c r="M252" s="0">
        <v>32</v>
      </c>
      <c r="N252" s="0">
        <v>6</v>
      </c>
      <c r="T252" s="0" t="str">
        <f>_xlfn.TEXTJOIN("_",TRUE,C252,"node_eff",D252,M252,N252)</f>
        <v>s1_node_eff_economy_32_6</v>
      </c>
    </row>
    <row r="253" spans="1:20" x14ac:dyDescent="0.45">
      <c r="A253" s="0" t="str">
        <f>_xlfn.TEXTJOIN("_",TRUE,C253,"node",D253,M253,N253)</f>
        <v>s1_node_economy_33_2</v>
      </c>
      <c r="B253" s="0" t="s">
        <v>0</v>
      </c>
      <c r="C253" s="0" t="s">
        <v>26</v>
      </c>
      <c r="D253" s="0" t="s">
        <v>103</v>
      </c>
      <c r="E253" s="0" t="str">
        <f>"s1_node_"&amp;D253&amp;"_name"</f>
        <v>s1_node_economy_name</v>
      </c>
      <c r="F253" s="13" t="str">
        <f>"s1_node_"&amp;D253&amp;"_desc"</f>
        <v>s1_node_economy_desc</v>
      </c>
      <c r="G253" s="0" t="s">
        <v>419</v>
      </c>
      <c r="H253" s="0">
        <v>2</v>
      </c>
      <c r="I253" s="0" t="s">
        <v>27</v>
      </c>
      <c r="J253" s="0" t="s">
        <v>481</v>
      </c>
      <c r="K253" s="0">
        <v>1250</v>
      </c>
      <c r="L253" s="13">
        <v>3</v>
      </c>
      <c r="M253" s="0">
        <v>33</v>
      </c>
      <c r="N253" s="0">
        <v>2</v>
      </c>
      <c r="P253" s="0" t="s">
        <v>482</v>
      </c>
      <c r="T253" s="0" t="str">
        <f>_xlfn.TEXTJOIN("_",TRUE,C253,"node_eff",D253,M253,N253)</f>
        <v>s1_node_eff_economy_33_2</v>
      </c>
    </row>
    <row r="254" spans="1:20" x14ac:dyDescent="0.45">
      <c r="A254" s="0" t="str">
        <f>_xlfn.TEXTJOIN("_",TRUE,C254,"node",D254,M254,N254)</f>
        <v>s1_node_economy_33_6</v>
      </c>
      <c r="B254" s="0" t="s">
        <v>0</v>
      </c>
      <c r="C254" s="0" t="s">
        <v>26</v>
      </c>
      <c r="D254" s="0" t="s">
        <v>103</v>
      </c>
      <c r="E254" s="0" t="str">
        <f>"s1_node_"&amp;D254&amp;"_name"</f>
        <v>s1_node_economy_name</v>
      </c>
      <c r="F254" s="13" t="str">
        <f>"s1_node_"&amp;D254&amp;"_desc"</f>
        <v>s1_node_economy_desc</v>
      </c>
      <c r="G254" s="0" t="s">
        <v>422</v>
      </c>
      <c r="H254" s="0">
        <v>2</v>
      </c>
      <c r="I254" s="0" t="s">
        <v>27</v>
      </c>
      <c r="J254" s="0" t="s">
        <v>481</v>
      </c>
      <c r="K254" s="0">
        <v>1250</v>
      </c>
      <c r="L254" s="13">
        <v>3</v>
      </c>
      <c r="M254" s="0">
        <v>33</v>
      </c>
      <c r="N254" s="0">
        <v>6</v>
      </c>
      <c r="P254" s="0" t="s">
        <v>483</v>
      </c>
      <c r="T254" s="0" t="str">
        <f>_xlfn.TEXTJOIN("_",TRUE,C254,"node_eff",D254,M254,N254)</f>
        <v>s1_node_eff_economy_33_6</v>
      </c>
    </row>
    <row r="255" spans="1:20" x14ac:dyDescent="0.45">
      <c r="A255" s="0" t="str">
        <f>_xlfn.TEXTJOIN("_",TRUE,C255,"node",D255,M255,N255)</f>
        <v>s1_node_economy_34_2</v>
      </c>
      <c r="B255" s="0" t="s">
        <v>0</v>
      </c>
      <c r="C255" s="0" t="s">
        <v>26</v>
      </c>
      <c r="D255" s="0" t="s">
        <v>103</v>
      </c>
      <c r="E255" s="0" t="str">
        <f>"s1_node_"&amp;D255&amp;"_name"</f>
        <v>s1_node_economy_name</v>
      </c>
      <c r="F255" s="13" t="str">
        <f>"s1_node_"&amp;D255&amp;"_desc"</f>
        <v>s1_node_economy_desc</v>
      </c>
      <c r="G255" s="0" t="s">
        <v>419</v>
      </c>
      <c r="H255" s="0">
        <v>2</v>
      </c>
      <c r="I255" s="0" t="s">
        <v>27</v>
      </c>
      <c r="J255" s="0" t="s">
        <v>484</v>
      </c>
      <c r="K255" s="0">
        <v>1290</v>
      </c>
      <c r="L255" s="13">
        <v>3</v>
      </c>
      <c r="M255" s="0">
        <v>34</v>
      </c>
      <c r="N255" s="0">
        <v>2</v>
      </c>
      <c r="T255" s="0" t="str">
        <f>_xlfn.TEXTJOIN("_",TRUE,C255,"node_eff",D255,M255,N255)</f>
        <v>s1_node_eff_economy_34_2</v>
      </c>
    </row>
    <row r="256" spans="1:20" x14ac:dyDescent="0.45">
      <c r="A256" s="0" t="str">
        <f>_xlfn.TEXTJOIN("_",TRUE,C256,"node",D256,M256,N256)</f>
        <v>s1_node_economy_34_4</v>
      </c>
      <c r="B256" s="0" t="s">
        <v>0</v>
      </c>
      <c r="C256" s="0" t="s">
        <v>26</v>
      </c>
      <c r="D256" s="0" t="s">
        <v>103</v>
      </c>
      <c r="E256" s="0" t="str">
        <f>"s1_node_"&amp;D256&amp;"_name"</f>
        <v>s1_node_economy_name</v>
      </c>
      <c r="F256" s="13" t="str">
        <f>"s1_node_"&amp;D256&amp;"_desc"</f>
        <v>s1_node_economy_desc</v>
      </c>
      <c r="G256" s="0" t="s">
        <v>419</v>
      </c>
      <c r="H256" s="0">
        <v>2</v>
      </c>
      <c r="I256" s="0" t="s">
        <v>27</v>
      </c>
      <c r="J256" s="0" t="s">
        <v>484</v>
      </c>
      <c r="K256" s="0">
        <v>1290</v>
      </c>
      <c r="L256" s="13">
        <v>3</v>
      </c>
      <c r="M256" s="0">
        <v>34</v>
      </c>
      <c r="N256" s="0">
        <v>4</v>
      </c>
      <c r="P256" s="0" t="s">
        <v>485</v>
      </c>
      <c r="T256" s="0" t="str">
        <f>_xlfn.TEXTJOIN("_",TRUE,C256,"node_eff",D256,M256,N256)</f>
        <v>s1_node_eff_economy_34_4</v>
      </c>
    </row>
    <row r="257" spans="1:20" x14ac:dyDescent="0.45">
      <c r="A257" s="0" t="str">
        <f>_xlfn.TEXTJOIN("_",TRUE,C257,"node",D257,M257,N257)</f>
        <v>s1_node_economy_34_6</v>
      </c>
      <c r="B257" s="0" t="s">
        <v>0</v>
      </c>
      <c r="C257" s="0" t="s">
        <v>26</v>
      </c>
      <c r="D257" s="0" t="s">
        <v>103</v>
      </c>
      <c r="E257" s="0" t="str">
        <f>"s1_node_"&amp;D257&amp;"_name"</f>
        <v>s1_node_economy_name</v>
      </c>
      <c r="F257" s="13" t="str">
        <f>"s1_node_"&amp;D257&amp;"_desc"</f>
        <v>s1_node_economy_desc</v>
      </c>
      <c r="G257" s="0" t="s">
        <v>419</v>
      </c>
      <c r="H257" s="0">
        <v>2</v>
      </c>
      <c r="I257" s="0" t="s">
        <v>27</v>
      </c>
      <c r="J257" s="0" t="s">
        <v>484</v>
      </c>
      <c r="K257" s="0">
        <v>1290</v>
      </c>
      <c r="L257" s="13">
        <v>3</v>
      </c>
      <c r="M257" s="0">
        <v>34</v>
      </c>
      <c r="N257" s="0">
        <v>6</v>
      </c>
      <c r="T257" s="0" t="str">
        <f>_xlfn.TEXTJOIN("_",TRUE,C257,"node_eff",D257,M257,N257)</f>
        <v>s1_node_eff_economy_34_6</v>
      </c>
    </row>
    <row r="258" spans="1:20" x14ac:dyDescent="0.45">
      <c r="A258" s="0" t="str">
        <f>_xlfn.TEXTJOIN("_",TRUE,C258,"node",D258,M258,N258)</f>
        <v>s1_node_economy_35_2</v>
      </c>
      <c r="B258" s="0" t="s">
        <v>0</v>
      </c>
      <c r="C258" s="0" t="s">
        <v>26</v>
      </c>
      <c r="D258" s="0" t="s">
        <v>103</v>
      </c>
      <c r="E258" s="0" t="str">
        <f>"s1_node_"&amp;D258&amp;"_name"</f>
        <v>s1_node_economy_name</v>
      </c>
      <c r="F258" s="13" t="str">
        <f>"s1_node_"&amp;D258&amp;"_desc"</f>
        <v>s1_node_economy_desc</v>
      </c>
      <c r="G258" s="0" t="s">
        <v>419</v>
      </c>
      <c r="H258" s="0">
        <v>2</v>
      </c>
      <c r="I258" s="0" t="s">
        <v>27</v>
      </c>
      <c r="J258" s="0" t="s">
        <v>240</v>
      </c>
      <c r="K258" s="0">
        <v>1330</v>
      </c>
      <c r="L258" s="13">
        <v>3</v>
      </c>
      <c r="M258" s="0">
        <v>35</v>
      </c>
      <c r="N258" s="0">
        <v>2</v>
      </c>
      <c r="P258" s="0" t="s">
        <v>486</v>
      </c>
      <c r="T258" s="0" t="str">
        <f>_xlfn.TEXTJOIN("_",TRUE,C258,"node_eff",D258,M258,N258)</f>
        <v>s1_node_eff_economy_35_2</v>
      </c>
    </row>
    <row r="259" spans="1:20" x14ac:dyDescent="0.45">
      <c r="A259" s="0" t="str">
        <f>_xlfn.TEXTJOIN("_",TRUE,C259,"node",D259,M259,N259)</f>
        <v>s1_node_economy_35_6</v>
      </c>
      <c r="B259" s="0" t="s">
        <v>0</v>
      </c>
      <c r="C259" s="0" t="s">
        <v>26</v>
      </c>
      <c r="D259" s="0" t="s">
        <v>103</v>
      </c>
      <c r="E259" s="0" t="str">
        <f>"s1_node_"&amp;D259&amp;"_name"</f>
        <v>s1_node_economy_name</v>
      </c>
      <c r="F259" s="13" t="str">
        <f>"s1_node_"&amp;D259&amp;"_desc"</f>
        <v>s1_node_economy_desc</v>
      </c>
      <c r="G259" s="0" t="s">
        <v>419</v>
      </c>
      <c r="H259" s="0">
        <v>2</v>
      </c>
      <c r="I259" s="0" t="s">
        <v>27</v>
      </c>
      <c r="J259" s="0" t="s">
        <v>240</v>
      </c>
      <c r="K259" s="0">
        <v>1330</v>
      </c>
      <c r="L259" s="13">
        <v>3</v>
      </c>
      <c r="M259" s="0">
        <v>35</v>
      </c>
      <c r="N259" s="0">
        <v>6</v>
      </c>
      <c r="P259" s="0" t="s">
        <v>487</v>
      </c>
      <c r="T259" s="0" t="str">
        <f>_xlfn.TEXTJOIN("_",TRUE,C259,"node_eff",D259,M259,N259)</f>
        <v>s1_node_eff_economy_35_6</v>
      </c>
    </row>
    <row r="260" spans="1:20" x14ac:dyDescent="0.45">
      <c r="A260" s="0" t="str">
        <f>_xlfn.TEXTJOIN("_",TRUE,C260,"node",D260,M260,N260)</f>
        <v>s1_node_economy_36_4</v>
      </c>
      <c r="B260" s="0" t="s">
        <v>0</v>
      </c>
      <c r="C260" s="0" t="s">
        <v>26</v>
      </c>
      <c r="D260" s="0" t="s">
        <v>103</v>
      </c>
      <c r="E260" s="0" t="str">
        <f>"s1_node_"&amp;D260&amp;"_name"</f>
        <v>s1_node_economy_name</v>
      </c>
      <c r="F260" s="13" t="str">
        <f>"s1_node_"&amp;D260&amp;"_desc"</f>
        <v>s1_node_economy_desc</v>
      </c>
      <c r="G260" s="0" t="s">
        <v>422</v>
      </c>
      <c r="H260" s="0">
        <v>2</v>
      </c>
      <c r="I260" s="0" t="s">
        <v>27</v>
      </c>
      <c r="J260" s="0" t="s">
        <v>488</v>
      </c>
      <c r="K260" s="0">
        <v>1360</v>
      </c>
      <c r="L260" s="13">
        <v>3</v>
      </c>
      <c r="M260" s="0">
        <v>36</v>
      </c>
      <c r="N260" s="0">
        <v>4</v>
      </c>
      <c r="P260" s="0" t="s">
        <v>489</v>
      </c>
      <c r="T260" s="0" t="str">
        <f>_xlfn.TEXTJOIN("_",TRUE,C260,"node_eff",D260,M260,N260)</f>
        <v>s1_node_eff_economy_36_4</v>
      </c>
    </row>
    <row r="261" spans="1:20" x14ac:dyDescent="0.45">
      <c r="A261" s="0" t="str">
        <f>_xlfn.TEXTJOIN("_",TRUE,C261,"node",D261,M261,N261)</f>
        <v>s1_node_economy_37_2</v>
      </c>
      <c r="B261" s="0" t="s">
        <v>0</v>
      </c>
      <c r="C261" s="0" t="s">
        <v>26</v>
      </c>
      <c r="D261" s="0" t="s">
        <v>103</v>
      </c>
      <c r="E261" s="0" t="str">
        <f>"s1_node_"&amp;D261&amp;"_name"</f>
        <v>s1_node_economy_name</v>
      </c>
      <c r="F261" s="13" t="str">
        <f>"s1_node_"&amp;D261&amp;"_desc"</f>
        <v>s1_node_economy_desc</v>
      </c>
      <c r="G261" s="0" t="s">
        <v>419</v>
      </c>
      <c r="H261" s="0">
        <v>2</v>
      </c>
      <c r="I261" s="0" t="s">
        <v>27</v>
      </c>
      <c r="J261" s="0" t="s">
        <v>245</v>
      </c>
      <c r="K261" s="0">
        <v>1400</v>
      </c>
      <c r="L261" s="13">
        <v>3</v>
      </c>
      <c r="M261" s="0">
        <v>37</v>
      </c>
      <c r="N261" s="0">
        <v>2</v>
      </c>
      <c r="T261" s="0" t="str">
        <f>_xlfn.TEXTJOIN("_",TRUE,C261,"node_eff",D261,M261,N261)</f>
        <v>s1_node_eff_economy_37_2</v>
      </c>
    </row>
    <row r="262" spans="1:20" x14ac:dyDescent="0.45">
      <c r="A262" s="0" t="str">
        <f>_xlfn.TEXTJOIN("_",TRUE,C262,"node",D262,M262,N262)</f>
        <v>s1_node_economy_37_4</v>
      </c>
      <c r="B262" s="0" t="s">
        <v>0</v>
      </c>
      <c r="C262" s="0" t="s">
        <v>26</v>
      </c>
      <c r="D262" s="0" t="s">
        <v>103</v>
      </c>
      <c r="E262" s="0" t="str">
        <f>"s1_node_"&amp;D262&amp;"_name"</f>
        <v>s1_node_economy_name</v>
      </c>
      <c r="F262" s="13" t="str">
        <f>"s1_node_"&amp;D262&amp;"_desc"</f>
        <v>s1_node_economy_desc</v>
      </c>
      <c r="G262" s="0" t="s">
        <v>419</v>
      </c>
      <c r="H262" s="0">
        <v>2</v>
      </c>
      <c r="I262" s="0" t="s">
        <v>27</v>
      </c>
      <c r="J262" s="0" t="s">
        <v>245</v>
      </c>
      <c r="K262" s="0">
        <v>1400</v>
      </c>
      <c r="L262" s="13">
        <v>3</v>
      </c>
      <c r="M262" s="0">
        <v>37</v>
      </c>
      <c r="N262" s="0">
        <v>4</v>
      </c>
      <c r="T262" s="0" t="str">
        <f>_xlfn.TEXTJOIN("_",TRUE,C262,"node_eff",D262,M262,N262)</f>
        <v>s1_node_eff_economy_37_4</v>
      </c>
    </row>
    <row r="263" spans="1:20" x14ac:dyDescent="0.45">
      <c r="A263" s="0" t="str">
        <f>_xlfn.TEXTJOIN("_",TRUE,C263,"node",D263,M263,N263)</f>
        <v>s1_node_economy_37_6</v>
      </c>
      <c r="B263" s="0" t="s">
        <v>0</v>
      </c>
      <c r="C263" s="0" t="s">
        <v>26</v>
      </c>
      <c r="D263" s="0" t="s">
        <v>103</v>
      </c>
      <c r="E263" s="0" t="str">
        <f>"s1_node_"&amp;D263&amp;"_name"</f>
        <v>s1_node_economy_name</v>
      </c>
      <c r="F263" s="13" t="str">
        <f>"s1_node_"&amp;D263&amp;"_desc"</f>
        <v>s1_node_economy_desc</v>
      </c>
      <c r="G263" s="0" t="s">
        <v>419</v>
      </c>
      <c r="H263" s="0">
        <v>2</v>
      </c>
      <c r="I263" s="0" t="s">
        <v>27</v>
      </c>
      <c r="J263" s="0" t="s">
        <v>245</v>
      </c>
      <c r="K263" s="0">
        <v>1400</v>
      </c>
      <c r="L263" s="13">
        <v>3</v>
      </c>
      <c r="M263" s="0">
        <v>37</v>
      </c>
      <c r="N263" s="0">
        <v>6</v>
      </c>
      <c r="T263" s="0" t="str">
        <f>_xlfn.TEXTJOIN("_",TRUE,C263,"node_eff",D263,M263,N263)</f>
        <v>s1_node_eff_economy_37_6</v>
      </c>
    </row>
    <row r="264" spans="1:20" x14ac:dyDescent="0.45">
      <c r="A264" s="0" t="str">
        <f>_xlfn.TEXTJOIN("_",TRUE,C264,"node",D264,M264,N264)</f>
        <v>s1_node_economy_38_2</v>
      </c>
      <c r="B264" s="0" t="s">
        <v>0</v>
      </c>
      <c r="C264" s="0" t="s">
        <v>26</v>
      </c>
      <c r="D264" s="0" t="s">
        <v>103</v>
      </c>
      <c r="E264" s="0" t="str">
        <f>"s1_node_"&amp;D264&amp;"_name"</f>
        <v>s1_node_economy_name</v>
      </c>
      <c r="F264" s="13" t="str">
        <f>"s1_node_"&amp;D264&amp;"_desc"</f>
        <v>s1_node_economy_desc</v>
      </c>
      <c r="G264" s="0" t="s">
        <v>419</v>
      </c>
      <c r="H264" s="0">
        <v>2</v>
      </c>
      <c r="I264" s="0" t="s">
        <v>27</v>
      </c>
      <c r="J264" s="0" t="s">
        <v>490</v>
      </c>
      <c r="K264" s="0">
        <v>1430</v>
      </c>
      <c r="L264" s="13">
        <v>3</v>
      </c>
      <c r="M264" s="0">
        <v>38</v>
      </c>
      <c r="N264" s="0">
        <v>2</v>
      </c>
      <c r="P264" s="0" t="s">
        <v>491</v>
      </c>
      <c r="T264" s="0" t="str">
        <f>_xlfn.TEXTJOIN("_",TRUE,C264,"node_eff",D264,M264,N264)</f>
        <v>s1_node_eff_economy_38_2</v>
      </c>
    </row>
    <row r="265" spans="1:20" x14ac:dyDescent="0.45">
      <c r="A265" s="0" t="str">
        <f>_xlfn.TEXTJOIN("_",TRUE,C265,"node",D265,M265,N265)</f>
        <v>s1_node_economy_38_6</v>
      </c>
      <c r="B265" s="0" t="s">
        <v>0</v>
      </c>
      <c r="C265" s="0" t="s">
        <v>26</v>
      </c>
      <c r="D265" s="0" t="s">
        <v>103</v>
      </c>
      <c r="E265" s="0" t="str">
        <f>"s1_node_"&amp;D265&amp;"_name"</f>
        <v>s1_node_economy_name</v>
      </c>
      <c r="F265" s="13" t="str">
        <f>"s1_node_"&amp;D265&amp;"_desc"</f>
        <v>s1_node_economy_desc</v>
      </c>
      <c r="G265" s="0" t="s">
        <v>419</v>
      </c>
      <c r="H265" s="0">
        <v>2</v>
      </c>
      <c r="I265" s="0" t="s">
        <v>27</v>
      </c>
      <c r="J265" s="0" t="s">
        <v>490</v>
      </c>
      <c r="K265" s="0">
        <v>1430</v>
      </c>
      <c r="L265" s="13">
        <v>3</v>
      </c>
      <c r="M265" s="0">
        <v>38</v>
      </c>
      <c r="N265" s="0">
        <v>6</v>
      </c>
      <c r="P265" s="0" t="s">
        <v>492</v>
      </c>
      <c r="T265" s="0" t="str">
        <f>_xlfn.TEXTJOIN("_",TRUE,C265,"node_eff",D265,M265,N265)</f>
        <v>s1_node_eff_economy_38_6</v>
      </c>
    </row>
    <row r="266" spans="1:20" x14ac:dyDescent="0.45">
      <c r="A266" s="0" t="str">
        <f>_xlfn.TEXTJOIN("_",TRUE,C266,"node",D266,M266,N266)</f>
        <v>s1_node_economy_39_2</v>
      </c>
      <c r="B266" s="0" t="s">
        <v>0</v>
      </c>
      <c r="C266" s="0" t="s">
        <v>26</v>
      </c>
      <c r="D266" s="0" t="s">
        <v>103</v>
      </c>
      <c r="E266" s="0" t="str">
        <f>"s1_node_"&amp;D266&amp;"_name"</f>
        <v>s1_node_economy_name</v>
      </c>
      <c r="F266" s="13" t="str">
        <f>"s1_node_"&amp;D266&amp;"_desc"</f>
        <v>s1_node_economy_desc</v>
      </c>
      <c r="G266" s="0" t="s">
        <v>422</v>
      </c>
      <c r="H266" s="0">
        <v>2</v>
      </c>
      <c r="I266" s="0" t="s">
        <v>27</v>
      </c>
      <c r="J266" s="0" t="s">
        <v>251</v>
      </c>
      <c r="K266" s="0">
        <v>1470</v>
      </c>
      <c r="L266" s="13">
        <v>3</v>
      </c>
      <c r="M266" s="0">
        <v>39</v>
      </c>
      <c r="N266" s="0">
        <v>2</v>
      </c>
      <c r="T266" s="0" t="str">
        <f>_xlfn.TEXTJOIN("_",TRUE,C266,"node_eff",D266,M266,N266)</f>
        <v>s1_node_eff_economy_39_2</v>
      </c>
    </row>
    <row r="267" spans="1:20" x14ac:dyDescent="0.45">
      <c r="A267" s="0" t="str">
        <f>_xlfn.TEXTJOIN("_",TRUE,C267,"node",D267,M267,N267)</f>
        <v>s1_node_economy_39_4</v>
      </c>
      <c r="B267" s="0" t="s">
        <v>0</v>
      </c>
      <c r="C267" s="0" t="s">
        <v>26</v>
      </c>
      <c r="D267" s="0" t="s">
        <v>103</v>
      </c>
      <c r="E267" s="0" t="str">
        <f>"s1_node_"&amp;D267&amp;"_name"</f>
        <v>s1_node_economy_name</v>
      </c>
      <c r="F267" s="13" t="str">
        <f>"s1_node_"&amp;D267&amp;"_desc"</f>
        <v>s1_node_economy_desc</v>
      </c>
      <c r="G267" s="0" t="s">
        <v>419</v>
      </c>
      <c r="H267" s="0">
        <v>2</v>
      </c>
      <c r="I267" s="0" t="s">
        <v>27</v>
      </c>
      <c r="J267" s="0" t="s">
        <v>251</v>
      </c>
      <c r="K267" s="0">
        <v>1470</v>
      </c>
      <c r="L267" s="13">
        <v>3</v>
      </c>
      <c r="M267" s="0">
        <v>39</v>
      </c>
      <c r="N267" s="0">
        <v>4</v>
      </c>
      <c r="P267" s="0" t="s">
        <v>493</v>
      </c>
      <c r="T267" s="0" t="str">
        <f>_xlfn.TEXTJOIN("_",TRUE,C267,"node_eff",D267,M267,N267)</f>
        <v>s1_node_eff_economy_39_4</v>
      </c>
    </row>
    <row r="268" spans="1:20" x14ac:dyDescent="0.45">
      <c r="A268" s="0" t="str">
        <f>_xlfn.TEXTJOIN("_",TRUE,C268,"node",D268,M268,N268)</f>
        <v>s1_node_economy_39_6</v>
      </c>
      <c r="B268" s="0" t="s">
        <v>0</v>
      </c>
      <c r="C268" s="0" t="s">
        <v>26</v>
      </c>
      <c r="D268" s="0" t="s">
        <v>103</v>
      </c>
      <c r="E268" s="0" t="str">
        <f>"s1_node_"&amp;D268&amp;"_name"</f>
        <v>s1_node_economy_name</v>
      </c>
      <c r="F268" s="13" t="str">
        <f>"s1_node_"&amp;D268&amp;"_desc"</f>
        <v>s1_node_economy_desc</v>
      </c>
      <c r="G268" s="0" t="s">
        <v>419</v>
      </c>
      <c r="H268" s="0">
        <v>2</v>
      </c>
      <c r="I268" s="0" t="s">
        <v>27</v>
      </c>
      <c r="J268" s="0" t="s">
        <v>251</v>
      </c>
      <c r="K268" s="0">
        <v>1470</v>
      </c>
      <c r="L268" s="13">
        <v>3</v>
      </c>
      <c r="M268" s="0">
        <v>39</v>
      </c>
      <c r="N268" s="0">
        <v>6</v>
      </c>
      <c r="T268" s="0" t="str">
        <f>_xlfn.TEXTJOIN("_",TRUE,C268,"node_eff",D268,M268,N268)</f>
        <v>s1_node_eff_economy_39_6</v>
      </c>
    </row>
    <row r="269" spans="1:20" x14ac:dyDescent="0.45">
      <c r="A269" s="0" t="str">
        <f>_xlfn.TEXTJOIN("_",TRUE,C269,"node",D269,M269,N269)</f>
        <v>s1_node_economy_40_2</v>
      </c>
      <c r="B269" s="0" t="s">
        <v>0</v>
      </c>
      <c r="C269" s="0" t="s">
        <v>26</v>
      </c>
      <c r="D269" s="0" t="s">
        <v>103</v>
      </c>
      <c r="E269" s="0" t="str">
        <f>"s1_node_"&amp;D269&amp;"_name"</f>
        <v>s1_node_economy_name</v>
      </c>
      <c r="F269" s="13" t="str">
        <f>"s1_node_"&amp;D269&amp;"_desc"</f>
        <v>s1_node_economy_desc</v>
      </c>
      <c r="G269" s="0" t="s">
        <v>419</v>
      </c>
      <c r="H269" s="0">
        <v>2</v>
      </c>
      <c r="I269" s="0" t="s">
        <v>27</v>
      </c>
      <c r="J269" s="0" t="s">
        <v>254</v>
      </c>
      <c r="K269" s="0">
        <v>1510</v>
      </c>
      <c r="L269" s="13">
        <v>3</v>
      </c>
      <c r="M269" s="0">
        <v>40</v>
      </c>
      <c r="N269" s="0">
        <v>2</v>
      </c>
      <c r="P269" s="0" t="s">
        <v>494</v>
      </c>
      <c r="T269" s="0" t="str">
        <f>_xlfn.TEXTJOIN("_",TRUE,C269,"node_eff",D269,M269,N269)</f>
        <v>s1_node_eff_economy_40_2</v>
      </c>
    </row>
    <row r="270" spans="1:20" x14ac:dyDescent="0.45">
      <c r="A270" s="0" t="str">
        <f>_xlfn.TEXTJOIN("_",TRUE,C270,"node",D270,M270,N270)</f>
        <v>s1_node_economy_40_6</v>
      </c>
      <c r="B270" s="0" t="s">
        <v>0</v>
      </c>
      <c r="C270" s="0" t="s">
        <v>26</v>
      </c>
      <c r="D270" s="0" t="s">
        <v>103</v>
      </c>
      <c r="E270" s="0" t="str">
        <f>"s1_node_"&amp;D270&amp;"_name"</f>
        <v>s1_node_economy_name</v>
      </c>
      <c r="F270" s="13" t="str">
        <f>"s1_node_"&amp;D270&amp;"_desc"</f>
        <v>s1_node_economy_desc</v>
      </c>
      <c r="G270" s="0" t="s">
        <v>419</v>
      </c>
      <c r="H270" s="0">
        <v>2</v>
      </c>
      <c r="I270" s="0" t="s">
        <v>27</v>
      </c>
      <c r="J270" s="0" t="s">
        <v>254</v>
      </c>
      <c r="K270" s="0">
        <v>1510</v>
      </c>
      <c r="L270" s="13">
        <v>3</v>
      </c>
      <c r="M270" s="0">
        <v>40</v>
      </c>
      <c r="N270" s="0">
        <v>6</v>
      </c>
      <c r="P270" s="0" t="s">
        <v>495</v>
      </c>
      <c r="T270" s="0" t="str">
        <f>_xlfn.TEXTJOIN("_",TRUE,C270,"node_eff",D270,M270,N270)</f>
        <v>s1_node_eff_economy_40_6</v>
      </c>
    </row>
    <row r="271" spans="1:20" x14ac:dyDescent="0.45">
      <c r="A271" s="0" t="str">
        <f>_xlfn.TEXTJOIN("_",TRUE,C271,"node",D271,M271,N271)</f>
        <v>s1_node_economy_41_4</v>
      </c>
      <c r="B271" s="0" t="s">
        <v>0</v>
      </c>
      <c r="C271" s="0" t="s">
        <v>26</v>
      </c>
      <c r="D271" s="0" t="s">
        <v>103</v>
      </c>
      <c r="E271" s="0" t="str">
        <f>"s1_node_"&amp;D271&amp;"_name"</f>
        <v>s1_node_economy_name</v>
      </c>
      <c r="F271" s="13" t="str">
        <f>"s1_node_"&amp;D271&amp;"_desc"</f>
        <v>s1_node_economy_desc</v>
      </c>
      <c r="G271" s="0" t="s">
        <v>419</v>
      </c>
      <c r="H271" s="0">
        <v>3</v>
      </c>
      <c r="I271" s="0" t="s">
        <v>27</v>
      </c>
      <c r="J271" s="0" t="s">
        <v>256</v>
      </c>
      <c r="K271" s="0">
        <v>1540</v>
      </c>
      <c r="L271" s="13">
        <v>3</v>
      </c>
      <c r="M271" s="0">
        <v>41</v>
      </c>
      <c r="N271" s="0">
        <v>4</v>
      </c>
      <c r="P271" s="0" t="s">
        <v>496</v>
      </c>
      <c r="T271" s="0" t="str">
        <f>_xlfn.TEXTJOIN("_",TRUE,C271,"node_eff",D271,M271,N271)</f>
        <v>s1_node_eff_economy_41_4</v>
      </c>
    </row>
    <row r="272" spans="1:20" x14ac:dyDescent="0.45">
      <c r="A272" s="0" t="str">
        <f>_xlfn.TEXTJOIN("_",TRUE,C272,"node",D272,M272,N272)</f>
        <v>s1_node_economy_42_2</v>
      </c>
      <c r="B272" s="0" t="s">
        <v>0</v>
      </c>
      <c r="C272" s="0" t="s">
        <v>26</v>
      </c>
      <c r="D272" s="0" t="s">
        <v>103</v>
      </c>
      <c r="E272" s="0" t="str">
        <f>"s1_node_"&amp;D272&amp;"_name"</f>
        <v>s1_node_economy_name</v>
      </c>
      <c r="F272" s="13" t="str">
        <f>"s1_node_"&amp;D272&amp;"_desc"</f>
        <v>s1_node_economy_desc</v>
      </c>
      <c r="G272" s="0" t="s">
        <v>422</v>
      </c>
      <c r="H272" s="0">
        <v>3</v>
      </c>
      <c r="I272" s="0" t="s">
        <v>27</v>
      </c>
      <c r="J272" s="0" t="s">
        <v>497</v>
      </c>
      <c r="K272" s="0">
        <v>1580</v>
      </c>
      <c r="L272" s="13">
        <v>3</v>
      </c>
      <c r="M272" s="0">
        <v>42</v>
      </c>
      <c r="N272" s="0">
        <v>2</v>
      </c>
      <c r="T272" s="0" t="str">
        <f>_xlfn.TEXTJOIN("_",TRUE,C272,"node_eff",D272,M272,N272)</f>
        <v>s1_node_eff_economy_42_2</v>
      </c>
    </row>
    <row r="273" spans="1:20" x14ac:dyDescent="0.45">
      <c r="A273" s="0" t="str">
        <f>_xlfn.TEXTJOIN("_",TRUE,C273,"node",D273,M273,N273)</f>
        <v>s1_node_economy_42_4</v>
      </c>
      <c r="B273" s="0" t="s">
        <v>0</v>
      </c>
      <c r="C273" s="0" t="s">
        <v>26</v>
      </c>
      <c r="D273" s="0" t="s">
        <v>103</v>
      </c>
      <c r="E273" s="0" t="str">
        <f>"s1_node_"&amp;D273&amp;"_name"</f>
        <v>s1_node_economy_name</v>
      </c>
      <c r="F273" s="13" t="str">
        <f>"s1_node_"&amp;D273&amp;"_desc"</f>
        <v>s1_node_economy_desc</v>
      </c>
      <c r="G273" s="0" t="s">
        <v>419</v>
      </c>
      <c r="H273" s="0">
        <v>3</v>
      </c>
      <c r="I273" s="0" t="s">
        <v>27</v>
      </c>
      <c r="J273" s="0" t="s">
        <v>497</v>
      </c>
      <c r="K273" s="0">
        <v>1580</v>
      </c>
      <c r="L273" s="13">
        <v>3</v>
      </c>
      <c r="M273" s="0">
        <v>42</v>
      </c>
      <c r="N273" s="0">
        <v>4</v>
      </c>
      <c r="T273" s="0" t="str">
        <f>_xlfn.TEXTJOIN("_",TRUE,C273,"node_eff",D273,M273,N273)</f>
        <v>s1_node_eff_economy_42_4</v>
      </c>
    </row>
    <row r="274" spans="1:20" x14ac:dyDescent="0.45">
      <c r="A274" s="0" t="str">
        <f>_xlfn.TEXTJOIN("_",TRUE,C274,"node",D274,M274,N274)</f>
        <v>s1_node_economy_42_6</v>
      </c>
      <c r="B274" s="0" t="s">
        <v>0</v>
      </c>
      <c r="C274" s="0" t="s">
        <v>26</v>
      </c>
      <c r="D274" s="0" t="s">
        <v>103</v>
      </c>
      <c r="E274" s="0" t="str">
        <f>"s1_node_"&amp;D274&amp;"_name"</f>
        <v>s1_node_economy_name</v>
      </c>
      <c r="F274" s="13" t="str">
        <f>"s1_node_"&amp;D274&amp;"_desc"</f>
        <v>s1_node_economy_desc</v>
      </c>
      <c r="G274" s="0" t="s">
        <v>419</v>
      </c>
      <c r="H274" s="0">
        <v>3</v>
      </c>
      <c r="I274" s="0" t="s">
        <v>27</v>
      </c>
      <c r="J274" s="0" t="s">
        <v>497</v>
      </c>
      <c r="K274" s="0">
        <v>1580</v>
      </c>
      <c r="L274" s="13">
        <v>3</v>
      </c>
      <c r="M274" s="0">
        <v>42</v>
      </c>
      <c r="N274" s="0">
        <v>6</v>
      </c>
      <c r="T274" s="0" t="str">
        <f>_xlfn.TEXTJOIN("_",TRUE,C274,"node_eff",D274,M274,N274)</f>
        <v>s1_node_eff_economy_42_6</v>
      </c>
    </row>
    <row r="275" spans="1:20" x14ac:dyDescent="0.45">
      <c r="A275" s="0" t="str">
        <f>_xlfn.TEXTJOIN("_",TRUE,C275,"node",D275,M275,N275)</f>
        <v>s1_node_economy_43_2</v>
      </c>
      <c r="B275" s="0" t="s">
        <v>0</v>
      </c>
      <c r="C275" s="0" t="s">
        <v>26</v>
      </c>
      <c r="D275" s="0" t="s">
        <v>103</v>
      </c>
      <c r="E275" s="0" t="str">
        <f>"s1_node_"&amp;D275&amp;"_name"</f>
        <v>s1_node_economy_name</v>
      </c>
      <c r="F275" s="13" t="str">
        <f>"s1_node_"&amp;D275&amp;"_desc"</f>
        <v>s1_node_economy_desc</v>
      </c>
      <c r="G275" s="0" t="s">
        <v>419</v>
      </c>
      <c r="H275" s="0">
        <v>3</v>
      </c>
      <c r="I275" s="0" t="s">
        <v>27</v>
      </c>
      <c r="J275" s="0" t="s">
        <v>262</v>
      </c>
      <c r="K275" s="0">
        <v>1610</v>
      </c>
      <c r="L275" s="13">
        <v>3</v>
      </c>
      <c r="M275" s="0">
        <v>43</v>
      </c>
      <c r="N275" s="0">
        <v>2</v>
      </c>
      <c r="P275" s="0" t="s">
        <v>498</v>
      </c>
      <c r="T275" s="0" t="str">
        <f>_xlfn.TEXTJOIN("_",TRUE,C275,"node_eff",D275,M275,N275)</f>
        <v>s1_node_eff_economy_43_2</v>
      </c>
    </row>
    <row r="276" spans="1:20" x14ac:dyDescent="0.45">
      <c r="A276" s="0" t="str">
        <f>_xlfn.TEXTJOIN("_",TRUE,C276,"node",D276,M276,N276)</f>
        <v>s1_node_economy_43_6</v>
      </c>
      <c r="B276" s="0" t="s">
        <v>0</v>
      </c>
      <c r="C276" s="0" t="s">
        <v>26</v>
      </c>
      <c r="D276" s="0" t="s">
        <v>103</v>
      </c>
      <c r="E276" s="0" t="str">
        <f>"s1_node_"&amp;D276&amp;"_name"</f>
        <v>s1_node_economy_name</v>
      </c>
      <c r="F276" s="13" t="str">
        <f>"s1_node_"&amp;D276&amp;"_desc"</f>
        <v>s1_node_economy_desc</v>
      </c>
      <c r="G276" s="0" t="s">
        <v>419</v>
      </c>
      <c r="H276" s="0">
        <v>3</v>
      </c>
      <c r="I276" s="0" t="s">
        <v>27</v>
      </c>
      <c r="J276" s="0" t="s">
        <v>262</v>
      </c>
      <c r="K276" s="0">
        <v>1610</v>
      </c>
      <c r="L276" s="13">
        <v>3</v>
      </c>
      <c r="M276" s="0">
        <v>43</v>
      </c>
      <c r="N276" s="0">
        <v>6</v>
      </c>
      <c r="P276" s="0" t="s">
        <v>499</v>
      </c>
      <c r="T276" s="0" t="str">
        <f>_xlfn.TEXTJOIN("_",TRUE,C276,"node_eff",D276,M276,N276)</f>
        <v>s1_node_eff_economy_43_6</v>
      </c>
    </row>
    <row r="277" spans="1:20" x14ac:dyDescent="0.45">
      <c r="A277" s="0" t="str">
        <f>_xlfn.TEXTJOIN("_",TRUE,C277,"node",D277,M277,N277)</f>
        <v>s1_node_economy_44_2</v>
      </c>
      <c r="B277" s="0" t="s">
        <v>0</v>
      </c>
      <c r="C277" s="0" t="s">
        <v>26</v>
      </c>
      <c r="D277" s="0" t="s">
        <v>103</v>
      </c>
      <c r="E277" s="0" t="str">
        <f>"s1_node_"&amp;D277&amp;"_name"</f>
        <v>s1_node_economy_name</v>
      </c>
      <c r="F277" s="13" t="str">
        <f>"s1_node_"&amp;D277&amp;"_desc"</f>
        <v>s1_node_economy_desc</v>
      </c>
      <c r="G277" s="0" t="s">
        <v>419</v>
      </c>
      <c r="H277" s="0">
        <v>3</v>
      </c>
      <c r="I277" s="0" t="s">
        <v>27</v>
      </c>
      <c r="J277" s="0" t="s">
        <v>500</v>
      </c>
      <c r="K277" s="0">
        <v>1650</v>
      </c>
      <c r="L277" s="13">
        <v>3</v>
      </c>
      <c r="M277" s="0">
        <v>44</v>
      </c>
      <c r="N277" s="0">
        <v>2</v>
      </c>
      <c r="T277" s="0" t="str">
        <f>_xlfn.TEXTJOIN("_",TRUE,C277,"node_eff",D277,M277,N277)</f>
        <v>s1_node_eff_economy_44_2</v>
      </c>
    </row>
    <row r="278" spans="1:20" x14ac:dyDescent="0.45">
      <c r="A278" s="0" t="str">
        <f>_xlfn.TEXTJOIN("_",TRUE,C278,"node",D278,M278,N278)</f>
        <v>s1_node_economy_44_4</v>
      </c>
      <c r="B278" s="0" t="s">
        <v>0</v>
      </c>
      <c r="C278" s="0" t="s">
        <v>26</v>
      </c>
      <c r="D278" s="0" t="s">
        <v>103</v>
      </c>
      <c r="E278" s="0" t="str">
        <f>"s1_node_"&amp;D278&amp;"_name"</f>
        <v>s1_node_economy_name</v>
      </c>
      <c r="F278" s="13" t="str">
        <f>"s1_node_"&amp;D278&amp;"_desc"</f>
        <v>s1_node_economy_desc</v>
      </c>
      <c r="G278" s="0" t="s">
        <v>422</v>
      </c>
      <c r="H278" s="0">
        <v>3</v>
      </c>
      <c r="I278" s="0" t="s">
        <v>27</v>
      </c>
      <c r="J278" s="0" t="s">
        <v>500</v>
      </c>
      <c r="K278" s="0">
        <v>1650</v>
      </c>
      <c r="L278" s="13">
        <v>3</v>
      </c>
      <c r="M278" s="0">
        <v>44</v>
      </c>
      <c r="N278" s="0">
        <v>4</v>
      </c>
      <c r="P278" s="0" t="s">
        <v>501</v>
      </c>
      <c r="T278" s="0" t="str">
        <f>_xlfn.TEXTJOIN("_",TRUE,C278,"node_eff",D278,M278,N278)</f>
        <v>s1_node_eff_economy_44_4</v>
      </c>
    </row>
    <row r="279" spans="1:20" x14ac:dyDescent="0.45">
      <c r="A279" s="0" t="str">
        <f>_xlfn.TEXTJOIN("_",TRUE,C279,"node",D279,M279,N279)</f>
        <v>s1_node_economy_44_6</v>
      </c>
      <c r="B279" s="0" t="s">
        <v>0</v>
      </c>
      <c r="C279" s="0" t="s">
        <v>26</v>
      </c>
      <c r="D279" s="0" t="s">
        <v>103</v>
      </c>
      <c r="E279" s="0" t="str">
        <f>"s1_node_"&amp;D279&amp;"_name"</f>
        <v>s1_node_economy_name</v>
      </c>
      <c r="F279" s="13" t="str">
        <f>"s1_node_"&amp;D279&amp;"_desc"</f>
        <v>s1_node_economy_desc</v>
      </c>
      <c r="G279" s="0" t="s">
        <v>419</v>
      </c>
      <c r="H279" s="0">
        <v>3</v>
      </c>
      <c r="I279" s="0" t="s">
        <v>27</v>
      </c>
      <c r="J279" s="0" t="s">
        <v>500</v>
      </c>
      <c r="K279" s="0">
        <v>1650</v>
      </c>
      <c r="L279" s="13">
        <v>3</v>
      </c>
      <c r="M279" s="0">
        <v>44</v>
      </c>
      <c r="N279" s="0">
        <v>6</v>
      </c>
      <c r="T279" s="0" t="str">
        <f>_xlfn.TEXTJOIN("_",TRUE,C279,"node_eff",D279,M279,N279)</f>
        <v>s1_node_eff_economy_44_6</v>
      </c>
    </row>
    <row r="280" spans="1:20" x14ac:dyDescent="0.45">
      <c r="A280" s="0" t="str">
        <f>_xlfn.TEXTJOIN("_",TRUE,C280,"node",D280,M280,N280)</f>
        <v>s1_node_economy_45_2</v>
      </c>
      <c r="B280" s="0" t="s">
        <v>0</v>
      </c>
      <c r="C280" s="0" t="s">
        <v>26</v>
      </c>
      <c r="D280" s="0" t="s">
        <v>103</v>
      </c>
      <c r="E280" s="0" t="str">
        <f>"s1_node_"&amp;D280&amp;"_name"</f>
        <v>s1_node_economy_name</v>
      </c>
      <c r="F280" s="13" t="str">
        <f>"s1_node_"&amp;D280&amp;"_desc"</f>
        <v>s1_node_economy_desc</v>
      </c>
      <c r="G280" s="0" t="s">
        <v>419</v>
      </c>
      <c r="H280" s="0">
        <v>3</v>
      </c>
      <c r="I280" s="0" t="s">
        <v>27</v>
      </c>
      <c r="J280" s="0" t="s">
        <v>268</v>
      </c>
      <c r="K280" s="0">
        <v>1680</v>
      </c>
      <c r="L280" s="13">
        <v>3</v>
      </c>
      <c r="M280" s="0">
        <v>45</v>
      </c>
      <c r="N280" s="0">
        <v>2</v>
      </c>
      <c r="P280" s="0" t="s">
        <v>502</v>
      </c>
      <c r="T280" s="0" t="str">
        <f>_xlfn.TEXTJOIN("_",TRUE,C280,"node_eff",D280,M280,N280)</f>
        <v>s1_node_eff_economy_45_2</v>
      </c>
    </row>
    <row r="281" spans="1:20" x14ac:dyDescent="0.45">
      <c r="A281" s="0" t="str">
        <f>_xlfn.TEXTJOIN("_",TRUE,C281,"node",D281,M281,N281)</f>
        <v>s1_node_economy_45_6</v>
      </c>
      <c r="B281" s="0" t="s">
        <v>0</v>
      </c>
      <c r="C281" s="0" t="s">
        <v>26</v>
      </c>
      <c r="D281" s="0" t="s">
        <v>103</v>
      </c>
      <c r="E281" s="0" t="str">
        <f>"s1_node_"&amp;D281&amp;"_name"</f>
        <v>s1_node_economy_name</v>
      </c>
      <c r="F281" s="13" t="str">
        <f>"s1_node_"&amp;D281&amp;"_desc"</f>
        <v>s1_node_economy_desc</v>
      </c>
      <c r="G281" s="0" t="s">
        <v>419</v>
      </c>
      <c r="H281" s="0">
        <v>3</v>
      </c>
      <c r="I281" s="0" t="s">
        <v>27</v>
      </c>
      <c r="J281" s="0" t="s">
        <v>268</v>
      </c>
      <c r="K281" s="0">
        <v>1680</v>
      </c>
      <c r="L281" s="13">
        <v>3</v>
      </c>
      <c r="M281" s="0">
        <v>45</v>
      </c>
      <c r="N281" s="0">
        <v>6</v>
      </c>
      <c r="P281" s="0" t="s">
        <v>503</v>
      </c>
      <c r="T281" s="0" t="str">
        <f>_xlfn.TEXTJOIN("_",TRUE,C281,"node_eff",D281,M281,N281)</f>
        <v>s1_node_eff_economy_45_6</v>
      </c>
    </row>
    <row r="282" spans="1:20" x14ac:dyDescent="0.45">
      <c r="A282" s="0" t="str">
        <f>_xlfn.TEXTJOIN("_",TRUE,C282,"node",D282,M282,N282)</f>
        <v>s1_node_economy_46_4</v>
      </c>
      <c r="B282" s="0" t="s">
        <v>0</v>
      </c>
      <c r="C282" s="0" t="s">
        <v>26</v>
      </c>
      <c r="D282" s="0" t="s">
        <v>103</v>
      </c>
      <c r="E282" s="0" t="str">
        <f>"s1_node_"&amp;D282&amp;"_name"</f>
        <v>s1_node_economy_name</v>
      </c>
      <c r="F282" s="13" t="str">
        <f>"s1_node_"&amp;D282&amp;"_desc"</f>
        <v>s1_node_economy_desc</v>
      </c>
      <c r="G282" s="0" t="s">
        <v>419</v>
      </c>
      <c r="H282" s="0">
        <v>3</v>
      </c>
      <c r="I282" s="0" t="s">
        <v>27</v>
      </c>
      <c r="J282" s="0" t="s">
        <v>504</v>
      </c>
      <c r="K282" s="0">
        <v>1720</v>
      </c>
      <c r="L282" s="13">
        <v>3</v>
      </c>
      <c r="M282" s="0">
        <v>46</v>
      </c>
      <c r="N282" s="0">
        <v>4</v>
      </c>
      <c r="P282" s="0" t="s">
        <v>505</v>
      </c>
      <c r="T282" s="0" t="str">
        <f>_xlfn.TEXTJOIN("_",TRUE,C282,"node_eff",D282,M282,N282)</f>
        <v>s1_node_eff_economy_46_4</v>
      </c>
    </row>
    <row r="283" spans="1:20" x14ac:dyDescent="0.45">
      <c r="A283" s="0" t="str">
        <f>_xlfn.TEXTJOIN("_",TRUE,C283,"node",D283,M283,N283)</f>
        <v>s1_node_economy_47_2</v>
      </c>
      <c r="B283" s="0" t="s">
        <v>0</v>
      </c>
      <c r="C283" s="0" t="s">
        <v>26</v>
      </c>
      <c r="D283" s="0" t="s">
        <v>103</v>
      </c>
      <c r="E283" s="0" t="str">
        <f>"s1_node_"&amp;D283&amp;"_name"</f>
        <v>s1_node_economy_name</v>
      </c>
      <c r="F283" s="13" t="str">
        <f>"s1_node_"&amp;D283&amp;"_desc"</f>
        <v>s1_node_economy_desc</v>
      </c>
      <c r="G283" s="0" t="s">
        <v>419</v>
      </c>
      <c r="H283" s="0">
        <v>3</v>
      </c>
      <c r="I283" s="0" t="s">
        <v>27</v>
      </c>
      <c r="J283" s="0" t="s">
        <v>506</v>
      </c>
      <c r="K283" s="0">
        <v>1760</v>
      </c>
      <c r="L283" s="13">
        <v>3</v>
      </c>
      <c r="M283" s="0">
        <v>47</v>
      </c>
      <c r="N283" s="0">
        <v>2</v>
      </c>
      <c r="T283" s="0" t="str">
        <f>_xlfn.TEXTJOIN("_",TRUE,C283,"node_eff",D283,M283,N283)</f>
        <v>s1_node_eff_economy_47_2</v>
      </c>
    </row>
    <row r="284" spans="1:20" x14ac:dyDescent="0.45">
      <c r="A284" s="0" t="str">
        <f>_xlfn.TEXTJOIN("_",TRUE,C284,"node",D284,M284,N284)</f>
        <v>s1_node_economy_47_4</v>
      </c>
      <c r="B284" s="0" t="s">
        <v>0</v>
      </c>
      <c r="C284" s="0" t="s">
        <v>26</v>
      </c>
      <c r="D284" s="0" t="s">
        <v>103</v>
      </c>
      <c r="E284" s="0" t="str">
        <f>"s1_node_"&amp;D284&amp;"_name"</f>
        <v>s1_node_economy_name</v>
      </c>
      <c r="F284" s="13" t="str">
        <f>"s1_node_"&amp;D284&amp;"_desc"</f>
        <v>s1_node_economy_desc</v>
      </c>
      <c r="G284" s="0" t="s">
        <v>422</v>
      </c>
      <c r="H284" s="0">
        <v>3</v>
      </c>
      <c r="I284" s="0" t="s">
        <v>27</v>
      </c>
      <c r="J284" s="0" t="s">
        <v>506</v>
      </c>
      <c r="K284" s="0">
        <v>1760</v>
      </c>
      <c r="L284" s="13">
        <v>3</v>
      </c>
      <c r="M284" s="0">
        <v>47</v>
      </c>
      <c r="N284" s="0">
        <v>4</v>
      </c>
      <c r="T284" s="0" t="str">
        <f>_xlfn.TEXTJOIN("_",TRUE,C284,"node_eff",D284,M284,N284)</f>
        <v>s1_node_eff_economy_47_4</v>
      </c>
    </row>
    <row r="285" spans="1:20" x14ac:dyDescent="0.45">
      <c r="A285" s="0" t="str">
        <f>_xlfn.TEXTJOIN("_",TRUE,C285,"node",D285,M285,N285)</f>
        <v>s1_node_economy_47_6</v>
      </c>
      <c r="B285" s="0" t="s">
        <v>0</v>
      </c>
      <c r="C285" s="0" t="s">
        <v>26</v>
      </c>
      <c r="D285" s="0" t="s">
        <v>103</v>
      </c>
      <c r="E285" s="0" t="str">
        <f>"s1_node_"&amp;D285&amp;"_name"</f>
        <v>s1_node_economy_name</v>
      </c>
      <c r="F285" s="13" t="str">
        <f>"s1_node_"&amp;D285&amp;"_desc"</f>
        <v>s1_node_economy_desc</v>
      </c>
      <c r="G285" s="0" t="s">
        <v>419</v>
      </c>
      <c r="H285" s="0">
        <v>3</v>
      </c>
      <c r="I285" s="0" t="s">
        <v>27</v>
      </c>
      <c r="J285" s="0" t="s">
        <v>506</v>
      </c>
      <c r="K285" s="0">
        <v>1760</v>
      </c>
      <c r="L285" s="13">
        <v>3</v>
      </c>
      <c r="M285" s="0">
        <v>47</v>
      </c>
      <c r="N285" s="0">
        <v>6</v>
      </c>
      <c r="T285" s="0" t="str">
        <f>_xlfn.TEXTJOIN("_",TRUE,C285,"node_eff",D285,M285,N285)</f>
        <v>s1_node_eff_economy_47_6</v>
      </c>
    </row>
    <row r="286" spans="1:20" x14ac:dyDescent="0.45">
      <c r="A286" s="0" t="str">
        <f>_xlfn.TEXTJOIN("_",TRUE,C286,"node",D286,M286,N286)</f>
        <v>s1_node_economy_48_2</v>
      </c>
      <c r="B286" s="0" t="s">
        <v>0</v>
      </c>
      <c r="C286" s="0" t="s">
        <v>26</v>
      </c>
      <c r="D286" s="0" t="s">
        <v>103</v>
      </c>
      <c r="E286" s="0" t="str">
        <f>"s1_node_"&amp;D286&amp;"_name"</f>
        <v>s1_node_economy_name</v>
      </c>
      <c r="F286" s="13" t="str">
        <f>"s1_node_"&amp;D286&amp;"_desc"</f>
        <v>s1_node_economy_desc</v>
      </c>
      <c r="G286" s="0" t="s">
        <v>419</v>
      </c>
      <c r="H286" s="0">
        <v>3</v>
      </c>
      <c r="I286" s="0" t="s">
        <v>27</v>
      </c>
      <c r="J286" s="0" t="s">
        <v>507</v>
      </c>
      <c r="K286" s="0">
        <v>1790</v>
      </c>
      <c r="L286" s="13">
        <v>3</v>
      </c>
      <c r="M286" s="0">
        <v>48</v>
      </c>
      <c r="N286" s="0">
        <v>2</v>
      </c>
      <c r="P286" s="0" t="s">
        <v>508</v>
      </c>
      <c r="T286" s="0" t="str">
        <f>_xlfn.TEXTJOIN("_",TRUE,C286,"node_eff",D286,M286,N286)</f>
        <v>s1_node_eff_economy_48_2</v>
      </c>
    </row>
    <row r="287" spans="1:20" x14ac:dyDescent="0.45">
      <c r="A287" s="0" t="str">
        <f>_xlfn.TEXTJOIN("_",TRUE,C287,"node",D287,M287,N287)</f>
        <v>s1_node_economy_48_6</v>
      </c>
      <c r="B287" s="0" t="s">
        <v>0</v>
      </c>
      <c r="C287" s="0" t="s">
        <v>26</v>
      </c>
      <c r="D287" s="0" t="s">
        <v>103</v>
      </c>
      <c r="E287" s="0" t="str">
        <f>"s1_node_"&amp;D287&amp;"_name"</f>
        <v>s1_node_economy_name</v>
      </c>
      <c r="F287" s="13" t="str">
        <f>"s1_node_"&amp;D287&amp;"_desc"</f>
        <v>s1_node_economy_desc</v>
      </c>
      <c r="G287" s="0" t="s">
        <v>419</v>
      </c>
      <c r="H287" s="0">
        <v>3</v>
      </c>
      <c r="I287" s="0" t="s">
        <v>27</v>
      </c>
      <c r="J287" s="0" t="s">
        <v>507</v>
      </c>
      <c r="K287" s="0">
        <v>1790</v>
      </c>
      <c r="L287" s="13">
        <v>3</v>
      </c>
      <c r="M287" s="0">
        <v>48</v>
      </c>
      <c r="N287" s="0">
        <v>6</v>
      </c>
      <c r="P287" s="0" t="s">
        <v>509</v>
      </c>
      <c r="T287" s="0" t="str">
        <f>_xlfn.TEXTJOIN("_",TRUE,C287,"node_eff",D287,M287,N287)</f>
        <v>s1_node_eff_economy_48_6</v>
      </c>
    </row>
    <row r="288" spans="1:20" x14ac:dyDescent="0.45">
      <c r="A288" s="0" t="str">
        <f>_xlfn.TEXTJOIN("_",TRUE,C288,"node",D288,M288,N288)</f>
        <v>s1_node_economy_49_2</v>
      </c>
      <c r="B288" s="0" t="s">
        <v>0</v>
      </c>
      <c r="C288" s="0" t="s">
        <v>26</v>
      </c>
      <c r="D288" s="0" t="s">
        <v>103</v>
      </c>
      <c r="E288" s="0" t="str">
        <f>"s1_node_"&amp;D288&amp;"_name"</f>
        <v>s1_node_economy_name</v>
      </c>
      <c r="F288" s="13" t="str">
        <f>"s1_node_"&amp;D288&amp;"_desc"</f>
        <v>s1_node_economy_desc</v>
      </c>
      <c r="G288" s="0" t="s">
        <v>419</v>
      </c>
      <c r="H288" s="0">
        <v>3</v>
      </c>
      <c r="I288" s="0" t="s">
        <v>27</v>
      </c>
      <c r="J288" s="0" t="s">
        <v>510</v>
      </c>
      <c r="K288" s="0">
        <v>1830</v>
      </c>
      <c r="L288" s="13">
        <v>3</v>
      </c>
      <c r="M288" s="0">
        <v>49</v>
      </c>
      <c r="N288" s="0">
        <v>2</v>
      </c>
      <c r="T288" s="0" t="str">
        <f>_xlfn.TEXTJOIN("_",TRUE,C288,"node_eff",D288,M288,N288)</f>
        <v>s1_node_eff_economy_49_2</v>
      </c>
    </row>
    <row r="289" spans="1:20" x14ac:dyDescent="0.45">
      <c r="A289" s="0" t="str">
        <f>_xlfn.TEXTJOIN("_",TRUE,C289,"node",D289,M289,N289)</f>
        <v>s1_node_economy_49_4</v>
      </c>
      <c r="B289" s="0" t="s">
        <v>0</v>
      </c>
      <c r="C289" s="0" t="s">
        <v>26</v>
      </c>
      <c r="D289" s="0" t="s">
        <v>103</v>
      </c>
      <c r="E289" s="0" t="str">
        <f>"s1_node_"&amp;D289&amp;"_name"</f>
        <v>s1_node_economy_name</v>
      </c>
      <c r="F289" s="13" t="str">
        <f>"s1_node_"&amp;D289&amp;"_desc"</f>
        <v>s1_node_economy_desc</v>
      </c>
      <c r="G289" s="0" t="s">
        <v>419</v>
      </c>
      <c r="H289" s="0">
        <v>3</v>
      </c>
      <c r="I289" s="0" t="s">
        <v>27</v>
      </c>
      <c r="J289" s="0" t="s">
        <v>510</v>
      </c>
      <c r="K289" s="0">
        <v>1830</v>
      </c>
      <c r="L289" s="13">
        <v>3</v>
      </c>
      <c r="M289" s="0">
        <v>49</v>
      </c>
      <c r="N289" s="0">
        <v>4</v>
      </c>
      <c r="P289" s="0" t="s">
        <v>511</v>
      </c>
      <c r="T289" s="0" t="str">
        <f>_xlfn.TEXTJOIN("_",TRUE,C289,"node_eff",D289,M289,N289)</f>
        <v>s1_node_eff_economy_49_4</v>
      </c>
    </row>
    <row r="290" spans="1:20" x14ac:dyDescent="0.45">
      <c r="A290" s="0" t="str">
        <f>_xlfn.TEXTJOIN("_",TRUE,C290,"node",D290,M290,N290)</f>
        <v>s1_node_economy_49_6</v>
      </c>
      <c r="B290" s="0" t="s">
        <v>0</v>
      </c>
      <c r="C290" s="0" t="s">
        <v>26</v>
      </c>
      <c r="D290" s="0" t="s">
        <v>103</v>
      </c>
      <c r="E290" s="0" t="str">
        <f>"s1_node_"&amp;D290&amp;"_name"</f>
        <v>s1_node_economy_name</v>
      </c>
      <c r="F290" s="13" t="str">
        <f>"s1_node_"&amp;D290&amp;"_desc"</f>
        <v>s1_node_economy_desc</v>
      </c>
      <c r="G290" s="0" t="s">
        <v>422</v>
      </c>
      <c r="H290" s="0">
        <v>3</v>
      </c>
      <c r="I290" s="0" t="s">
        <v>27</v>
      </c>
      <c r="J290" s="0" t="s">
        <v>510</v>
      </c>
      <c r="K290" s="0">
        <v>1830</v>
      </c>
      <c r="L290" s="13">
        <v>3</v>
      </c>
      <c r="M290" s="0">
        <v>49</v>
      </c>
      <c r="N290" s="0">
        <v>6</v>
      </c>
      <c r="T290" s="0" t="str">
        <f>_xlfn.TEXTJOIN("_",TRUE,C290,"node_eff",D290,M290,N290)</f>
        <v>s1_node_eff_economy_49_6</v>
      </c>
    </row>
    <row r="291" spans="1:20" x14ac:dyDescent="0.45">
      <c r="A291" s="0" t="str">
        <f>_xlfn.TEXTJOIN("_",TRUE,C291,"node",D291,M291,N291)</f>
        <v>s1_node_economy_50_2</v>
      </c>
      <c r="B291" s="0" t="s">
        <v>0</v>
      </c>
      <c r="C291" s="0" t="s">
        <v>26</v>
      </c>
      <c r="D291" s="0" t="s">
        <v>103</v>
      </c>
      <c r="E291" s="0" t="str">
        <f>"s1_node_"&amp;D291&amp;"_name"</f>
        <v>s1_node_economy_name</v>
      </c>
      <c r="F291" s="13" t="str">
        <f>"s1_node_"&amp;D291&amp;"_desc"</f>
        <v>s1_node_economy_desc</v>
      </c>
      <c r="G291" s="0" t="s">
        <v>419</v>
      </c>
      <c r="H291" s="0">
        <v>3</v>
      </c>
      <c r="I291" s="0" t="s">
        <v>27</v>
      </c>
      <c r="J291" s="0" t="s">
        <v>512</v>
      </c>
      <c r="K291" s="0">
        <v>1860</v>
      </c>
      <c r="L291" s="13">
        <v>3</v>
      </c>
      <c r="M291" s="0">
        <v>50</v>
      </c>
      <c r="N291" s="0">
        <v>2</v>
      </c>
      <c r="P291" s="0" t="s">
        <v>513</v>
      </c>
      <c r="T291" s="0" t="str">
        <f>_xlfn.TEXTJOIN("_",TRUE,C291,"node_eff",D291,M291,N291)</f>
        <v>s1_node_eff_economy_50_2</v>
      </c>
    </row>
    <row r="292" spans="1:20" x14ac:dyDescent="0.45">
      <c r="A292" s="0" t="str">
        <f>_xlfn.TEXTJOIN("_",TRUE,C292,"node",D292,M292,N292)</f>
        <v>s1_node_economy_50_6</v>
      </c>
      <c r="B292" s="0" t="s">
        <v>0</v>
      </c>
      <c r="C292" s="0" t="s">
        <v>26</v>
      </c>
      <c r="D292" s="0" t="s">
        <v>103</v>
      </c>
      <c r="E292" s="0" t="str">
        <f>"s1_node_"&amp;D292&amp;"_name"</f>
        <v>s1_node_economy_name</v>
      </c>
      <c r="F292" s="13" t="str">
        <f>"s1_node_"&amp;D292&amp;"_desc"</f>
        <v>s1_node_economy_desc</v>
      </c>
      <c r="G292" s="0" t="s">
        <v>419</v>
      </c>
      <c r="H292" s="0">
        <v>3</v>
      </c>
      <c r="I292" s="0" t="s">
        <v>27</v>
      </c>
      <c r="J292" s="0" t="s">
        <v>512</v>
      </c>
      <c r="K292" s="0">
        <v>1860</v>
      </c>
      <c r="L292" s="13">
        <v>3</v>
      </c>
      <c r="M292" s="0">
        <v>50</v>
      </c>
      <c r="N292" s="0">
        <v>6</v>
      </c>
      <c r="P292" s="0" t="s">
        <v>514</v>
      </c>
      <c r="T292" s="0" t="str">
        <f>_xlfn.TEXTJOIN("_",TRUE,C292,"node_eff",D292,M292,N292)</f>
        <v>s1_node_eff_economy_50_6</v>
      </c>
    </row>
    <row r="293" spans="1:20" x14ac:dyDescent="0.45">
      <c r="A293" s="0" t="str">
        <f>_xlfn.TEXTJOIN("_",TRUE,C293,"node",D293,M293,N293)</f>
        <v>s1_node_economy_51_4</v>
      </c>
      <c r="B293" s="0" t="s">
        <v>0</v>
      </c>
      <c r="C293" s="0" t="s">
        <v>26</v>
      </c>
      <c r="D293" s="0" t="s">
        <v>103</v>
      </c>
      <c r="E293" s="0" t="str">
        <f>"s1_node_"&amp;D293&amp;"_name"</f>
        <v>s1_node_economy_name</v>
      </c>
      <c r="F293" s="13" t="str">
        <f>"s1_node_"&amp;D293&amp;"_desc"</f>
        <v>s1_node_economy_desc</v>
      </c>
      <c r="G293" s="0" t="s">
        <v>419</v>
      </c>
      <c r="H293" s="0">
        <v>3</v>
      </c>
      <c r="I293" s="0" t="s">
        <v>27</v>
      </c>
      <c r="J293" s="0" t="s">
        <v>515</v>
      </c>
      <c r="K293" s="0">
        <v>1900</v>
      </c>
      <c r="L293" s="13">
        <v>3</v>
      </c>
      <c r="M293" s="0">
        <v>51</v>
      </c>
      <c r="N293" s="0">
        <v>4</v>
      </c>
      <c r="P293" s="0" t="s">
        <v>516</v>
      </c>
      <c r="T293" s="0" t="str">
        <f>_xlfn.TEXTJOIN("_",TRUE,C293,"node_eff",D293,M293,N293)</f>
        <v>s1_node_eff_economy_51_4</v>
      </c>
    </row>
    <row r="294" spans="1:20" x14ac:dyDescent="0.45">
      <c r="A294" s="0" t="str">
        <f>_xlfn.TEXTJOIN("_",TRUE,C294,"node",D294,M294,N294)</f>
        <v>s1_node_economy_52_2</v>
      </c>
      <c r="B294" s="0" t="s">
        <v>0</v>
      </c>
      <c r="C294" s="0" t="s">
        <v>26</v>
      </c>
      <c r="D294" s="0" t="s">
        <v>103</v>
      </c>
      <c r="E294" s="0" t="str">
        <f>"s1_node_"&amp;D294&amp;"_name"</f>
        <v>s1_node_economy_name</v>
      </c>
      <c r="F294" s="13" t="str">
        <f>"s1_node_"&amp;D294&amp;"_desc"</f>
        <v>s1_node_economy_desc</v>
      </c>
      <c r="G294" s="0" t="s">
        <v>419</v>
      </c>
      <c r="H294" s="0">
        <v>3</v>
      </c>
      <c r="I294" s="0" t="s">
        <v>27</v>
      </c>
      <c r="J294" s="0" t="s">
        <v>517</v>
      </c>
      <c r="K294" s="0">
        <v>1930</v>
      </c>
      <c r="L294" s="13">
        <v>3</v>
      </c>
      <c r="M294" s="0">
        <v>52</v>
      </c>
      <c r="N294" s="0">
        <v>2</v>
      </c>
      <c r="T294" s="0" t="str">
        <f>_xlfn.TEXTJOIN("_",TRUE,C294,"node_eff",D294,M294,N294)</f>
        <v>s1_node_eff_economy_52_2</v>
      </c>
    </row>
    <row r="295" spans="1:20" x14ac:dyDescent="0.45">
      <c r="A295" s="0" t="str">
        <f>_xlfn.TEXTJOIN("_",TRUE,C295,"node",D295,M295,N295)</f>
        <v>s1_node_economy_52_4</v>
      </c>
      <c r="B295" s="0" t="s">
        <v>0</v>
      </c>
      <c r="C295" s="0" t="s">
        <v>26</v>
      </c>
      <c r="D295" s="0" t="s">
        <v>103</v>
      </c>
      <c r="E295" s="0" t="str">
        <f>"s1_node_"&amp;D295&amp;"_name"</f>
        <v>s1_node_economy_name</v>
      </c>
      <c r="F295" s="13" t="str">
        <f>"s1_node_"&amp;D295&amp;"_desc"</f>
        <v>s1_node_economy_desc</v>
      </c>
      <c r="G295" s="0" t="s">
        <v>419</v>
      </c>
      <c r="H295" s="0">
        <v>3</v>
      </c>
      <c r="I295" s="0" t="s">
        <v>27</v>
      </c>
      <c r="J295" s="0" t="s">
        <v>517</v>
      </c>
      <c r="K295" s="0">
        <v>1930</v>
      </c>
      <c r="L295" s="13">
        <v>3</v>
      </c>
      <c r="M295" s="0">
        <v>52</v>
      </c>
      <c r="N295" s="0">
        <v>4</v>
      </c>
      <c r="T295" s="0" t="str">
        <f>_xlfn.TEXTJOIN("_",TRUE,C295,"node_eff",D295,M295,N295)</f>
        <v>s1_node_eff_economy_52_4</v>
      </c>
    </row>
    <row r="296" spans="1:20" x14ac:dyDescent="0.45">
      <c r="A296" s="0" t="str">
        <f>_xlfn.TEXTJOIN("_",TRUE,C296,"node",D296,M296,N296)</f>
        <v>s1_node_economy_52_6</v>
      </c>
      <c r="B296" s="0" t="s">
        <v>0</v>
      </c>
      <c r="C296" s="0" t="s">
        <v>26</v>
      </c>
      <c r="D296" s="0" t="s">
        <v>103</v>
      </c>
      <c r="E296" s="0" t="str">
        <f>"s1_node_"&amp;D296&amp;"_name"</f>
        <v>s1_node_economy_name</v>
      </c>
      <c r="F296" s="13" t="str">
        <f>"s1_node_"&amp;D296&amp;"_desc"</f>
        <v>s1_node_economy_desc</v>
      </c>
      <c r="G296" s="0" t="s">
        <v>422</v>
      </c>
      <c r="H296" s="0">
        <v>3</v>
      </c>
      <c r="I296" s="0" t="s">
        <v>27</v>
      </c>
      <c r="J296" s="0" t="s">
        <v>517</v>
      </c>
      <c r="K296" s="0">
        <v>1930</v>
      </c>
      <c r="L296" s="13">
        <v>3</v>
      </c>
      <c r="M296" s="0">
        <v>52</v>
      </c>
      <c r="N296" s="0">
        <v>6</v>
      </c>
      <c r="T296" s="0" t="str">
        <f>_xlfn.TEXTJOIN("_",TRUE,C296,"node_eff",D296,M296,N296)</f>
        <v>s1_node_eff_economy_52_6</v>
      </c>
    </row>
    <row r="297" spans="1:20" x14ac:dyDescent="0.45">
      <c r="A297" s="0" t="str">
        <f>_xlfn.TEXTJOIN("_",TRUE,C297,"node",D297,M297,N297)</f>
        <v>s1_node_economy_53_2</v>
      </c>
      <c r="B297" s="0" t="s">
        <v>0</v>
      </c>
      <c r="C297" s="0" t="s">
        <v>26</v>
      </c>
      <c r="D297" s="0" t="s">
        <v>103</v>
      </c>
      <c r="E297" s="0" t="str">
        <f>"s1_node_"&amp;D297&amp;"_name"</f>
        <v>s1_node_economy_name</v>
      </c>
      <c r="F297" s="13" t="str">
        <f>"s1_node_"&amp;D297&amp;"_desc"</f>
        <v>s1_node_economy_desc</v>
      </c>
      <c r="G297" s="0" t="s">
        <v>419</v>
      </c>
      <c r="H297" s="0">
        <v>3</v>
      </c>
      <c r="I297" s="0" t="s">
        <v>27</v>
      </c>
      <c r="J297" s="0" t="s">
        <v>518</v>
      </c>
      <c r="K297" s="0">
        <v>1970</v>
      </c>
      <c r="L297" s="13">
        <v>3</v>
      </c>
      <c r="M297" s="0">
        <v>53</v>
      </c>
      <c r="N297" s="0">
        <v>2</v>
      </c>
      <c r="P297" s="0" t="s">
        <v>519</v>
      </c>
      <c r="T297" s="0" t="str">
        <f>_xlfn.TEXTJOIN("_",TRUE,C297,"node_eff",D297,M297,N297)</f>
        <v>s1_node_eff_economy_53_2</v>
      </c>
    </row>
    <row r="298" spans="1:20" x14ac:dyDescent="0.45">
      <c r="A298" s="0" t="str">
        <f>_xlfn.TEXTJOIN("_",TRUE,C298,"node",D298,M298,N298)</f>
        <v>s1_node_economy_53_6</v>
      </c>
      <c r="B298" s="0" t="s">
        <v>0</v>
      </c>
      <c r="C298" s="0" t="s">
        <v>26</v>
      </c>
      <c r="D298" s="0" t="s">
        <v>103</v>
      </c>
      <c r="E298" s="0" t="str">
        <f>"s1_node_"&amp;D298&amp;"_name"</f>
        <v>s1_node_economy_name</v>
      </c>
      <c r="F298" s="13" t="str">
        <f>"s1_node_"&amp;D298&amp;"_desc"</f>
        <v>s1_node_economy_desc</v>
      </c>
      <c r="G298" s="0" t="s">
        <v>419</v>
      </c>
      <c r="H298" s="0">
        <v>3</v>
      </c>
      <c r="I298" s="0" t="s">
        <v>27</v>
      </c>
      <c r="J298" s="0" t="s">
        <v>518</v>
      </c>
      <c r="K298" s="0">
        <v>1970</v>
      </c>
      <c r="L298" s="13">
        <v>3</v>
      </c>
      <c r="M298" s="0">
        <v>53</v>
      </c>
      <c r="N298" s="0">
        <v>6</v>
      </c>
      <c r="P298" s="0" t="s">
        <v>520</v>
      </c>
      <c r="T298" s="0" t="str">
        <f>_xlfn.TEXTJOIN("_",TRUE,C298,"node_eff",D298,M298,N298)</f>
        <v>s1_node_eff_economy_53_6</v>
      </c>
    </row>
    <row r="299" spans="1:20" x14ac:dyDescent="0.45">
      <c r="A299" s="0" t="str">
        <f>_xlfn.TEXTJOIN("_",TRUE,C299,"node",D299,M299,N299)</f>
        <v>s1_node_economy_54_2</v>
      </c>
      <c r="B299" s="0" t="s">
        <v>0</v>
      </c>
      <c r="C299" s="0" t="s">
        <v>26</v>
      </c>
      <c r="D299" s="0" t="s">
        <v>103</v>
      </c>
      <c r="E299" s="0" t="str">
        <f>"s1_node_"&amp;D299&amp;"_name"</f>
        <v>s1_node_economy_name</v>
      </c>
      <c r="F299" s="13" t="str">
        <f>"s1_node_"&amp;D299&amp;"_desc"</f>
        <v>s1_node_economy_desc</v>
      </c>
      <c r="G299" s="0" t="s">
        <v>419</v>
      </c>
      <c r="H299" s="0">
        <v>3</v>
      </c>
      <c r="I299" s="0" t="s">
        <v>27</v>
      </c>
      <c r="J299" s="0" t="s">
        <v>521</v>
      </c>
      <c r="K299" s="0">
        <v>2010</v>
      </c>
      <c r="L299" s="13">
        <v>3</v>
      </c>
      <c r="M299" s="0">
        <v>54</v>
      </c>
      <c r="N299" s="0">
        <v>2</v>
      </c>
      <c r="T299" s="0" t="str">
        <f>_xlfn.TEXTJOIN("_",TRUE,C299,"node_eff",D299,M299,N299)</f>
        <v>s1_node_eff_economy_54_2</v>
      </c>
    </row>
    <row r="300" spans="1:20" x14ac:dyDescent="0.45">
      <c r="A300" s="0" t="str">
        <f>_xlfn.TEXTJOIN("_",TRUE,C300,"node",D300,M300,N300)</f>
        <v>s1_node_economy_54_4</v>
      </c>
      <c r="B300" s="0" t="s">
        <v>0</v>
      </c>
      <c r="C300" s="0" t="s">
        <v>26</v>
      </c>
      <c r="D300" s="0" t="s">
        <v>103</v>
      </c>
      <c r="E300" s="0" t="str">
        <f>"s1_node_"&amp;D300&amp;"_name"</f>
        <v>s1_node_economy_name</v>
      </c>
      <c r="F300" s="13" t="str">
        <f>"s1_node_"&amp;D300&amp;"_desc"</f>
        <v>s1_node_economy_desc</v>
      </c>
      <c r="G300" s="0" t="s">
        <v>419</v>
      </c>
      <c r="H300" s="0">
        <v>3</v>
      </c>
      <c r="I300" s="0" t="s">
        <v>27</v>
      </c>
      <c r="J300" s="0" t="s">
        <v>521</v>
      </c>
      <c r="K300" s="0">
        <v>2010</v>
      </c>
      <c r="L300" s="13">
        <v>3</v>
      </c>
      <c r="M300" s="0">
        <v>54</v>
      </c>
      <c r="N300" s="0">
        <v>4</v>
      </c>
      <c r="P300" s="0" t="s">
        <v>522</v>
      </c>
      <c r="T300" s="0" t="str">
        <f>_xlfn.TEXTJOIN("_",TRUE,C300,"node_eff",D300,M300,N300)</f>
        <v>s1_node_eff_economy_54_4</v>
      </c>
    </row>
    <row r="301" spans="1:20" x14ac:dyDescent="0.45">
      <c r="A301" s="0" t="str">
        <f>_xlfn.TEXTJOIN("_",TRUE,C301,"node",D301,M301,N301)</f>
        <v>s1_node_economy_54_6</v>
      </c>
      <c r="B301" s="0" t="s">
        <v>0</v>
      </c>
      <c r="C301" s="0" t="s">
        <v>26</v>
      </c>
      <c r="D301" s="0" t="s">
        <v>103</v>
      </c>
      <c r="E301" s="0" t="str">
        <f>"s1_node_"&amp;D301&amp;"_name"</f>
        <v>s1_node_economy_name</v>
      </c>
      <c r="F301" s="13" t="str">
        <f>"s1_node_"&amp;D301&amp;"_desc"</f>
        <v>s1_node_economy_desc</v>
      </c>
      <c r="G301" s="0" t="s">
        <v>419</v>
      </c>
      <c r="H301" s="0">
        <v>3</v>
      </c>
      <c r="I301" s="0" t="s">
        <v>27</v>
      </c>
      <c r="J301" s="0" t="s">
        <v>521</v>
      </c>
      <c r="K301" s="0">
        <v>2010</v>
      </c>
      <c r="L301" s="13">
        <v>3</v>
      </c>
      <c r="M301" s="0">
        <v>54</v>
      </c>
      <c r="N301" s="0">
        <v>6</v>
      </c>
      <c r="T301" s="0" t="str">
        <f>_xlfn.TEXTJOIN("_",TRUE,C301,"node_eff",D301,M301,N301)</f>
        <v>s1_node_eff_economy_54_6</v>
      </c>
    </row>
    <row r="302" spans="1:20" x14ac:dyDescent="0.45">
      <c r="A302" s="0" t="str">
        <f>_xlfn.TEXTJOIN("_",TRUE,C302,"node",D302,M302,N302)</f>
        <v>s1_node_economy_55_2</v>
      </c>
      <c r="B302" s="0" t="s">
        <v>0</v>
      </c>
      <c r="C302" s="0" t="s">
        <v>26</v>
      </c>
      <c r="D302" s="0" t="s">
        <v>103</v>
      </c>
      <c r="E302" s="0" t="str">
        <f>"s1_node_"&amp;D302&amp;"_name"</f>
        <v>s1_node_economy_name</v>
      </c>
      <c r="F302" s="13" t="str">
        <f>"s1_node_"&amp;D302&amp;"_desc"</f>
        <v>s1_node_economy_desc</v>
      </c>
      <c r="G302" s="0" t="s">
        <v>422</v>
      </c>
      <c r="H302" s="0">
        <v>3</v>
      </c>
      <c r="I302" s="0" t="s">
        <v>27</v>
      </c>
      <c r="J302" s="0" t="s">
        <v>523</v>
      </c>
      <c r="K302" s="0">
        <v>2040</v>
      </c>
      <c r="L302" s="13">
        <v>3</v>
      </c>
      <c r="M302" s="0">
        <v>55</v>
      </c>
      <c r="N302" s="0">
        <v>2</v>
      </c>
      <c r="P302" s="0" t="s">
        <v>524</v>
      </c>
      <c r="T302" s="0" t="str">
        <f>_xlfn.TEXTJOIN("_",TRUE,C302,"node_eff",D302,M302,N302)</f>
        <v>s1_node_eff_economy_55_2</v>
      </c>
    </row>
    <row r="303" spans="1:20" x14ac:dyDescent="0.45">
      <c r="A303" s="0" t="str">
        <f>_xlfn.TEXTJOIN("_",TRUE,C303,"node",D303,M303,N303)</f>
        <v>s1_node_economy_55_6</v>
      </c>
      <c r="B303" s="0" t="s">
        <v>0</v>
      </c>
      <c r="C303" s="0" t="s">
        <v>26</v>
      </c>
      <c r="D303" s="0" t="s">
        <v>103</v>
      </c>
      <c r="E303" s="0" t="str">
        <f>"s1_node_"&amp;D303&amp;"_name"</f>
        <v>s1_node_economy_name</v>
      </c>
      <c r="F303" s="13" t="str">
        <f>"s1_node_"&amp;D303&amp;"_desc"</f>
        <v>s1_node_economy_desc</v>
      </c>
      <c r="G303" s="0" t="s">
        <v>419</v>
      </c>
      <c r="H303" s="0">
        <v>3</v>
      </c>
      <c r="I303" s="0" t="s">
        <v>27</v>
      </c>
      <c r="J303" s="0" t="s">
        <v>523</v>
      </c>
      <c r="K303" s="0">
        <v>2040</v>
      </c>
      <c r="L303" s="13">
        <v>3</v>
      </c>
      <c r="M303" s="0">
        <v>55</v>
      </c>
      <c r="N303" s="0">
        <v>6</v>
      </c>
      <c r="P303" s="0" t="s">
        <v>525</v>
      </c>
      <c r="T303" s="0" t="str">
        <f>_xlfn.TEXTJOIN("_",TRUE,C303,"node_eff",D303,M303,N303)</f>
        <v>s1_node_eff_economy_55_6</v>
      </c>
    </row>
    <row r="304" spans="1:20" x14ac:dyDescent="0.45">
      <c r="A304" s="0" t="str">
        <f>_xlfn.TEXTJOIN("_",TRUE,C304,"node",D304,M304,N304)</f>
        <v>s1_node_economy_56_4</v>
      </c>
      <c r="B304" s="0" t="s">
        <v>0</v>
      </c>
      <c r="C304" s="0" t="s">
        <v>26</v>
      </c>
      <c r="D304" s="0" t="s">
        <v>103</v>
      </c>
      <c r="E304" s="0" t="str">
        <f>"s1_node_"&amp;D304&amp;"_name"</f>
        <v>s1_node_economy_name</v>
      </c>
      <c r="F304" s="13" t="str">
        <f>"s1_node_"&amp;D304&amp;"_desc"</f>
        <v>s1_node_economy_desc</v>
      </c>
      <c r="G304" s="0" t="s">
        <v>419</v>
      </c>
      <c r="H304" s="0">
        <v>3</v>
      </c>
      <c r="I304" s="0" t="s">
        <v>27</v>
      </c>
      <c r="J304" s="0" t="s">
        <v>526</v>
      </c>
      <c r="K304" s="0">
        <v>2080</v>
      </c>
      <c r="L304" s="13">
        <v>3</v>
      </c>
      <c r="M304" s="0">
        <v>56</v>
      </c>
      <c r="N304" s="0">
        <v>4</v>
      </c>
      <c r="P304" s="0" t="s">
        <v>527</v>
      </c>
      <c r="T304" s="0" t="str">
        <f>_xlfn.TEXTJOIN("_",TRUE,C304,"node_eff",D304,M304,N304)</f>
        <v>s1_node_eff_economy_56_4</v>
      </c>
    </row>
    <row r="305" spans="1:20" x14ac:dyDescent="0.45">
      <c r="A305" s="0" t="str">
        <f>_xlfn.TEXTJOIN("_",TRUE,C305,"node",D305,M305,N305)</f>
        <v>s1_node_economy_57_2</v>
      </c>
      <c r="B305" s="0" t="s">
        <v>0</v>
      </c>
      <c r="C305" s="0" t="s">
        <v>26</v>
      </c>
      <c r="D305" s="0" t="s">
        <v>103</v>
      </c>
      <c r="E305" s="0" t="str">
        <f>"s1_node_"&amp;D305&amp;"_name"</f>
        <v>s1_node_economy_name</v>
      </c>
      <c r="F305" s="13" t="str">
        <f>"s1_node_"&amp;D305&amp;"_desc"</f>
        <v>s1_node_economy_desc</v>
      </c>
      <c r="G305" s="0" t="s">
        <v>419</v>
      </c>
      <c r="H305" s="0">
        <v>3</v>
      </c>
      <c r="I305" s="0" t="s">
        <v>27</v>
      </c>
      <c r="J305" s="0" t="s">
        <v>528</v>
      </c>
      <c r="K305" s="0">
        <v>2110</v>
      </c>
      <c r="L305" s="13">
        <v>3</v>
      </c>
      <c r="M305" s="0">
        <v>57</v>
      </c>
      <c r="N305" s="0">
        <v>2</v>
      </c>
      <c r="T305" s="0" t="str">
        <f>_xlfn.TEXTJOIN("_",TRUE,C305,"node_eff",D305,M305,N305)</f>
        <v>s1_node_eff_economy_57_2</v>
      </c>
    </row>
    <row r="306" spans="1:20" x14ac:dyDescent="0.45">
      <c r="A306" s="0" t="str">
        <f>_xlfn.TEXTJOIN("_",TRUE,C306,"node",D306,M306,N306)</f>
        <v>s1_node_economy_57_4</v>
      </c>
      <c r="B306" s="0" t="s">
        <v>0</v>
      </c>
      <c r="C306" s="0" t="s">
        <v>26</v>
      </c>
      <c r="D306" s="0" t="s">
        <v>103</v>
      </c>
      <c r="E306" s="0" t="str">
        <f>"s1_node_"&amp;D306&amp;"_name"</f>
        <v>s1_node_economy_name</v>
      </c>
      <c r="F306" s="13" t="str">
        <f>"s1_node_"&amp;D306&amp;"_desc"</f>
        <v>s1_node_economy_desc</v>
      </c>
      <c r="G306" s="0" t="s">
        <v>419</v>
      </c>
      <c r="H306" s="0">
        <v>3</v>
      </c>
      <c r="I306" s="0" t="s">
        <v>27</v>
      </c>
      <c r="J306" s="0" t="s">
        <v>528</v>
      </c>
      <c r="K306" s="0">
        <v>2110</v>
      </c>
      <c r="L306" s="13">
        <v>3</v>
      </c>
      <c r="M306" s="0">
        <v>57</v>
      </c>
      <c r="N306" s="0">
        <v>4</v>
      </c>
      <c r="T306" s="0" t="str">
        <f>_xlfn.TEXTJOIN("_",TRUE,C306,"node_eff",D306,M306,N306)</f>
        <v>s1_node_eff_economy_57_4</v>
      </c>
    </row>
    <row r="307" spans="1:20" x14ac:dyDescent="0.45">
      <c r="A307" s="0" t="str">
        <f>_xlfn.TEXTJOIN("_",TRUE,C307,"node",D307,M307,N307)</f>
        <v>s1_node_economy_57_6</v>
      </c>
      <c r="B307" s="0" t="s">
        <v>0</v>
      </c>
      <c r="C307" s="0" t="s">
        <v>26</v>
      </c>
      <c r="D307" s="0" t="s">
        <v>103</v>
      </c>
      <c r="E307" s="0" t="str">
        <f>"s1_node_"&amp;D307&amp;"_name"</f>
        <v>s1_node_economy_name</v>
      </c>
      <c r="F307" s="13" t="str">
        <f>"s1_node_"&amp;D307&amp;"_desc"</f>
        <v>s1_node_economy_desc</v>
      </c>
      <c r="G307" s="0" t="s">
        <v>419</v>
      </c>
      <c r="H307" s="0">
        <v>3</v>
      </c>
      <c r="I307" s="0" t="s">
        <v>27</v>
      </c>
      <c r="J307" s="0" t="s">
        <v>528</v>
      </c>
      <c r="K307" s="0">
        <v>2110</v>
      </c>
      <c r="L307" s="13">
        <v>3</v>
      </c>
      <c r="M307" s="0">
        <v>57</v>
      </c>
      <c r="N307" s="0">
        <v>6</v>
      </c>
      <c r="T307" s="0" t="str">
        <f>_xlfn.TEXTJOIN("_",TRUE,C307,"node_eff",D307,M307,N307)</f>
        <v>s1_node_eff_economy_57_6</v>
      </c>
    </row>
    <row r="308" spans="1:20" x14ac:dyDescent="0.45">
      <c r="A308" s="0" t="str">
        <f>_xlfn.TEXTJOIN("_",TRUE,C308,"node",D308,M308,N308)</f>
        <v>s1_node_economy_58_2</v>
      </c>
      <c r="B308" s="0" t="s">
        <v>0</v>
      </c>
      <c r="C308" s="0" t="s">
        <v>26</v>
      </c>
      <c r="D308" s="0" t="s">
        <v>103</v>
      </c>
      <c r="E308" s="0" t="str">
        <f>"s1_node_"&amp;D308&amp;"_name"</f>
        <v>s1_node_economy_name</v>
      </c>
      <c r="F308" s="13" t="str">
        <f>"s1_node_"&amp;D308&amp;"_desc"</f>
        <v>s1_node_economy_desc</v>
      </c>
      <c r="G308" s="0" t="s">
        <v>422</v>
      </c>
      <c r="H308" s="0">
        <v>3</v>
      </c>
      <c r="I308" s="0" t="s">
        <v>27</v>
      </c>
      <c r="J308" s="0" t="s">
        <v>529</v>
      </c>
      <c r="K308" s="0">
        <v>2150</v>
      </c>
      <c r="L308" s="13">
        <v>3</v>
      </c>
      <c r="M308" s="0">
        <v>58</v>
      </c>
      <c r="N308" s="0">
        <v>2</v>
      </c>
      <c r="P308" s="0" t="s">
        <v>530</v>
      </c>
      <c r="T308" s="0" t="str">
        <f>_xlfn.TEXTJOIN("_",TRUE,C308,"node_eff",D308,M308,N308)</f>
        <v>s1_node_eff_economy_58_2</v>
      </c>
    </row>
    <row r="309" spans="1:20" x14ac:dyDescent="0.45">
      <c r="A309" s="0" t="str">
        <f>_xlfn.TEXTJOIN("_",TRUE,C309,"node",D309,M309,N309)</f>
        <v>s1_node_economy_58_6</v>
      </c>
      <c r="B309" s="0" t="s">
        <v>0</v>
      </c>
      <c r="C309" s="0" t="s">
        <v>26</v>
      </c>
      <c r="D309" s="0" t="s">
        <v>103</v>
      </c>
      <c r="E309" s="0" t="str">
        <f>"s1_node_"&amp;D309&amp;"_name"</f>
        <v>s1_node_economy_name</v>
      </c>
      <c r="F309" s="13" t="str">
        <f>"s1_node_"&amp;D309&amp;"_desc"</f>
        <v>s1_node_economy_desc</v>
      </c>
      <c r="G309" s="0" t="s">
        <v>419</v>
      </c>
      <c r="H309" s="0">
        <v>3</v>
      </c>
      <c r="I309" s="0" t="s">
        <v>27</v>
      </c>
      <c r="J309" s="0" t="s">
        <v>529</v>
      </c>
      <c r="K309" s="0">
        <v>2150</v>
      </c>
      <c r="L309" s="13">
        <v>3</v>
      </c>
      <c r="M309" s="0">
        <v>58</v>
      </c>
      <c r="N309" s="0">
        <v>6</v>
      </c>
      <c r="P309" s="0" t="s">
        <v>531</v>
      </c>
      <c r="T309" s="0" t="str">
        <f>_xlfn.TEXTJOIN("_",TRUE,C309,"node_eff",D309,M309,N309)</f>
        <v>s1_node_eff_economy_58_6</v>
      </c>
    </row>
    <row r="310" spans="1:20" x14ac:dyDescent="0.45">
      <c r="A310" s="0" t="str">
        <f>_xlfn.TEXTJOIN("_",TRUE,C310,"node",D310,M310,N310)</f>
        <v>s1_node_economy_59_2</v>
      </c>
      <c r="B310" s="0" t="s">
        <v>0</v>
      </c>
      <c r="C310" s="0" t="s">
        <v>26</v>
      </c>
      <c r="D310" s="0" t="s">
        <v>103</v>
      </c>
      <c r="E310" s="0" t="str">
        <f>"s1_node_"&amp;D310&amp;"_name"</f>
        <v>s1_node_economy_name</v>
      </c>
      <c r="F310" s="13" t="str">
        <f>"s1_node_"&amp;D310&amp;"_desc"</f>
        <v>s1_node_economy_desc</v>
      </c>
      <c r="G310" s="0" t="s">
        <v>419</v>
      </c>
      <c r="H310" s="0">
        <v>3</v>
      </c>
      <c r="I310" s="0" t="s">
        <v>27</v>
      </c>
      <c r="J310" s="0" t="s">
        <v>532</v>
      </c>
      <c r="K310" s="0">
        <v>2180</v>
      </c>
      <c r="L310" s="13">
        <v>3</v>
      </c>
      <c r="M310" s="0">
        <v>59</v>
      </c>
      <c r="N310" s="0">
        <v>2</v>
      </c>
      <c r="T310" s="0" t="str">
        <f>_xlfn.TEXTJOIN("_",TRUE,C310,"node_eff",D310,M310,N310)</f>
        <v>s1_node_eff_economy_59_2</v>
      </c>
    </row>
    <row r="311" spans="1:20" x14ac:dyDescent="0.45">
      <c r="A311" s="0" t="str">
        <f>_xlfn.TEXTJOIN("_",TRUE,C311,"node",D311,M311,N311)</f>
        <v>s1_node_economy_59_4</v>
      </c>
      <c r="B311" s="0" t="s">
        <v>0</v>
      </c>
      <c r="C311" s="0" t="s">
        <v>26</v>
      </c>
      <c r="D311" s="0" t="s">
        <v>103</v>
      </c>
      <c r="E311" s="0" t="str">
        <f>"s1_node_"&amp;D311&amp;"_name"</f>
        <v>s1_node_economy_name</v>
      </c>
      <c r="F311" s="13" t="str">
        <f>"s1_node_"&amp;D311&amp;"_desc"</f>
        <v>s1_node_economy_desc</v>
      </c>
      <c r="G311" s="0" t="s">
        <v>419</v>
      </c>
      <c r="H311" s="0">
        <v>3</v>
      </c>
      <c r="I311" s="0" t="s">
        <v>27</v>
      </c>
      <c r="J311" s="0" t="s">
        <v>532</v>
      </c>
      <c r="K311" s="0">
        <v>2180</v>
      </c>
      <c r="L311" s="13">
        <v>3</v>
      </c>
      <c r="M311" s="0">
        <v>59</v>
      </c>
      <c r="N311" s="0">
        <v>4</v>
      </c>
      <c r="P311" s="0" t="s">
        <v>533</v>
      </c>
      <c r="T311" s="0" t="str">
        <f>_xlfn.TEXTJOIN("_",TRUE,C311,"node_eff",D311,M311,N311)</f>
        <v>s1_node_eff_economy_59_4</v>
      </c>
    </row>
    <row r="312" spans="1:20" x14ac:dyDescent="0.45">
      <c r="A312" s="0" t="str">
        <f>_xlfn.TEXTJOIN("_",TRUE,C312,"node",D312,M312,N312)</f>
        <v>s1_node_economy_59_6</v>
      </c>
      <c r="B312" s="0" t="s">
        <v>0</v>
      </c>
      <c r="C312" s="0" t="s">
        <v>26</v>
      </c>
      <c r="D312" s="0" t="s">
        <v>103</v>
      </c>
      <c r="E312" s="0" t="str">
        <f>"s1_node_"&amp;D312&amp;"_name"</f>
        <v>s1_node_economy_name</v>
      </c>
      <c r="F312" s="13" t="str">
        <f>"s1_node_"&amp;D312&amp;"_desc"</f>
        <v>s1_node_economy_desc</v>
      </c>
      <c r="G312" s="0" t="s">
        <v>419</v>
      </c>
      <c r="H312" s="0">
        <v>3</v>
      </c>
      <c r="I312" s="0" t="s">
        <v>27</v>
      </c>
      <c r="J312" s="0" t="s">
        <v>532</v>
      </c>
      <c r="K312" s="0">
        <v>2180</v>
      </c>
      <c r="L312" s="13">
        <v>3</v>
      </c>
      <c r="M312" s="0">
        <v>59</v>
      </c>
      <c r="N312" s="0">
        <v>6</v>
      </c>
      <c r="T312" s="0" t="str">
        <f>_xlfn.TEXTJOIN("_",TRUE,C312,"node_eff",D312,M312,N312)</f>
        <v>s1_node_eff_economy_59_6</v>
      </c>
    </row>
    <row r="313" spans="1:20" x14ac:dyDescent="0.45">
      <c r="A313" s="0" t="str">
        <f>_xlfn.TEXTJOIN("_",TRUE,C313,"node",D313,M313,N313)</f>
        <v>s1_node_economy_60_2</v>
      </c>
      <c r="B313" s="0" t="s">
        <v>0</v>
      </c>
      <c r="C313" s="0" t="s">
        <v>26</v>
      </c>
      <c r="D313" s="0" t="s">
        <v>103</v>
      </c>
      <c r="E313" s="0" t="str">
        <f>"s1_node_"&amp;D313&amp;"_name"</f>
        <v>s1_node_economy_name</v>
      </c>
      <c r="F313" s="13" t="str">
        <f>"s1_node_"&amp;D313&amp;"_desc"</f>
        <v>s1_node_economy_desc</v>
      </c>
      <c r="G313" s="0" t="s">
        <v>419</v>
      </c>
      <c r="H313" s="0">
        <v>3</v>
      </c>
      <c r="I313" s="0" t="s">
        <v>27</v>
      </c>
      <c r="J313" s="0" t="s">
        <v>534</v>
      </c>
      <c r="K313" s="0">
        <v>2220</v>
      </c>
      <c r="L313" s="13">
        <v>3</v>
      </c>
      <c r="M313" s="0">
        <v>60</v>
      </c>
      <c r="N313" s="0">
        <v>2</v>
      </c>
      <c r="P313" s="0" t="s">
        <v>535</v>
      </c>
      <c r="T313" s="0" t="str">
        <f>_xlfn.TEXTJOIN("_",TRUE,C313,"node_eff",D313,M313,N313)</f>
        <v>s1_node_eff_economy_60_2</v>
      </c>
    </row>
    <row r="314" spans="1:20" x14ac:dyDescent="0.45">
      <c r="A314" s="0" t="str">
        <f>_xlfn.TEXTJOIN("_",TRUE,C314,"node",D314,M314,N314)</f>
        <v>s1_node_economy_60_6</v>
      </c>
      <c r="B314" s="0" t="s">
        <v>0</v>
      </c>
      <c r="C314" s="0" t="s">
        <v>26</v>
      </c>
      <c r="D314" s="0" t="s">
        <v>103</v>
      </c>
      <c r="E314" s="0" t="str">
        <f>"s1_node_"&amp;D314&amp;"_name"</f>
        <v>s1_node_economy_name</v>
      </c>
      <c r="F314" s="13" t="str">
        <f>"s1_node_"&amp;D314&amp;"_desc"</f>
        <v>s1_node_economy_desc</v>
      </c>
      <c r="G314" s="0" t="s">
        <v>422</v>
      </c>
      <c r="H314" s="0">
        <v>3</v>
      </c>
      <c r="I314" s="0" t="s">
        <v>27</v>
      </c>
      <c r="J314" s="0" t="s">
        <v>534</v>
      </c>
      <c r="K314" s="0">
        <v>2220</v>
      </c>
      <c r="L314" s="13">
        <v>3</v>
      </c>
      <c r="M314" s="0">
        <v>60</v>
      </c>
      <c r="N314" s="0">
        <v>6</v>
      </c>
      <c r="P314" s="0" t="s">
        <v>536</v>
      </c>
      <c r="T314" s="0" t="str">
        <f>_xlfn.TEXTJOIN("_",TRUE,C314,"node_eff",D314,M314,N314)</f>
        <v>s1_node_eff_economy_60_6</v>
      </c>
    </row>
    <row r="315" spans="1:20" x14ac:dyDescent="0.45">
      <c r="A315" s="0" t="str">
        <f>_xlfn.TEXTJOIN("_",TRUE,C315,"node",D315,M315,N315)</f>
        <v>s1_node_economy_61_4</v>
      </c>
      <c r="B315" s="0" t="s">
        <v>0</v>
      </c>
      <c r="C315" s="0" t="s">
        <v>26</v>
      </c>
      <c r="D315" s="0" t="s">
        <v>103</v>
      </c>
      <c r="E315" s="0" t="str">
        <f>"s1_node_"&amp;D315&amp;"_name"</f>
        <v>s1_node_economy_name</v>
      </c>
      <c r="F315" s="13" t="str">
        <f>"s1_node_"&amp;D315&amp;"_desc"</f>
        <v>s1_node_economy_desc</v>
      </c>
      <c r="G315" s="0" t="s">
        <v>419</v>
      </c>
      <c r="H315" s="0">
        <v>4</v>
      </c>
      <c r="I315" s="0" t="s">
        <v>27</v>
      </c>
      <c r="J315" s="0" t="s">
        <v>537</v>
      </c>
      <c r="K315" s="0">
        <v>2260</v>
      </c>
      <c r="L315" s="13">
        <v>3</v>
      </c>
      <c r="M315" s="0">
        <v>61</v>
      </c>
      <c r="N315" s="0">
        <v>4</v>
      </c>
      <c r="P315" s="0" t="s">
        <v>538</v>
      </c>
      <c r="T315" s="0" t="str">
        <f>_xlfn.TEXTJOIN("_",TRUE,C315,"node_eff",D315,M315,N315)</f>
        <v>s1_node_eff_economy_61_4</v>
      </c>
    </row>
    <row r="316" spans="1:20" x14ac:dyDescent="0.45">
      <c r="A316" s="0" t="str">
        <f>_xlfn.TEXTJOIN("_",TRUE,C316,"node",D316,M316,N316)</f>
        <v>s1_node_economy_62_2</v>
      </c>
      <c r="B316" s="0" t="s">
        <v>0</v>
      </c>
      <c r="C316" s="0" t="s">
        <v>26</v>
      </c>
      <c r="D316" s="0" t="s">
        <v>103</v>
      </c>
      <c r="E316" s="0" t="str">
        <f>"s1_node_"&amp;D316&amp;"_name"</f>
        <v>s1_node_economy_name</v>
      </c>
      <c r="F316" s="13" t="str">
        <f>"s1_node_"&amp;D316&amp;"_desc"</f>
        <v>s1_node_economy_desc</v>
      </c>
      <c r="G316" s="0" t="s">
        <v>419</v>
      </c>
      <c r="H316" s="0">
        <v>4</v>
      </c>
      <c r="I316" s="0" t="s">
        <v>27</v>
      </c>
      <c r="J316" s="0" t="s">
        <v>539</v>
      </c>
      <c r="K316" s="0">
        <v>2290</v>
      </c>
      <c r="L316" s="13">
        <v>3</v>
      </c>
      <c r="M316" s="0">
        <v>62</v>
      </c>
      <c r="N316" s="0">
        <v>2</v>
      </c>
      <c r="T316" s="0" t="str">
        <f>_xlfn.TEXTJOIN("_",TRUE,C316,"node_eff",D316,M316,N316)</f>
        <v>s1_node_eff_economy_62_2</v>
      </c>
    </row>
    <row r="317" spans="1:20" x14ac:dyDescent="0.45">
      <c r="A317" s="0" t="str">
        <f>_xlfn.TEXTJOIN("_",TRUE,C317,"node",D317,M317,N317)</f>
        <v>s1_node_economy_62_4</v>
      </c>
      <c r="B317" s="0" t="s">
        <v>0</v>
      </c>
      <c r="C317" s="0" t="s">
        <v>26</v>
      </c>
      <c r="D317" s="0" t="s">
        <v>103</v>
      </c>
      <c r="E317" s="0" t="str">
        <f>"s1_node_"&amp;D317&amp;"_name"</f>
        <v>s1_node_economy_name</v>
      </c>
      <c r="F317" s="13" t="str">
        <f>"s1_node_"&amp;D317&amp;"_desc"</f>
        <v>s1_node_economy_desc</v>
      </c>
      <c r="G317" s="0" t="s">
        <v>419</v>
      </c>
      <c r="H317" s="0">
        <v>4</v>
      </c>
      <c r="I317" s="0" t="s">
        <v>27</v>
      </c>
      <c r="J317" s="0" t="s">
        <v>539</v>
      </c>
      <c r="K317" s="0">
        <v>2290</v>
      </c>
      <c r="L317" s="13">
        <v>3</v>
      </c>
      <c r="M317" s="0">
        <v>62</v>
      </c>
      <c r="N317" s="0">
        <v>4</v>
      </c>
      <c r="T317" s="0" t="str">
        <f>_xlfn.TEXTJOIN("_",TRUE,C317,"node_eff",D317,M317,N317)</f>
        <v>s1_node_eff_economy_62_4</v>
      </c>
    </row>
    <row r="318" spans="1:20" x14ac:dyDescent="0.45">
      <c r="A318" s="0" t="str">
        <f>_xlfn.TEXTJOIN("_",TRUE,C318,"node",D318,M318,N318)</f>
        <v>s1_node_economy_62_6</v>
      </c>
      <c r="B318" s="0" t="s">
        <v>0</v>
      </c>
      <c r="C318" s="0" t="s">
        <v>26</v>
      </c>
      <c r="D318" s="0" t="s">
        <v>103</v>
      </c>
      <c r="E318" s="0" t="str">
        <f>"s1_node_"&amp;D318&amp;"_name"</f>
        <v>s1_node_economy_name</v>
      </c>
      <c r="F318" s="13" t="str">
        <f>"s1_node_"&amp;D318&amp;"_desc"</f>
        <v>s1_node_economy_desc</v>
      </c>
      <c r="G318" s="0" t="s">
        <v>419</v>
      </c>
      <c r="H318" s="0">
        <v>4</v>
      </c>
      <c r="I318" s="0" t="s">
        <v>27</v>
      </c>
      <c r="J318" s="0" t="s">
        <v>539</v>
      </c>
      <c r="K318" s="0">
        <v>2290</v>
      </c>
      <c r="L318" s="13">
        <v>3</v>
      </c>
      <c r="M318" s="0">
        <v>62</v>
      </c>
      <c r="N318" s="0">
        <v>6</v>
      </c>
      <c r="T318" s="0" t="str">
        <f>_xlfn.TEXTJOIN("_",TRUE,C318,"node_eff",D318,M318,N318)</f>
        <v>s1_node_eff_economy_62_6</v>
      </c>
    </row>
    <row r="319" spans="1:20" x14ac:dyDescent="0.45">
      <c r="A319" s="0" t="str">
        <f>_xlfn.TEXTJOIN("_",TRUE,C319,"node",D319,M319,N319)</f>
        <v>s1_node_economy_63_2</v>
      </c>
      <c r="B319" s="0" t="s">
        <v>0</v>
      </c>
      <c r="C319" s="0" t="s">
        <v>26</v>
      </c>
      <c r="D319" s="0" t="s">
        <v>103</v>
      </c>
      <c r="E319" s="0" t="str">
        <f>"s1_node_"&amp;D319&amp;"_name"</f>
        <v>s1_node_economy_name</v>
      </c>
      <c r="F319" s="13" t="str">
        <f>"s1_node_"&amp;D319&amp;"_desc"</f>
        <v>s1_node_economy_desc</v>
      </c>
      <c r="G319" s="0" t="s">
        <v>419</v>
      </c>
      <c r="H319" s="0">
        <v>4</v>
      </c>
      <c r="I319" s="0" t="s">
        <v>27</v>
      </c>
      <c r="J319" s="0" t="s">
        <v>540</v>
      </c>
      <c r="K319" s="0">
        <v>2330</v>
      </c>
      <c r="L319" s="13">
        <v>3</v>
      </c>
      <c r="M319" s="0">
        <v>63</v>
      </c>
      <c r="N319" s="0">
        <v>2</v>
      </c>
      <c r="P319" s="0" t="s">
        <v>541</v>
      </c>
      <c r="T319" s="0" t="str">
        <f>_xlfn.TEXTJOIN("_",TRUE,C319,"node_eff",D319,M319,N319)</f>
        <v>s1_node_eff_economy_63_2</v>
      </c>
    </row>
    <row r="320" spans="1:20" x14ac:dyDescent="0.45">
      <c r="A320" s="0" t="str">
        <f>_xlfn.TEXTJOIN("_",TRUE,C320,"node",D320,M320,N320)</f>
        <v>s1_node_economy_63_6</v>
      </c>
      <c r="B320" s="0" t="s">
        <v>0</v>
      </c>
      <c r="C320" s="0" t="s">
        <v>26</v>
      </c>
      <c r="D320" s="0" t="s">
        <v>103</v>
      </c>
      <c r="E320" s="0" t="str">
        <f>"s1_node_"&amp;D320&amp;"_name"</f>
        <v>s1_node_economy_name</v>
      </c>
      <c r="F320" s="13" t="str">
        <f>"s1_node_"&amp;D320&amp;"_desc"</f>
        <v>s1_node_economy_desc</v>
      </c>
      <c r="G320" s="0" t="s">
        <v>422</v>
      </c>
      <c r="H320" s="0">
        <v>4</v>
      </c>
      <c r="I320" s="0" t="s">
        <v>27</v>
      </c>
      <c r="J320" s="0" t="s">
        <v>540</v>
      </c>
      <c r="K320" s="0">
        <v>2330</v>
      </c>
      <c r="L320" s="13">
        <v>3</v>
      </c>
      <c r="M320" s="0">
        <v>63</v>
      </c>
      <c r="N320" s="0">
        <v>6</v>
      </c>
      <c r="P320" s="0" t="s">
        <v>542</v>
      </c>
      <c r="T320" s="0" t="str">
        <f>_xlfn.TEXTJOIN("_",TRUE,C320,"node_eff",D320,M320,N320)</f>
        <v>s1_node_eff_economy_63_6</v>
      </c>
    </row>
    <row r="321" spans="1:20" x14ac:dyDescent="0.45">
      <c r="A321" s="0" t="str">
        <f>_xlfn.TEXTJOIN("_",TRUE,C321,"node",D321,M321,N321)</f>
        <v>s1_node_economy_64_2</v>
      </c>
      <c r="B321" s="0" t="s">
        <v>0</v>
      </c>
      <c r="C321" s="0" t="s">
        <v>26</v>
      </c>
      <c r="D321" s="0" t="s">
        <v>103</v>
      </c>
      <c r="E321" s="0" t="str">
        <f>"s1_node_"&amp;D321&amp;"_name"</f>
        <v>s1_node_economy_name</v>
      </c>
      <c r="F321" s="13" t="str">
        <f>"s1_node_"&amp;D321&amp;"_desc"</f>
        <v>s1_node_economy_desc</v>
      </c>
      <c r="G321" s="0" t="s">
        <v>419</v>
      </c>
      <c r="H321" s="0">
        <v>4</v>
      </c>
      <c r="I321" s="0" t="s">
        <v>27</v>
      </c>
      <c r="J321" s="0" t="s">
        <v>543</v>
      </c>
      <c r="K321" s="0">
        <v>2360</v>
      </c>
      <c r="L321" s="13">
        <v>3</v>
      </c>
      <c r="M321" s="0">
        <v>64</v>
      </c>
      <c r="N321" s="0">
        <v>2</v>
      </c>
      <c r="T321" s="0" t="str">
        <f>_xlfn.TEXTJOIN("_",TRUE,C321,"node_eff",D321,M321,N321)</f>
        <v>s1_node_eff_economy_64_2</v>
      </c>
    </row>
    <row r="322" spans="1:20" x14ac:dyDescent="0.45">
      <c r="A322" s="0" t="str">
        <f>_xlfn.TEXTJOIN("_",TRUE,C322,"node",D322,M322,N322)</f>
        <v>s1_node_economy_64_4</v>
      </c>
      <c r="B322" s="0" t="s">
        <v>0</v>
      </c>
      <c r="C322" s="0" t="s">
        <v>26</v>
      </c>
      <c r="D322" s="0" t="s">
        <v>103</v>
      </c>
      <c r="E322" s="0" t="str">
        <f>"s1_node_"&amp;D322&amp;"_name"</f>
        <v>s1_node_economy_name</v>
      </c>
      <c r="F322" s="13" t="str">
        <f>"s1_node_"&amp;D322&amp;"_desc"</f>
        <v>s1_node_economy_desc</v>
      </c>
      <c r="G322" s="0" t="s">
        <v>419</v>
      </c>
      <c r="H322" s="0">
        <v>4</v>
      </c>
      <c r="I322" s="0" t="s">
        <v>27</v>
      </c>
      <c r="J322" s="0" t="s">
        <v>543</v>
      </c>
      <c r="K322" s="0">
        <v>2360</v>
      </c>
      <c r="L322" s="13">
        <v>3</v>
      </c>
      <c r="M322" s="0">
        <v>64</v>
      </c>
      <c r="N322" s="0">
        <v>4</v>
      </c>
      <c r="P322" s="0" t="s">
        <v>544</v>
      </c>
      <c r="T322" s="0" t="str">
        <f>_xlfn.TEXTJOIN("_",TRUE,C322,"node_eff",D322,M322,N322)</f>
        <v>s1_node_eff_economy_64_4</v>
      </c>
    </row>
    <row r="323" spans="1:20" x14ac:dyDescent="0.45">
      <c r="A323" s="0" t="str">
        <f>_xlfn.TEXTJOIN("_",TRUE,C323,"node",D323,M323,N323)</f>
        <v>s1_node_economy_64_6</v>
      </c>
      <c r="B323" s="0" t="s">
        <v>0</v>
      </c>
      <c r="C323" s="0" t="s">
        <v>26</v>
      </c>
      <c r="D323" s="0" t="s">
        <v>103</v>
      </c>
      <c r="E323" s="0" t="str">
        <f>"s1_node_"&amp;D323&amp;"_name"</f>
        <v>s1_node_economy_name</v>
      </c>
      <c r="F323" s="13" t="str">
        <f>"s1_node_"&amp;D323&amp;"_desc"</f>
        <v>s1_node_economy_desc</v>
      </c>
      <c r="G323" s="0" t="s">
        <v>419</v>
      </c>
      <c r="H323" s="0">
        <v>4</v>
      </c>
      <c r="I323" s="0" t="s">
        <v>27</v>
      </c>
      <c r="J323" s="0" t="s">
        <v>543</v>
      </c>
      <c r="K323" s="0">
        <v>2360</v>
      </c>
      <c r="L323" s="13">
        <v>3</v>
      </c>
      <c r="M323" s="0">
        <v>64</v>
      </c>
      <c r="N323" s="0">
        <v>6</v>
      </c>
      <c r="T323" s="0" t="str">
        <f>_xlfn.TEXTJOIN("_",TRUE,C323,"node_eff",D323,M323,N323)</f>
        <v>s1_node_eff_economy_64_6</v>
      </c>
    </row>
    <row r="324" spans="1:20" x14ac:dyDescent="0.45">
      <c r="A324" s="0" t="str">
        <f>_xlfn.TEXTJOIN("_",TRUE,C324,"node",D324,M324,N324)</f>
        <v>s1_node_economy_65_2</v>
      </c>
      <c r="B324" s="0" t="s">
        <v>0</v>
      </c>
      <c r="C324" s="0" t="s">
        <v>26</v>
      </c>
      <c r="D324" s="0" t="s">
        <v>103</v>
      </c>
      <c r="E324" s="0" t="str">
        <f>"s1_node_"&amp;D324&amp;"_name"</f>
        <v>s1_node_economy_name</v>
      </c>
      <c r="F324" s="13" t="str">
        <f>"s1_node_"&amp;D324&amp;"_desc"</f>
        <v>s1_node_economy_desc</v>
      </c>
      <c r="G324" s="0" t="s">
        <v>419</v>
      </c>
      <c r="H324" s="0">
        <v>4</v>
      </c>
      <c r="I324" s="0" t="s">
        <v>27</v>
      </c>
      <c r="J324" s="0" t="s">
        <v>545</v>
      </c>
      <c r="K324" s="0">
        <v>2400</v>
      </c>
      <c r="L324" s="13">
        <v>3</v>
      </c>
      <c r="M324" s="0">
        <v>65</v>
      </c>
      <c r="N324" s="0">
        <v>2</v>
      </c>
      <c r="P324" s="0" t="s">
        <v>546</v>
      </c>
      <c r="T324" s="0" t="str">
        <f>_xlfn.TEXTJOIN("_",TRUE,C324,"node_eff",D324,M324,N324)</f>
        <v>s1_node_eff_economy_65_2</v>
      </c>
    </row>
    <row r="325" spans="1:20" x14ac:dyDescent="0.45">
      <c r="A325" s="0" t="str">
        <f>_xlfn.TEXTJOIN("_",TRUE,C325,"node",D325,M325,N325)</f>
        <v>s1_node_economy_65_6</v>
      </c>
      <c r="B325" s="0" t="s">
        <v>0</v>
      </c>
      <c r="C325" s="0" t="s">
        <v>26</v>
      </c>
      <c r="D325" s="0" t="s">
        <v>103</v>
      </c>
      <c r="E325" s="0" t="str">
        <f>"s1_node_"&amp;D325&amp;"_name"</f>
        <v>s1_node_economy_name</v>
      </c>
      <c r="F325" s="13" t="str">
        <f>"s1_node_"&amp;D325&amp;"_desc"</f>
        <v>s1_node_economy_desc</v>
      </c>
      <c r="G325" s="0" t="s">
        <v>419</v>
      </c>
      <c r="H325" s="0">
        <v>4</v>
      </c>
      <c r="I325" s="0" t="s">
        <v>27</v>
      </c>
      <c r="J325" s="0" t="s">
        <v>545</v>
      </c>
      <c r="K325" s="0">
        <v>2400</v>
      </c>
      <c r="L325" s="13">
        <v>3</v>
      </c>
      <c r="M325" s="0">
        <v>65</v>
      </c>
      <c r="N325" s="0">
        <v>6</v>
      </c>
      <c r="P325" s="0" t="s">
        <v>547</v>
      </c>
      <c r="T325" s="0" t="str">
        <f>_xlfn.TEXTJOIN("_",TRUE,C325,"node_eff",D325,M325,N325)</f>
        <v>s1_node_eff_economy_65_6</v>
      </c>
    </row>
    <row r="326" spans="1:20" x14ac:dyDescent="0.45">
      <c r="A326" s="0" t="str">
        <f>_xlfn.TEXTJOIN("_",TRUE,C326,"node",D326,M326,N326)</f>
        <v>s1_node_economy_66_4</v>
      </c>
      <c r="B326" s="0" t="s">
        <v>0</v>
      </c>
      <c r="C326" s="0" t="s">
        <v>26</v>
      </c>
      <c r="D326" s="0" t="s">
        <v>103</v>
      </c>
      <c r="E326" s="0" t="str">
        <f>"s1_node_"&amp;D326&amp;"_name"</f>
        <v>s1_node_economy_name</v>
      </c>
      <c r="F326" s="13" t="str">
        <f>"s1_node_"&amp;D326&amp;"_desc"</f>
        <v>s1_node_economy_desc</v>
      </c>
      <c r="G326" s="0" t="s">
        <v>422</v>
      </c>
      <c r="H326" s="0">
        <v>4</v>
      </c>
      <c r="I326" s="0" t="s">
        <v>27</v>
      </c>
      <c r="J326" s="0" t="s">
        <v>548</v>
      </c>
      <c r="K326" s="0">
        <v>2430</v>
      </c>
      <c r="L326" s="13">
        <v>3</v>
      </c>
      <c r="M326" s="0">
        <v>66</v>
      </c>
      <c r="N326" s="0">
        <v>4</v>
      </c>
      <c r="P326" s="0" t="s">
        <v>549</v>
      </c>
      <c r="T326" s="0" t="str">
        <f>_xlfn.TEXTJOIN("_",TRUE,C326,"node_eff",D326,M326,N326)</f>
        <v>s1_node_eff_economy_66_4</v>
      </c>
    </row>
    <row r="327" spans="1:20" x14ac:dyDescent="0.45">
      <c r="A327" s="0" t="str">
        <f>_xlfn.TEXTJOIN("_",TRUE,C327,"node",D327,M327,N327)</f>
        <v>s1_node_economy_67_2</v>
      </c>
      <c r="B327" s="0" t="s">
        <v>0</v>
      </c>
      <c r="C327" s="0" t="s">
        <v>26</v>
      </c>
      <c r="D327" s="0" t="s">
        <v>103</v>
      </c>
      <c r="E327" s="0" t="str">
        <f>"s1_node_"&amp;D327&amp;"_name"</f>
        <v>s1_node_economy_name</v>
      </c>
      <c r="F327" s="13" t="str">
        <f>"s1_node_"&amp;D327&amp;"_desc"</f>
        <v>s1_node_economy_desc</v>
      </c>
      <c r="G327" s="0" t="s">
        <v>419</v>
      </c>
      <c r="H327" s="0">
        <v>4</v>
      </c>
      <c r="I327" s="0" t="s">
        <v>27</v>
      </c>
      <c r="J327" s="0" t="s">
        <v>550</v>
      </c>
      <c r="K327" s="0">
        <v>2470</v>
      </c>
      <c r="L327" s="13">
        <v>3</v>
      </c>
      <c r="M327" s="0">
        <v>67</v>
      </c>
      <c r="N327" s="0">
        <v>2</v>
      </c>
      <c r="T327" s="0" t="str">
        <f>_xlfn.TEXTJOIN("_",TRUE,C327,"node_eff",D327,M327,N327)</f>
        <v>s1_node_eff_economy_67_2</v>
      </c>
    </row>
    <row r="328" spans="1:20" x14ac:dyDescent="0.45">
      <c r="A328" s="0" t="str">
        <f>_xlfn.TEXTJOIN("_",TRUE,C328,"node",D328,M328,N328)</f>
        <v>s1_node_economy_67_4</v>
      </c>
      <c r="B328" s="0" t="s">
        <v>0</v>
      </c>
      <c r="C328" s="0" t="s">
        <v>26</v>
      </c>
      <c r="D328" s="0" t="s">
        <v>103</v>
      </c>
      <c r="E328" s="0" t="str">
        <f>"s1_node_"&amp;D328&amp;"_name"</f>
        <v>s1_node_economy_name</v>
      </c>
      <c r="F328" s="13" t="str">
        <f>"s1_node_"&amp;D328&amp;"_desc"</f>
        <v>s1_node_economy_desc</v>
      </c>
      <c r="G328" s="0" t="s">
        <v>419</v>
      </c>
      <c r="H328" s="0">
        <v>4</v>
      </c>
      <c r="I328" s="0" t="s">
        <v>27</v>
      </c>
      <c r="J328" s="0" t="s">
        <v>550</v>
      </c>
      <c r="K328" s="0">
        <v>2470</v>
      </c>
      <c r="L328" s="13">
        <v>3</v>
      </c>
      <c r="M328" s="0">
        <v>67</v>
      </c>
      <c r="N328" s="0">
        <v>4</v>
      </c>
      <c r="T328" s="0" t="str">
        <f>_xlfn.TEXTJOIN("_",TRUE,C328,"node_eff",D328,M328,N328)</f>
        <v>s1_node_eff_economy_67_4</v>
      </c>
    </row>
    <row r="329" spans="1:20" x14ac:dyDescent="0.45">
      <c r="A329" s="0" t="str">
        <f>_xlfn.TEXTJOIN("_",TRUE,C329,"node",D329,M329,N329)</f>
        <v>s1_node_economy_67_6</v>
      </c>
      <c r="B329" s="0" t="s">
        <v>0</v>
      </c>
      <c r="C329" s="0" t="s">
        <v>26</v>
      </c>
      <c r="D329" s="0" t="s">
        <v>103</v>
      </c>
      <c r="E329" s="0" t="str">
        <f>"s1_node_"&amp;D329&amp;"_name"</f>
        <v>s1_node_economy_name</v>
      </c>
      <c r="F329" s="13" t="str">
        <f>"s1_node_"&amp;D329&amp;"_desc"</f>
        <v>s1_node_economy_desc</v>
      </c>
      <c r="G329" s="0" t="s">
        <v>419</v>
      </c>
      <c r="H329" s="0">
        <v>4</v>
      </c>
      <c r="I329" s="0" t="s">
        <v>27</v>
      </c>
      <c r="J329" s="0" t="s">
        <v>550</v>
      </c>
      <c r="K329" s="0">
        <v>2470</v>
      </c>
      <c r="L329" s="13">
        <v>3</v>
      </c>
      <c r="M329" s="0">
        <v>67</v>
      </c>
      <c r="N329" s="0">
        <v>6</v>
      </c>
      <c r="T329" s="0" t="str">
        <f>_xlfn.TEXTJOIN("_",TRUE,C329,"node_eff",D329,M329,N329)</f>
        <v>s1_node_eff_economy_67_6</v>
      </c>
    </row>
    <row r="330" spans="1:20" x14ac:dyDescent="0.45">
      <c r="A330" s="0" t="str">
        <f>_xlfn.TEXTJOIN("_",TRUE,C330,"node",D330,M330,N330)</f>
        <v>s1_node_economy_68_2</v>
      </c>
      <c r="B330" s="0" t="s">
        <v>0</v>
      </c>
      <c r="C330" s="0" t="s">
        <v>26</v>
      </c>
      <c r="D330" s="0" t="s">
        <v>103</v>
      </c>
      <c r="E330" s="0" t="str">
        <f>"s1_node_"&amp;D330&amp;"_name"</f>
        <v>s1_node_economy_name</v>
      </c>
      <c r="F330" s="13" t="str">
        <f>"s1_node_"&amp;D330&amp;"_desc"</f>
        <v>s1_node_economy_desc</v>
      </c>
      <c r="G330" s="0" t="s">
        <v>419</v>
      </c>
      <c r="H330" s="0">
        <v>4</v>
      </c>
      <c r="I330" s="0" t="s">
        <v>27</v>
      </c>
      <c r="J330" s="0" t="s">
        <v>335</v>
      </c>
      <c r="K330" s="0">
        <v>2510</v>
      </c>
      <c r="L330" s="13">
        <v>3</v>
      </c>
      <c r="M330" s="0">
        <v>68</v>
      </c>
      <c r="N330" s="0">
        <v>2</v>
      </c>
      <c r="P330" s="0" t="s">
        <v>551</v>
      </c>
      <c r="T330" s="0" t="str">
        <f>_xlfn.TEXTJOIN("_",TRUE,C330,"node_eff",D330,M330,N330)</f>
        <v>s1_node_eff_economy_68_2</v>
      </c>
    </row>
    <row r="331" spans="1:20" x14ac:dyDescent="0.45">
      <c r="A331" s="0" t="str">
        <f>_xlfn.TEXTJOIN("_",TRUE,C331,"node",D331,M331,N331)</f>
        <v>s1_node_economy_68_6</v>
      </c>
      <c r="B331" s="0" t="s">
        <v>0</v>
      </c>
      <c r="C331" s="0" t="s">
        <v>26</v>
      </c>
      <c r="D331" s="0" t="s">
        <v>103</v>
      </c>
      <c r="E331" s="0" t="str">
        <f>"s1_node_"&amp;D331&amp;"_name"</f>
        <v>s1_node_economy_name</v>
      </c>
      <c r="F331" s="13" t="str">
        <f>"s1_node_"&amp;D331&amp;"_desc"</f>
        <v>s1_node_economy_desc</v>
      </c>
      <c r="G331" s="0" t="s">
        <v>419</v>
      </c>
      <c r="H331" s="0">
        <v>4</v>
      </c>
      <c r="I331" s="0" t="s">
        <v>27</v>
      </c>
      <c r="J331" s="0" t="s">
        <v>335</v>
      </c>
      <c r="K331" s="0">
        <v>2510</v>
      </c>
      <c r="L331" s="13">
        <v>3</v>
      </c>
      <c r="M331" s="0">
        <v>68</v>
      </c>
      <c r="N331" s="0">
        <v>6</v>
      </c>
      <c r="P331" s="0" t="s">
        <v>552</v>
      </c>
      <c r="T331" s="0" t="str">
        <f>_xlfn.TEXTJOIN("_",TRUE,C331,"node_eff",D331,M331,N331)</f>
        <v>s1_node_eff_economy_68_6</v>
      </c>
    </row>
    <row r="332" spans="1:20" x14ac:dyDescent="0.45">
      <c r="A332" s="0" t="str">
        <f>_xlfn.TEXTJOIN("_",TRUE,C332,"node",D332,M332,N332)</f>
        <v>s1_node_economy_69_2</v>
      </c>
      <c r="B332" s="0" t="s">
        <v>0</v>
      </c>
      <c r="C332" s="0" t="s">
        <v>26</v>
      </c>
      <c r="D332" s="0" t="s">
        <v>103</v>
      </c>
      <c r="E332" s="0" t="str">
        <f>"s1_node_"&amp;D332&amp;"_name"</f>
        <v>s1_node_economy_name</v>
      </c>
      <c r="F332" s="13" t="str">
        <f>"s1_node_"&amp;D332&amp;"_desc"</f>
        <v>s1_node_economy_desc</v>
      </c>
      <c r="G332" s="0" t="s">
        <v>422</v>
      </c>
      <c r="H332" s="0">
        <v>4</v>
      </c>
      <c r="I332" s="0" t="s">
        <v>27</v>
      </c>
      <c r="J332" s="0" t="s">
        <v>553</v>
      </c>
      <c r="K332" s="0">
        <v>2540</v>
      </c>
      <c r="L332" s="13">
        <v>3</v>
      </c>
      <c r="M332" s="0">
        <v>69</v>
      </c>
      <c r="N332" s="0">
        <v>2</v>
      </c>
      <c r="T332" s="0" t="str">
        <f>_xlfn.TEXTJOIN("_",TRUE,C332,"node_eff",D332,M332,N332)</f>
        <v>s1_node_eff_economy_69_2</v>
      </c>
    </row>
    <row r="333" spans="1:20" x14ac:dyDescent="0.45">
      <c r="A333" s="0" t="str">
        <f>_xlfn.TEXTJOIN("_",TRUE,C333,"node",D333,M333,N333)</f>
        <v>s1_node_economy_69_4</v>
      </c>
      <c r="B333" s="0" t="s">
        <v>0</v>
      </c>
      <c r="C333" s="0" t="s">
        <v>26</v>
      </c>
      <c r="D333" s="0" t="s">
        <v>103</v>
      </c>
      <c r="E333" s="0" t="str">
        <f>"s1_node_"&amp;D333&amp;"_name"</f>
        <v>s1_node_economy_name</v>
      </c>
      <c r="F333" s="13" t="str">
        <f>"s1_node_"&amp;D333&amp;"_desc"</f>
        <v>s1_node_economy_desc</v>
      </c>
      <c r="G333" s="0" t="s">
        <v>419</v>
      </c>
      <c r="H333" s="0">
        <v>4</v>
      </c>
      <c r="I333" s="0" t="s">
        <v>27</v>
      </c>
      <c r="J333" s="0" t="s">
        <v>553</v>
      </c>
      <c r="K333" s="0">
        <v>2540</v>
      </c>
      <c r="L333" s="13">
        <v>3</v>
      </c>
      <c r="M333" s="0">
        <v>69</v>
      </c>
      <c r="N333" s="0">
        <v>4</v>
      </c>
      <c r="P333" s="0" t="s">
        <v>554</v>
      </c>
      <c r="T333" s="0" t="str">
        <f>_xlfn.TEXTJOIN("_",TRUE,C333,"node_eff",D333,M333,N333)</f>
        <v>s1_node_eff_economy_69_4</v>
      </c>
    </row>
    <row r="334" spans="1:20" x14ac:dyDescent="0.45">
      <c r="A334" s="0" t="str">
        <f>_xlfn.TEXTJOIN("_",TRUE,C334,"node",D334,M334,N334)</f>
        <v>s1_node_economy_69_6</v>
      </c>
      <c r="B334" s="0" t="s">
        <v>0</v>
      </c>
      <c r="C334" s="0" t="s">
        <v>26</v>
      </c>
      <c r="D334" s="0" t="s">
        <v>103</v>
      </c>
      <c r="E334" s="0" t="str">
        <f>"s1_node_"&amp;D334&amp;"_name"</f>
        <v>s1_node_economy_name</v>
      </c>
      <c r="F334" s="13" t="str">
        <f>"s1_node_"&amp;D334&amp;"_desc"</f>
        <v>s1_node_economy_desc</v>
      </c>
      <c r="G334" s="0" t="s">
        <v>419</v>
      </c>
      <c r="H334" s="0">
        <v>4</v>
      </c>
      <c r="I334" s="0" t="s">
        <v>27</v>
      </c>
      <c r="J334" s="0" t="s">
        <v>553</v>
      </c>
      <c r="K334" s="0">
        <v>2540</v>
      </c>
      <c r="L334" s="13">
        <v>3</v>
      </c>
      <c r="M334" s="0">
        <v>69</v>
      </c>
      <c r="N334" s="0">
        <v>6</v>
      </c>
      <c r="T334" s="0" t="str">
        <f>_xlfn.TEXTJOIN("_",TRUE,C334,"node_eff",D334,M334,N334)</f>
        <v>s1_node_eff_economy_69_6</v>
      </c>
    </row>
    <row r="335" spans="1:20" x14ac:dyDescent="0.45">
      <c r="A335" s="0" t="str">
        <f>_xlfn.TEXTJOIN("_",TRUE,C335,"node",D335,M335,N335)</f>
        <v>s1_node_economy_70_2</v>
      </c>
      <c r="B335" s="0" t="s">
        <v>0</v>
      </c>
      <c r="C335" s="0" t="s">
        <v>26</v>
      </c>
      <c r="D335" s="0" t="s">
        <v>103</v>
      </c>
      <c r="E335" s="0" t="str">
        <f>"s1_node_"&amp;D335&amp;"_name"</f>
        <v>s1_node_economy_name</v>
      </c>
      <c r="F335" s="13" t="str">
        <f>"s1_node_"&amp;D335&amp;"_desc"</f>
        <v>s1_node_economy_desc</v>
      </c>
      <c r="G335" s="0" t="s">
        <v>419</v>
      </c>
      <c r="H335" s="0">
        <v>4</v>
      </c>
      <c r="I335" s="0" t="s">
        <v>27</v>
      </c>
      <c r="J335" s="0" t="s">
        <v>340</v>
      </c>
      <c r="K335" s="0">
        <v>2580</v>
      </c>
      <c r="L335" s="13">
        <v>3</v>
      </c>
      <c r="M335" s="0">
        <v>70</v>
      </c>
      <c r="N335" s="0">
        <v>2</v>
      </c>
      <c r="P335" s="0" t="s">
        <v>555</v>
      </c>
      <c r="T335" s="0" t="str">
        <f>_xlfn.TEXTJOIN("_",TRUE,C335,"node_eff",D335,M335,N335)</f>
        <v>s1_node_eff_economy_70_2</v>
      </c>
    </row>
    <row r="336" spans="1:20" x14ac:dyDescent="0.45">
      <c r="A336" s="0" t="str">
        <f>_xlfn.TEXTJOIN("_",TRUE,C336,"node",D336,M336,N336)</f>
        <v>s1_node_economy_70_6</v>
      </c>
      <c r="B336" s="0" t="s">
        <v>0</v>
      </c>
      <c r="C336" s="0" t="s">
        <v>26</v>
      </c>
      <c r="D336" s="0" t="s">
        <v>103</v>
      </c>
      <c r="E336" s="0" t="str">
        <f>"s1_node_"&amp;D336&amp;"_name"</f>
        <v>s1_node_economy_name</v>
      </c>
      <c r="F336" s="13" t="str">
        <f>"s1_node_"&amp;D336&amp;"_desc"</f>
        <v>s1_node_economy_desc</v>
      </c>
      <c r="G336" s="0" t="s">
        <v>419</v>
      </c>
      <c r="H336" s="0">
        <v>4</v>
      </c>
      <c r="I336" s="0" t="s">
        <v>27</v>
      </c>
      <c r="J336" s="0" t="s">
        <v>340</v>
      </c>
      <c r="K336" s="0">
        <v>2580</v>
      </c>
      <c r="L336" s="13">
        <v>3</v>
      </c>
      <c r="M336" s="0">
        <v>70</v>
      </c>
      <c r="N336" s="0">
        <v>6</v>
      </c>
      <c r="P336" s="0" t="s">
        <v>556</v>
      </c>
      <c r="T336" s="0" t="str">
        <f>_xlfn.TEXTJOIN("_",TRUE,C336,"node_eff",D336,M336,N336)</f>
        <v>s1_node_eff_economy_70_6</v>
      </c>
    </row>
    <row r="337" spans="1:20" x14ac:dyDescent="0.45">
      <c r="A337" s="0" t="str">
        <f>_xlfn.TEXTJOIN("_",TRUE,C337,"node",D337,M337,N337)</f>
        <v>s1_node_economy_71_4</v>
      </c>
      <c r="B337" s="0" t="s">
        <v>0</v>
      </c>
      <c r="C337" s="0" t="s">
        <v>26</v>
      </c>
      <c r="D337" s="0" t="s">
        <v>103</v>
      </c>
      <c r="E337" s="0" t="str">
        <f>"s1_node_"&amp;D337&amp;"_name"</f>
        <v>s1_node_economy_name</v>
      </c>
      <c r="F337" s="13" t="str">
        <f>"s1_node_"&amp;D337&amp;"_desc"</f>
        <v>s1_node_economy_desc</v>
      </c>
      <c r="G337" s="0" t="s">
        <v>419</v>
      </c>
      <c r="H337" s="0">
        <v>4</v>
      </c>
      <c r="I337" s="0" t="s">
        <v>27</v>
      </c>
      <c r="J337" s="0" t="s">
        <v>557</v>
      </c>
      <c r="K337" s="0">
        <v>2610</v>
      </c>
      <c r="L337" s="13">
        <v>3</v>
      </c>
      <c r="M337" s="0">
        <v>71</v>
      </c>
      <c r="N337" s="0">
        <v>4</v>
      </c>
      <c r="P337" s="0" t="s">
        <v>558</v>
      </c>
      <c r="T337" s="0" t="str">
        <f>_xlfn.TEXTJOIN("_",TRUE,C337,"node_eff",D337,M337,N337)</f>
        <v>s1_node_eff_economy_71_4</v>
      </c>
    </row>
    <row r="338" spans="1:20" x14ac:dyDescent="0.45">
      <c r="A338" s="0" t="str">
        <f>_xlfn.TEXTJOIN("_",TRUE,C338,"node",D338,M338,N338)</f>
        <v>s1_node_economy_72_2</v>
      </c>
      <c r="B338" s="0" t="s">
        <v>0</v>
      </c>
      <c r="C338" s="0" t="s">
        <v>26</v>
      </c>
      <c r="D338" s="0" t="s">
        <v>103</v>
      </c>
      <c r="E338" s="0" t="str">
        <f>"s1_node_"&amp;D338&amp;"_name"</f>
        <v>s1_node_economy_name</v>
      </c>
      <c r="F338" s="13" t="str">
        <f>"s1_node_"&amp;D338&amp;"_desc"</f>
        <v>s1_node_economy_desc</v>
      </c>
      <c r="G338" s="0" t="s">
        <v>422</v>
      </c>
      <c r="H338" s="0">
        <v>4</v>
      </c>
      <c r="I338" s="0" t="s">
        <v>27</v>
      </c>
      <c r="J338" s="0" t="s">
        <v>346</v>
      </c>
      <c r="K338" s="0">
        <v>2650</v>
      </c>
      <c r="L338" s="13">
        <v>3</v>
      </c>
      <c r="M338" s="0">
        <v>72</v>
      </c>
      <c r="N338" s="0">
        <v>2</v>
      </c>
      <c r="T338" s="0" t="str">
        <f>_xlfn.TEXTJOIN("_",TRUE,C338,"node_eff",D338,M338,N338)</f>
        <v>s1_node_eff_economy_72_2</v>
      </c>
    </row>
    <row r="339" spans="1:20" x14ac:dyDescent="0.45">
      <c r="A339" s="0" t="str">
        <f>_xlfn.TEXTJOIN("_",TRUE,C339,"node",D339,M339,N339)</f>
        <v>s1_node_economy_72_4</v>
      </c>
      <c r="B339" s="0" t="s">
        <v>0</v>
      </c>
      <c r="C339" s="0" t="s">
        <v>26</v>
      </c>
      <c r="D339" s="0" t="s">
        <v>103</v>
      </c>
      <c r="E339" s="0" t="str">
        <f>"s1_node_"&amp;D339&amp;"_name"</f>
        <v>s1_node_economy_name</v>
      </c>
      <c r="F339" s="13" t="str">
        <f>"s1_node_"&amp;D339&amp;"_desc"</f>
        <v>s1_node_economy_desc</v>
      </c>
      <c r="G339" s="0" t="s">
        <v>419</v>
      </c>
      <c r="H339" s="0">
        <v>4</v>
      </c>
      <c r="I339" s="0" t="s">
        <v>27</v>
      </c>
      <c r="J339" s="0" t="s">
        <v>346</v>
      </c>
      <c r="K339" s="0">
        <v>2650</v>
      </c>
      <c r="L339" s="13">
        <v>3</v>
      </c>
      <c r="M339" s="0">
        <v>72</v>
      </c>
      <c r="N339" s="0">
        <v>4</v>
      </c>
      <c r="T339" s="0" t="str">
        <f>_xlfn.TEXTJOIN("_",TRUE,C339,"node_eff",D339,M339,N339)</f>
        <v>s1_node_eff_economy_72_4</v>
      </c>
    </row>
    <row r="340" spans="1:20" x14ac:dyDescent="0.45">
      <c r="A340" s="0" t="str">
        <f>_xlfn.TEXTJOIN("_",TRUE,C340,"node",D340,M340,N340)</f>
        <v>s1_node_economy_72_6</v>
      </c>
      <c r="B340" s="0" t="s">
        <v>0</v>
      </c>
      <c r="C340" s="0" t="s">
        <v>26</v>
      </c>
      <c r="D340" s="0" t="s">
        <v>103</v>
      </c>
      <c r="E340" s="0" t="str">
        <f>"s1_node_"&amp;D340&amp;"_name"</f>
        <v>s1_node_economy_name</v>
      </c>
      <c r="F340" s="13" t="str">
        <f>"s1_node_"&amp;D340&amp;"_desc"</f>
        <v>s1_node_economy_desc</v>
      </c>
      <c r="G340" s="0" t="s">
        <v>419</v>
      </c>
      <c r="H340" s="0">
        <v>4</v>
      </c>
      <c r="I340" s="0" t="s">
        <v>27</v>
      </c>
      <c r="J340" s="0" t="s">
        <v>346</v>
      </c>
      <c r="K340" s="0">
        <v>2650</v>
      </c>
      <c r="L340" s="13">
        <v>3</v>
      </c>
      <c r="M340" s="0">
        <v>72</v>
      </c>
      <c r="N340" s="0">
        <v>6</v>
      </c>
      <c r="T340" s="0" t="str">
        <f>_xlfn.TEXTJOIN("_",TRUE,C340,"node_eff",D340,M340,N340)</f>
        <v>s1_node_eff_economy_72_6</v>
      </c>
    </row>
    <row r="341" spans="1:20" x14ac:dyDescent="0.45">
      <c r="A341" s="0" t="str">
        <f>_xlfn.TEXTJOIN("_",TRUE,C341,"node",D341,M341,N341)</f>
        <v>s1_node_economy_73_2</v>
      </c>
      <c r="B341" s="0" t="s">
        <v>0</v>
      </c>
      <c r="C341" s="0" t="s">
        <v>26</v>
      </c>
      <c r="D341" s="0" t="s">
        <v>103</v>
      </c>
      <c r="E341" s="0" t="str">
        <f>"s1_node_"&amp;D341&amp;"_name"</f>
        <v>s1_node_economy_name</v>
      </c>
      <c r="F341" s="13" t="str">
        <f>"s1_node_"&amp;D341&amp;"_desc"</f>
        <v>s1_node_economy_desc</v>
      </c>
      <c r="G341" s="0" t="s">
        <v>419</v>
      </c>
      <c r="H341" s="0">
        <v>4</v>
      </c>
      <c r="I341" s="0" t="s">
        <v>27</v>
      </c>
      <c r="J341" s="0" t="s">
        <v>349</v>
      </c>
      <c r="K341" s="0">
        <v>2690</v>
      </c>
      <c r="L341" s="13">
        <v>3</v>
      </c>
      <c r="M341" s="0">
        <v>73</v>
      </c>
      <c r="N341" s="0">
        <v>2</v>
      </c>
      <c r="P341" s="0" t="s">
        <v>559</v>
      </c>
      <c r="T341" s="0" t="str">
        <f>_xlfn.TEXTJOIN("_",TRUE,C341,"node_eff",D341,M341,N341)</f>
        <v>s1_node_eff_economy_73_2</v>
      </c>
    </row>
    <row r="342" spans="1:20" x14ac:dyDescent="0.45">
      <c r="A342" s="0" t="str">
        <f>_xlfn.TEXTJOIN("_",TRUE,C342,"node",D342,M342,N342)</f>
        <v>s1_node_economy_73_6</v>
      </c>
      <c r="B342" s="0" t="s">
        <v>0</v>
      </c>
      <c r="C342" s="0" t="s">
        <v>26</v>
      </c>
      <c r="D342" s="0" t="s">
        <v>103</v>
      </c>
      <c r="E342" s="0" t="str">
        <f>"s1_node_"&amp;D342&amp;"_name"</f>
        <v>s1_node_economy_name</v>
      </c>
      <c r="F342" s="13" t="str">
        <f>"s1_node_"&amp;D342&amp;"_desc"</f>
        <v>s1_node_economy_desc</v>
      </c>
      <c r="G342" s="0" t="s">
        <v>419</v>
      </c>
      <c r="H342" s="0">
        <v>4</v>
      </c>
      <c r="I342" s="0" t="s">
        <v>27</v>
      </c>
      <c r="J342" s="0" t="s">
        <v>349</v>
      </c>
      <c r="K342" s="0">
        <v>2690</v>
      </c>
      <c r="L342" s="13">
        <v>3</v>
      </c>
      <c r="M342" s="0">
        <v>73</v>
      </c>
      <c r="N342" s="0">
        <v>6</v>
      </c>
      <c r="P342" s="0" t="s">
        <v>560</v>
      </c>
      <c r="T342" s="0" t="str">
        <f>_xlfn.TEXTJOIN("_",TRUE,C342,"node_eff",D342,M342,N342)</f>
        <v>s1_node_eff_economy_73_6</v>
      </c>
    </row>
    <row r="343" spans="1:20" x14ac:dyDescent="0.45">
      <c r="A343" s="0" t="str">
        <f>_xlfn.TEXTJOIN("_",TRUE,C343,"node",D343,M343,N343)</f>
        <v>s1_node_economy_74_2</v>
      </c>
      <c r="B343" s="0" t="s">
        <v>0</v>
      </c>
      <c r="C343" s="0" t="s">
        <v>26</v>
      </c>
      <c r="D343" s="0" t="s">
        <v>103</v>
      </c>
      <c r="E343" s="0" t="str">
        <f>"s1_node_"&amp;D343&amp;"_name"</f>
        <v>s1_node_economy_name</v>
      </c>
      <c r="F343" s="13" t="str">
        <f>"s1_node_"&amp;D343&amp;"_desc"</f>
        <v>s1_node_economy_desc</v>
      </c>
      <c r="G343" s="0" t="s">
        <v>419</v>
      </c>
      <c r="H343" s="0">
        <v>4</v>
      </c>
      <c r="I343" s="0" t="s">
        <v>27</v>
      </c>
      <c r="J343" s="0" t="s">
        <v>352</v>
      </c>
      <c r="K343" s="0">
        <v>2720</v>
      </c>
      <c r="L343" s="13">
        <v>3</v>
      </c>
      <c r="M343" s="0">
        <v>74</v>
      </c>
      <c r="N343" s="0">
        <v>2</v>
      </c>
      <c r="T343" s="0" t="str">
        <f>_xlfn.TEXTJOIN("_",TRUE,C343,"node_eff",D343,M343,N343)</f>
        <v>s1_node_eff_economy_74_2</v>
      </c>
    </row>
    <row r="344" spans="1:20" x14ac:dyDescent="0.45">
      <c r="A344" s="0" t="str">
        <f>_xlfn.TEXTJOIN("_",TRUE,C344,"node",D344,M344,N344)</f>
        <v>s1_node_economy_74_4</v>
      </c>
      <c r="B344" s="0" t="s">
        <v>0</v>
      </c>
      <c r="C344" s="0" t="s">
        <v>26</v>
      </c>
      <c r="D344" s="0" t="s">
        <v>103</v>
      </c>
      <c r="E344" s="0" t="str">
        <f>"s1_node_"&amp;D344&amp;"_name"</f>
        <v>s1_node_economy_name</v>
      </c>
      <c r="F344" s="13" t="str">
        <f>"s1_node_"&amp;D344&amp;"_desc"</f>
        <v>s1_node_economy_desc</v>
      </c>
      <c r="G344" s="0" t="s">
        <v>422</v>
      </c>
      <c r="H344" s="0">
        <v>4</v>
      </c>
      <c r="I344" s="0" t="s">
        <v>27</v>
      </c>
      <c r="J344" s="0" t="s">
        <v>352</v>
      </c>
      <c r="K344" s="0">
        <v>2720</v>
      </c>
      <c r="L344" s="13">
        <v>3</v>
      </c>
      <c r="M344" s="0">
        <v>74</v>
      </c>
      <c r="N344" s="0">
        <v>4</v>
      </c>
      <c r="P344" s="0" t="s">
        <v>561</v>
      </c>
      <c r="T344" s="0" t="str">
        <f>_xlfn.TEXTJOIN("_",TRUE,C344,"node_eff",D344,M344,N344)</f>
        <v>s1_node_eff_economy_74_4</v>
      </c>
    </row>
    <row r="345" spans="1:20" x14ac:dyDescent="0.45">
      <c r="A345" s="0" t="str">
        <f>_xlfn.TEXTJOIN("_",TRUE,C345,"node",D345,M345,N345)</f>
        <v>s1_node_economy_74_6</v>
      </c>
      <c r="B345" s="0" t="s">
        <v>0</v>
      </c>
      <c r="C345" s="0" t="s">
        <v>26</v>
      </c>
      <c r="D345" s="0" t="s">
        <v>103</v>
      </c>
      <c r="E345" s="0" t="str">
        <f>"s1_node_"&amp;D345&amp;"_name"</f>
        <v>s1_node_economy_name</v>
      </c>
      <c r="F345" s="13" t="str">
        <f>"s1_node_"&amp;D345&amp;"_desc"</f>
        <v>s1_node_economy_desc</v>
      </c>
      <c r="G345" s="0" t="s">
        <v>419</v>
      </c>
      <c r="H345" s="0">
        <v>4</v>
      </c>
      <c r="I345" s="0" t="s">
        <v>27</v>
      </c>
      <c r="J345" s="0" t="s">
        <v>352</v>
      </c>
      <c r="K345" s="0">
        <v>2720</v>
      </c>
      <c r="L345" s="13">
        <v>3</v>
      </c>
      <c r="M345" s="0">
        <v>74</v>
      </c>
      <c r="N345" s="0">
        <v>6</v>
      </c>
      <c r="T345" s="0" t="str">
        <f>_xlfn.TEXTJOIN("_",TRUE,C345,"node_eff",D345,M345,N345)</f>
        <v>s1_node_eff_economy_74_6</v>
      </c>
    </row>
    <row r="346" spans="1:20" x14ac:dyDescent="0.45">
      <c r="A346" s="0" t="str">
        <f>_xlfn.TEXTJOIN("_",TRUE,C346,"node",D346,M346,N346)</f>
        <v>s1_node_economy_75_2</v>
      </c>
      <c r="B346" s="0" t="s">
        <v>0</v>
      </c>
      <c r="C346" s="0" t="s">
        <v>26</v>
      </c>
      <c r="D346" s="0" t="s">
        <v>103</v>
      </c>
      <c r="E346" s="0" t="str">
        <f>"s1_node_"&amp;D346&amp;"_name"</f>
        <v>s1_node_economy_name</v>
      </c>
      <c r="F346" s="13" t="str">
        <f>"s1_node_"&amp;D346&amp;"_desc"</f>
        <v>s1_node_economy_desc</v>
      </c>
      <c r="G346" s="0" t="s">
        <v>419</v>
      </c>
      <c r="H346" s="0">
        <v>4</v>
      </c>
      <c r="I346" s="0" t="s">
        <v>27</v>
      </c>
      <c r="J346" s="0" t="s">
        <v>354</v>
      </c>
      <c r="K346" s="0">
        <v>2760</v>
      </c>
      <c r="L346" s="13">
        <v>3</v>
      </c>
      <c r="M346" s="0">
        <v>75</v>
      </c>
      <c r="N346" s="0">
        <v>2</v>
      </c>
      <c r="P346" s="0" t="s">
        <v>562</v>
      </c>
      <c r="T346" s="0" t="str">
        <f>_xlfn.TEXTJOIN("_",TRUE,C346,"node_eff",D346,M346,N346)</f>
        <v>s1_node_eff_economy_75_2</v>
      </c>
    </row>
    <row r="347" spans="1:20" x14ac:dyDescent="0.45">
      <c r="A347" s="0" t="str">
        <f>_xlfn.TEXTJOIN("_",TRUE,C347,"node",D347,M347,N347)</f>
        <v>s1_node_economy_75_6</v>
      </c>
      <c r="B347" s="0" t="s">
        <v>0</v>
      </c>
      <c r="C347" s="0" t="s">
        <v>26</v>
      </c>
      <c r="D347" s="0" t="s">
        <v>103</v>
      </c>
      <c r="E347" s="0" t="str">
        <f>"s1_node_"&amp;D347&amp;"_name"</f>
        <v>s1_node_economy_name</v>
      </c>
      <c r="F347" s="13" t="str">
        <f>"s1_node_"&amp;D347&amp;"_desc"</f>
        <v>s1_node_economy_desc</v>
      </c>
      <c r="G347" s="0" t="s">
        <v>419</v>
      </c>
      <c r="H347" s="0">
        <v>4</v>
      </c>
      <c r="I347" s="0" t="s">
        <v>27</v>
      </c>
      <c r="J347" s="0" t="s">
        <v>354</v>
      </c>
      <c r="K347" s="0">
        <v>2760</v>
      </c>
      <c r="L347" s="13">
        <v>3</v>
      </c>
      <c r="M347" s="0">
        <v>75</v>
      </c>
      <c r="N347" s="0">
        <v>6</v>
      </c>
      <c r="P347" s="0" t="s">
        <v>563</v>
      </c>
      <c r="T347" s="0" t="str">
        <f>_xlfn.TEXTJOIN("_",TRUE,C347,"node_eff",D347,M347,N347)</f>
        <v>s1_node_eff_economy_75_6</v>
      </c>
    </row>
    <row r="348" spans="1:20" x14ac:dyDescent="0.45">
      <c r="A348" s="0" t="str">
        <f>_xlfn.TEXTJOIN("_",TRUE,C348,"node",D348,M348,N348)</f>
        <v>s1_node_economy_76_4</v>
      </c>
      <c r="B348" s="0" t="s">
        <v>0</v>
      </c>
      <c r="C348" s="0" t="s">
        <v>26</v>
      </c>
      <c r="D348" s="0" t="s">
        <v>103</v>
      </c>
      <c r="E348" s="0" t="str">
        <f>"s1_node_"&amp;D348&amp;"_name"</f>
        <v>s1_node_economy_name</v>
      </c>
      <c r="F348" s="13" t="str">
        <f>"s1_node_"&amp;D348&amp;"_desc"</f>
        <v>s1_node_economy_desc</v>
      </c>
      <c r="G348" s="0" t="s">
        <v>419</v>
      </c>
      <c r="H348" s="0">
        <v>4</v>
      </c>
      <c r="I348" s="0" t="s">
        <v>27</v>
      </c>
      <c r="J348" s="0" t="s">
        <v>357</v>
      </c>
      <c r="K348" s="0">
        <v>2790</v>
      </c>
      <c r="L348" s="13">
        <v>3</v>
      </c>
      <c r="M348" s="0">
        <v>76</v>
      </c>
      <c r="N348" s="0">
        <v>4</v>
      </c>
      <c r="P348" s="0" t="s">
        <v>564</v>
      </c>
      <c r="T348" s="0" t="str">
        <f>_xlfn.TEXTJOIN("_",TRUE,C348,"node_eff",D348,M348,N348)</f>
        <v>s1_node_eff_economy_76_4</v>
      </c>
    </row>
    <row r="349" spans="1:20" x14ac:dyDescent="0.45">
      <c r="A349" s="0" t="str">
        <f>_xlfn.TEXTJOIN("_",TRUE,C349,"node",D349,M349,N349)</f>
        <v>s1_node_economy_77_2</v>
      </c>
      <c r="B349" s="0" t="s">
        <v>0</v>
      </c>
      <c r="C349" s="0" t="s">
        <v>26</v>
      </c>
      <c r="D349" s="0" t="s">
        <v>103</v>
      </c>
      <c r="E349" s="0" t="str">
        <f>"s1_node_"&amp;D349&amp;"_name"</f>
        <v>s1_node_economy_name</v>
      </c>
      <c r="F349" s="13" t="str">
        <f>"s1_node_"&amp;D349&amp;"_desc"</f>
        <v>s1_node_economy_desc</v>
      </c>
      <c r="G349" s="0" t="s">
        <v>419</v>
      </c>
      <c r="H349" s="0">
        <v>4</v>
      </c>
      <c r="I349" s="0" t="s">
        <v>27</v>
      </c>
      <c r="J349" s="0" t="s">
        <v>360</v>
      </c>
      <c r="K349" s="0">
        <v>2830</v>
      </c>
      <c r="L349" s="13">
        <v>3</v>
      </c>
      <c r="M349" s="0">
        <v>77</v>
      </c>
      <c r="N349" s="0">
        <v>2</v>
      </c>
      <c r="T349" s="0" t="str">
        <f>_xlfn.TEXTJOIN("_",TRUE,C349,"node_eff",D349,M349,N349)</f>
        <v>s1_node_eff_economy_77_2</v>
      </c>
    </row>
    <row r="350" spans="1:20" x14ac:dyDescent="0.45">
      <c r="A350" s="0" t="str">
        <f>_xlfn.TEXTJOIN("_",TRUE,C350,"node",D350,M350,N350)</f>
        <v>s1_node_economy_77_4</v>
      </c>
      <c r="B350" s="0" t="s">
        <v>0</v>
      </c>
      <c r="C350" s="0" t="s">
        <v>26</v>
      </c>
      <c r="D350" s="0" t="s">
        <v>103</v>
      </c>
      <c r="E350" s="0" t="str">
        <f>"s1_node_"&amp;D350&amp;"_name"</f>
        <v>s1_node_economy_name</v>
      </c>
      <c r="F350" s="13" t="str">
        <f>"s1_node_"&amp;D350&amp;"_desc"</f>
        <v>s1_node_economy_desc</v>
      </c>
      <c r="G350" s="0" t="s">
        <v>422</v>
      </c>
      <c r="H350" s="0">
        <v>4</v>
      </c>
      <c r="I350" s="0" t="s">
        <v>27</v>
      </c>
      <c r="J350" s="0" t="s">
        <v>360</v>
      </c>
      <c r="K350" s="0">
        <v>2830</v>
      </c>
      <c r="L350" s="13">
        <v>3</v>
      </c>
      <c r="M350" s="0">
        <v>77</v>
      </c>
      <c r="N350" s="0">
        <v>4</v>
      </c>
      <c r="T350" s="0" t="str">
        <f>_xlfn.TEXTJOIN("_",TRUE,C350,"node_eff",D350,M350,N350)</f>
        <v>s1_node_eff_economy_77_4</v>
      </c>
    </row>
    <row r="351" spans="1:20" x14ac:dyDescent="0.45">
      <c r="A351" s="0" t="str">
        <f>_xlfn.TEXTJOIN("_",TRUE,C351,"node",D351,M351,N351)</f>
        <v>s1_node_economy_77_6</v>
      </c>
      <c r="B351" s="0" t="s">
        <v>0</v>
      </c>
      <c r="C351" s="0" t="s">
        <v>26</v>
      </c>
      <c r="D351" s="0" t="s">
        <v>103</v>
      </c>
      <c r="E351" s="0" t="str">
        <f>"s1_node_"&amp;D351&amp;"_name"</f>
        <v>s1_node_economy_name</v>
      </c>
      <c r="F351" s="13" t="str">
        <f>"s1_node_"&amp;D351&amp;"_desc"</f>
        <v>s1_node_economy_desc</v>
      </c>
      <c r="G351" s="0" t="s">
        <v>419</v>
      </c>
      <c r="H351" s="0">
        <v>4</v>
      </c>
      <c r="I351" s="0" t="s">
        <v>27</v>
      </c>
      <c r="J351" s="0" t="s">
        <v>360</v>
      </c>
      <c r="K351" s="0">
        <v>2830</v>
      </c>
      <c r="L351" s="13">
        <v>3</v>
      </c>
      <c r="M351" s="0">
        <v>77</v>
      </c>
      <c r="N351" s="0">
        <v>6</v>
      </c>
      <c r="T351" s="0" t="str">
        <f>_xlfn.TEXTJOIN("_",TRUE,C351,"node_eff",D351,M351,N351)</f>
        <v>s1_node_eff_economy_77_6</v>
      </c>
    </row>
    <row r="352" spans="1:20" x14ac:dyDescent="0.45">
      <c r="A352" s="0" t="str">
        <f>_xlfn.TEXTJOIN("_",TRUE,C352,"node",D352,M352,N352)</f>
        <v>s1_node_economy_78_2</v>
      </c>
      <c r="B352" s="0" t="s">
        <v>0</v>
      </c>
      <c r="C352" s="0" t="s">
        <v>26</v>
      </c>
      <c r="D352" s="0" t="s">
        <v>103</v>
      </c>
      <c r="E352" s="0" t="str">
        <f>"s1_node_"&amp;D352&amp;"_name"</f>
        <v>s1_node_economy_name</v>
      </c>
      <c r="F352" s="13" t="str">
        <f>"s1_node_"&amp;D352&amp;"_desc"</f>
        <v>s1_node_economy_desc</v>
      </c>
      <c r="G352" s="0" t="s">
        <v>419</v>
      </c>
      <c r="H352" s="0">
        <v>4</v>
      </c>
      <c r="I352" s="0" t="s">
        <v>27</v>
      </c>
      <c r="J352" s="0" t="s">
        <v>363</v>
      </c>
      <c r="K352" s="0">
        <v>2860</v>
      </c>
      <c r="L352" s="13">
        <v>3</v>
      </c>
      <c r="M352" s="0">
        <v>78</v>
      </c>
      <c r="N352" s="0">
        <v>2</v>
      </c>
      <c r="P352" s="0" t="s">
        <v>565</v>
      </c>
      <c r="T352" s="0" t="str">
        <f>_xlfn.TEXTJOIN("_",TRUE,C352,"node_eff",D352,M352,N352)</f>
        <v>s1_node_eff_economy_78_2</v>
      </c>
    </row>
    <row r="353" spans="1:20" x14ac:dyDescent="0.45">
      <c r="A353" s="0" t="str">
        <f>_xlfn.TEXTJOIN("_",TRUE,C353,"node",D353,M353,N353)</f>
        <v>s1_node_economy_78_6</v>
      </c>
      <c r="B353" s="0" t="s">
        <v>0</v>
      </c>
      <c r="C353" s="0" t="s">
        <v>26</v>
      </c>
      <c r="D353" s="0" t="s">
        <v>103</v>
      </c>
      <c r="E353" s="0" t="str">
        <f>"s1_node_"&amp;D353&amp;"_name"</f>
        <v>s1_node_economy_name</v>
      </c>
      <c r="F353" s="13" t="str">
        <f>"s1_node_"&amp;D353&amp;"_desc"</f>
        <v>s1_node_economy_desc</v>
      </c>
      <c r="G353" s="0" t="s">
        <v>419</v>
      </c>
      <c r="H353" s="0">
        <v>4</v>
      </c>
      <c r="I353" s="0" t="s">
        <v>27</v>
      </c>
      <c r="J353" s="0" t="s">
        <v>363</v>
      </c>
      <c r="K353" s="0">
        <v>2860</v>
      </c>
      <c r="L353" s="13">
        <v>3</v>
      </c>
      <c r="M353" s="0">
        <v>78</v>
      </c>
      <c r="N353" s="0">
        <v>6</v>
      </c>
      <c r="P353" s="0" t="s">
        <v>566</v>
      </c>
      <c r="T353" s="0" t="str">
        <f>_xlfn.TEXTJOIN("_",TRUE,C353,"node_eff",D353,M353,N353)</f>
        <v>s1_node_eff_economy_78_6</v>
      </c>
    </row>
    <row r="354" spans="1:20" x14ac:dyDescent="0.45">
      <c r="A354" s="0" t="str">
        <f>_xlfn.TEXTJOIN("_",TRUE,C354,"node",D354,M354,N354)</f>
        <v>s1_node_economy_79_2</v>
      </c>
      <c r="B354" s="0" t="s">
        <v>0</v>
      </c>
      <c r="C354" s="0" t="s">
        <v>26</v>
      </c>
      <c r="D354" s="0" t="s">
        <v>103</v>
      </c>
      <c r="E354" s="0" t="str">
        <f>"s1_node_"&amp;D354&amp;"_name"</f>
        <v>s1_node_economy_name</v>
      </c>
      <c r="F354" s="13" t="str">
        <f>"s1_node_"&amp;D354&amp;"_desc"</f>
        <v>s1_node_economy_desc</v>
      </c>
      <c r="G354" s="0" t="s">
        <v>419</v>
      </c>
      <c r="H354" s="0">
        <v>4</v>
      </c>
      <c r="I354" s="0" t="s">
        <v>27</v>
      </c>
      <c r="J354" s="0" t="s">
        <v>366</v>
      </c>
      <c r="K354" s="0">
        <v>2900</v>
      </c>
      <c r="L354" s="13">
        <v>3</v>
      </c>
      <c r="M354" s="0">
        <v>79</v>
      </c>
      <c r="N354" s="0">
        <v>2</v>
      </c>
      <c r="T354" s="0" t="str">
        <f>_xlfn.TEXTJOIN("_",TRUE,C354,"node_eff",D354,M354,N354)</f>
        <v>s1_node_eff_economy_79_2</v>
      </c>
    </row>
    <row r="355" spans="1:20" x14ac:dyDescent="0.45">
      <c r="A355" s="0" t="str">
        <f>_xlfn.TEXTJOIN("_",TRUE,C355,"node",D355,M355,N355)</f>
        <v>s1_node_economy_79_4</v>
      </c>
      <c r="B355" s="0" t="s">
        <v>0</v>
      </c>
      <c r="C355" s="0" t="s">
        <v>26</v>
      </c>
      <c r="D355" s="0" t="s">
        <v>103</v>
      </c>
      <c r="E355" s="0" t="str">
        <f>"s1_node_"&amp;D355&amp;"_name"</f>
        <v>s1_node_economy_name</v>
      </c>
      <c r="F355" s="13" t="str">
        <f>"s1_node_"&amp;D355&amp;"_desc"</f>
        <v>s1_node_economy_desc</v>
      </c>
      <c r="G355" s="0" t="s">
        <v>419</v>
      </c>
      <c r="H355" s="0">
        <v>4</v>
      </c>
      <c r="I355" s="0" t="s">
        <v>27</v>
      </c>
      <c r="J355" s="0" t="s">
        <v>366</v>
      </c>
      <c r="K355" s="0">
        <v>2900</v>
      </c>
      <c r="L355" s="13">
        <v>3</v>
      </c>
      <c r="M355" s="0">
        <v>79</v>
      </c>
      <c r="N355" s="0">
        <v>4</v>
      </c>
      <c r="P355" s="0" t="s">
        <v>567</v>
      </c>
      <c r="T355" s="0" t="str">
        <f>_xlfn.TEXTJOIN("_",TRUE,C355,"node_eff",D355,M355,N355)</f>
        <v>s1_node_eff_economy_79_4</v>
      </c>
    </row>
    <row r="356" spans="1:20" x14ac:dyDescent="0.45">
      <c r="A356" s="0" t="str">
        <f>_xlfn.TEXTJOIN("_",TRUE,C356,"node",D356,M356,N356)</f>
        <v>s1_node_economy_79_6</v>
      </c>
      <c r="B356" s="0" t="s">
        <v>0</v>
      </c>
      <c r="C356" s="0" t="s">
        <v>26</v>
      </c>
      <c r="D356" s="0" t="s">
        <v>103</v>
      </c>
      <c r="E356" s="0" t="str">
        <f>"s1_node_"&amp;D356&amp;"_name"</f>
        <v>s1_node_economy_name</v>
      </c>
      <c r="F356" s="13" t="str">
        <f>"s1_node_"&amp;D356&amp;"_desc"</f>
        <v>s1_node_economy_desc</v>
      </c>
      <c r="G356" s="0" t="s">
        <v>422</v>
      </c>
      <c r="H356" s="0">
        <v>4</v>
      </c>
      <c r="I356" s="0" t="s">
        <v>27</v>
      </c>
      <c r="J356" s="0" t="s">
        <v>366</v>
      </c>
      <c r="K356" s="0">
        <v>2900</v>
      </c>
      <c r="L356" s="13">
        <v>3</v>
      </c>
      <c r="M356" s="0">
        <v>79</v>
      </c>
      <c r="N356" s="0">
        <v>6</v>
      </c>
      <c r="T356" s="0" t="str">
        <f>_xlfn.TEXTJOIN("_",TRUE,C356,"node_eff",D356,M356,N356)</f>
        <v>s1_node_eff_economy_79_6</v>
      </c>
    </row>
    <row r="357" spans="1:20" x14ac:dyDescent="0.45">
      <c r="A357" s="0" t="str">
        <f>_xlfn.TEXTJOIN("_",TRUE,C357,"node",D357,M357,N357)</f>
        <v>s1_node_economy_80_2</v>
      </c>
      <c r="B357" s="0" t="s">
        <v>0</v>
      </c>
      <c r="C357" s="0" t="s">
        <v>26</v>
      </c>
      <c r="D357" s="0" t="s">
        <v>103</v>
      </c>
      <c r="E357" s="0" t="str">
        <f>"s1_node_"&amp;D357&amp;"_name"</f>
        <v>s1_node_economy_name</v>
      </c>
      <c r="F357" s="13" t="str">
        <f>"s1_node_"&amp;D357&amp;"_desc"</f>
        <v>s1_node_economy_desc</v>
      </c>
      <c r="G357" s="0" t="s">
        <v>419</v>
      </c>
      <c r="H357" s="0">
        <v>4</v>
      </c>
      <c r="I357" s="0" t="s">
        <v>27</v>
      </c>
      <c r="J357" s="0" t="s">
        <v>568</v>
      </c>
      <c r="K357" s="0">
        <v>2940</v>
      </c>
      <c r="L357" s="13">
        <v>3</v>
      </c>
      <c r="M357" s="0">
        <v>80</v>
      </c>
      <c r="N357" s="0">
        <v>2</v>
      </c>
      <c r="P357" s="0" t="s">
        <v>569</v>
      </c>
      <c r="T357" s="0" t="str">
        <f>_xlfn.TEXTJOIN("_",TRUE,C357,"node_eff",D357,M357,N357)</f>
        <v>s1_node_eff_economy_80_2</v>
      </c>
    </row>
    <row r="358" spans="1:20" x14ac:dyDescent="0.45">
      <c r="A358" s="0" t="str">
        <f>_xlfn.TEXTJOIN("_",TRUE,C358,"node",D358,M358,N358)</f>
        <v>s1_node_economy_80_6</v>
      </c>
      <c r="B358" s="0" t="s">
        <v>0</v>
      </c>
      <c r="C358" s="0" t="s">
        <v>26</v>
      </c>
      <c r="D358" s="0" t="s">
        <v>103</v>
      </c>
      <c r="E358" s="0" t="str">
        <f>"s1_node_"&amp;D358&amp;"_name"</f>
        <v>s1_node_economy_name</v>
      </c>
      <c r="F358" s="13" t="str">
        <f>"s1_node_"&amp;D358&amp;"_desc"</f>
        <v>s1_node_economy_desc</v>
      </c>
      <c r="G358" s="0" t="s">
        <v>419</v>
      </c>
      <c r="H358" s="0">
        <v>4</v>
      </c>
      <c r="I358" s="0" t="s">
        <v>27</v>
      </c>
      <c r="J358" s="0" t="s">
        <v>568</v>
      </c>
      <c r="K358" s="0">
        <v>2940</v>
      </c>
      <c r="L358" s="13">
        <v>3</v>
      </c>
      <c r="M358" s="0">
        <v>80</v>
      </c>
      <c r="N358" s="0">
        <v>6</v>
      </c>
      <c r="P358" s="0" t="s">
        <v>570</v>
      </c>
      <c r="T358" s="0" t="str">
        <f>_xlfn.TEXTJOIN("_",TRUE,C358,"node_eff",D358,M358,N358)</f>
        <v>s1_node_eff_economy_80_6</v>
      </c>
    </row>
    <row r="359" spans="1:20" x14ac:dyDescent="0.45">
      <c r="A359" s="0" t="str">
        <f>_xlfn.TEXTJOIN("_",TRUE,C359,"node",D359,M359,N359)</f>
        <v>s1_node_economy_81_4</v>
      </c>
      <c r="B359" s="0" t="s">
        <v>0</v>
      </c>
      <c r="C359" s="0" t="s">
        <v>26</v>
      </c>
      <c r="D359" s="0" t="s">
        <v>103</v>
      </c>
      <c r="E359" s="0" t="str">
        <f>"s1_node_"&amp;D359&amp;"_name"</f>
        <v>s1_node_economy_name</v>
      </c>
      <c r="F359" s="13" t="str">
        <f>"s1_node_"&amp;D359&amp;"_desc"</f>
        <v>s1_node_economy_desc</v>
      </c>
      <c r="G359" s="0" t="s">
        <v>419</v>
      </c>
      <c r="H359" s="0">
        <v>5</v>
      </c>
      <c r="I359" s="0" t="s">
        <v>27</v>
      </c>
      <c r="J359" s="0" t="s">
        <v>571</v>
      </c>
      <c r="K359" s="0">
        <v>2970</v>
      </c>
      <c r="L359" s="13">
        <v>3</v>
      </c>
      <c r="M359" s="0">
        <v>81</v>
      </c>
      <c r="N359" s="0">
        <v>4</v>
      </c>
      <c r="P359" s="0" t="s">
        <v>572</v>
      </c>
      <c r="T359" s="0" t="str">
        <f>_xlfn.TEXTJOIN("_",TRUE,C359,"node_eff",D359,M359,N359)</f>
        <v>s1_node_eff_economy_81_4</v>
      </c>
    </row>
    <row r="360" spans="1:20" x14ac:dyDescent="0.45">
      <c r="A360" s="0" t="str">
        <f>_xlfn.TEXTJOIN("_",TRUE,C360,"node",D360,M360,N360)</f>
        <v>s1_node_economy_82_2</v>
      </c>
      <c r="B360" s="0" t="s">
        <v>0</v>
      </c>
      <c r="C360" s="0" t="s">
        <v>26</v>
      </c>
      <c r="D360" s="0" t="s">
        <v>103</v>
      </c>
      <c r="E360" s="0" t="str">
        <f>"s1_node_"&amp;D360&amp;"_name"</f>
        <v>s1_node_economy_name</v>
      </c>
      <c r="F360" s="13" t="str">
        <f>"s1_node_"&amp;D360&amp;"_desc"</f>
        <v>s1_node_economy_desc</v>
      </c>
      <c r="G360" s="0" t="s">
        <v>419</v>
      </c>
      <c r="H360" s="0">
        <v>5</v>
      </c>
      <c r="I360" s="0" t="s">
        <v>27</v>
      </c>
      <c r="J360" s="0" t="s">
        <v>573</v>
      </c>
      <c r="K360" s="0">
        <v>3010</v>
      </c>
      <c r="L360" s="13">
        <v>3</v>
      </c>
      <c r="M360" s="0">
        <v>82</v>
      </c>
      <c r="N360" s="0">
        <v>2</v>
      </c>
      <c r="T360" s="0" t="str">
        <f>_xlfn.TEXTJOIN("_",TRUE,C360,"node_eff",D360,M360,N360)</f>
        <v>s1_node_eff_economy_82_2</v>
      </c>
    </row>
    <row r="361" spans="1:20" x14ac:dyDescent="0.45">
      <c r="A361" s="0" t="str">
        <f>_xlfn.TEXTJOIN("_",TRUE,C361,"node",D361,M361,N361)</f>
        <v>s1_node_economy_82_4</v>
      </c>
      <c r="B361" s="0" t="s">
        <v>0</v>
      </c>
      <c r="C361" s="0" t="s">
        <v>26</v>
      </c>
      <c r="D361" s="0" t="s">
        <v>103</v>
      </c>
      <c r="E361" s="0" t="str">
        <f>"s1_node_"&amp;D361&amp;"_name"</f>
        <v>s1_node_economy_name</v>
      </c>
      <c r="F361" s="13" t="str">
        <f>"s1_node_"&amp;D361&amp;"_desc"</f>
        <v>s1_node_economy_desc</v>
      </c>
      <c r="G361" s="0" t="s">
        <v>419</v>
      </c>
      <c r="H361" s="0">
        <v>5</v>
      </c>
      <c r="I361" s="0" t="s">
        <v>27</v>
      </c>
      <c r="J361" s="0" t="s">
        <v>573</v>
      </c>
      <c r="K361" s="0">
        <v>3010</v>
      </c>
      <c r="L361" s="13">
        <v>3</v>
      </c>
      <c r="M361" s="0">
        <v>82</v>
      </c>
      <c r="N361" s="0">
        <v>4</v>
      </c>
      <c r="T361" s="0" t="str">
        <f>_xlfn.TEXTJOIN("_",TRUE,C361,"node_eff",D361,M361,N361)</f>
        <v>s1_node_eff_economy_82_4</v>
      </c>
    </row>
    <row r="362" spans="1:20" x14ac:dyDescent="0.45">
      <c r="A362" s="0" t="str">
        <f>_xlfn.TEXTJOIN("_",TRUE,C362,"node",D362,M362,N362)</f>
        <v>s1_node_economy_82_6</v>
      </c>
      <c r="B362" s="0" t="s">
        <v>0</v>
      </c>
      <c r="C362" s="0" t="s">
        <v>26</v>
      </c>
      <c r="D362" s="0" t="s">
        <v>103</v>
      </c>
      <c r="E362" s="0" t="str">
        <f>"s1_node_"&amp;D362&amp;"_name"</f>
        <v>s1_node_economy_name</v>
      </c>
      <c r="F362" s="13" t="str">
        <f>"s1_node_"&amp;D362&amp;"_desc"</f>
        <v>s1_node_economy_desc</v>
      </c>
      <c r="G362" s="0" t="s">
        <v>422</v>
      </c>
      <c r="H362" s="0">
        <v>5</v>
      </c>
      <c r="I362" s="0" t="s">
        <v>27</v>
      </c>
      <c r="J362" s="0" t="s">
        <v>573</v>
      </c>
      <c r="K362" s="0">
        <v>3010</v>
      </c>
      <c r="L362" s="13">
        <v>3</v>
      </c>
      <c r="M362" s="0">
        <v>82</v>
      </c>
      <c r="N362" s="0">
        <v>6</v>
      </c>
      <c r="T362" s="0" t="str">
        <f>_xlfn.TEXTJOIN("_",TRUE,C362,"node_eff",D362,M362,N362)</f>
        <v>s1_node_eff_economy_82_6</v>
      </c>
    </row>
    <row r="363" spans="1:20" x14ac:dyDescent="0.45">
      <c r="A363" s="0" t="str">
        <f>_xlfn.TEXTJOIN("_",TRUE,C363,"node",D363,M363,N363)</f>
        <v>s1_node_economy_83_2</v>
      </c>
      <c r="B363" s="0" t="s">
        <v>0</v>
      </c>
      <c r="C363" s="0" t="s">
        <v>26</v>
      </c>
      <c r="D363" s="0" t="s">
        <v>103</v>
      </c>
      <c r="E363" s="0" t="str">
        <f>"s1_node_"&amp;D363&amp;"_name"</f>
        <v>s1_node_economy_name</v>
      </c>
      <c r="F363" s="13" t="str">
        <f>"s1_node_"&amp;D363&amp;"_desc"</f>
        <v>s1_node_economy_desc</v>
      </c>
      <c r="G363" s="0" t="s">
        <v>419</v>
      </c>
      <c r="H363" s="0">
        <v>5</v>
      </c>
      <c r="I363" s="0" t="s">
        <v>27</v>
      </c>
      <c r="J363" s="0" t="s">
        <v>574</v>
      </c>
      <c r="K363" s="0">
        <v>3040</v>
      </c>
      <c r="L363" s="13">
        <v>3</v>
      </c>
      <c r="M363" s="0">
        <v>83</v>
      </c>
      <c r="N363" s="0">
        <v>2</v>
      </c>
      <c r="P363" s="0" t="s">
        <v>575</v>
      </c>
      <c r="T363" s="0" t="str">
        <f>_xlfn.TEXTJOIN("_",TRUE,C363,"node_eff",D363,M363,N363)</f>
        <v>s1_node_eff_economy_83_2</v>
      </c>
    </row>
    <row r="364" spans="1:20" x14ac:dyDescent="0.45">
      <c r="A364" s="0" t="str">
        <f>_xlfn.TEXTJOIN("_",TRUE,C364,"node",D364,M364,N364)</f>
        <v>s1_node_economy_83_6</v>
      </c>
      <c r="B364" s="0" t="s">
        <v>0</v>
      </c>
      <c r="C364" s="0" t="s">
        <v>26</v>
      </c>
      <c r="D364" s="0" t="s">
        <v>103</v>
      </c>
      <c r="E364" s="0" t="str">
        <f>"s1_node_"&amp;D364&amp;"_name"</f>
        <v>s1_node_economy_name</v>
      </c>
      <c r="F364" s="13" t="str">
        <f>"s1_node_"&amp;D364&amp;"_desc"</f>
        <v>s1_node_economy_desc</v>
      </c>
      <c r="G364" s="0" t="s">
        <v>419</v>
      </c>
      <c r="H364" s="0">
        <v>5</v>
      </c>
      <c r="I364" s="0" t="s">
        <v>27</v>
      </c>
      <c r="J364" s="0" t="s">
        <v>574</v>
      </c>
      <c r="K364" s="0">
        <v>3040</v>
      </c>
      <c r="L364" s="13">
        <v>3</v>
      </c>
      <c r="M364" s="0">
        <v>83</v>
      </c>
      <c r="N364" s="0">
        <v>6</v>
      </c>
      <c r="P364" s="0" t="s">
        <v>576</v>
      </c>
      <c r="T364" s="0" t="str">
        <f>_xlfn.TEXTJOIN("_",TRUE,C364,"node_eff",D364,M364,N364)</f>
        <v>s1_node_eff_economy_83_6</v>
      </c>
    </row>
    <row r="365" spans="1:20" x14ac:dyDescent="0.45">
      <c r="A365" s="0" t="str">
        <f>_xlfn.TEXTJOIN("_",TRUE,C365,"node",D365,M365,N365)</f>
        <v>s1_node_economy_84_2</v>
      </c>
      <c r="B365" s="0" t="s">
        <v>0</v>
      </c>
      <c r="C365" s="0" t="s">
        <v>26</v>
      </c>
      <c r="D365" s="0" t="s">
        <v>103</v>
      </c>
      <c r="E365" s="0" t="str">
        <f>"s1_node_"&amp;D365&amp;"_name"</f>
        <v>s1_node_economy_name</v>
      </c>
      <c r="F365" s="13" t="str">
        <f>"s1_node_"&amp;D365&amp;"_desc"</f>
        <v>s1_node_economy_desc</v>
      </c>
      <c r="G365" s="0" t="s">
        <v>419</v>
      </c>
      <c r="H365" s="0">
        <v>5</v>
      </c>
      <c r="I365" s="0" t="s">
        <v>27</v>
      </c>
      <c r="J365" s="0" t="s">
        <v>577</v>
      </c>
      <c r="K365" s="0">
        <v>3080</v>
      </c>
      <c r="L365" s="13">
        <v>3</v>
      </c>
      <c r="M365" s="0">
        <v>84</v>
      </c>
      <c r="N365" s="0">
        <v>2</v>
      </c>
      <c r="T365" s="0" t="str">
        <f>_xlfn.TEXTJOIN("_",TRUE,C365,"node_eff",D365,M365,N365)</f>
        <v>s1_node_eff_economy_84_2</v>
      </c>
    </row>
    <row r="366" spans="1:20" x14ac:dyDescent="0.45">
      <c r="A366" s="0" t="str">
        <f>_xlfn.TEXTJOIN("_",TRUE,C366,"node",D366,M366,N366)</f>
        <v>s1_node_economy_84_4</v>
      </c>
      <c r="B366" s="0" t="s">
        <v>0</v>
      </c>
      <c r="C366" s="0" t="s">
        <v>26</v>
      </c>
      <c r="D366" s="0" t="s">
        <v>103</v>
      </c>
      <c r="E366" s="0" t="str">
        <f>"s1_node_"&amp;D366&amp;"_name"</f>
        <v>s1_node_economy_name</v>
      </c>
      <c r="F366" s="13" t="str">
        <f>"s1_node_"&amp;D366&amp;"_desc"</f>
        <v>s1_node_economy_desc</v>
      </c>
      <c r="G366" s="0" t="s">
        <v>419</v>
      </c>
      <c r="H366" s="0">
        <v>5</v>
      </c>
      <c r="I366" s="0" t="s">
        <v>27</v>
      </c>
      <c r="J366" s="0" t="s">
        <v>577</v>
      </c>
      <c r="K366" s="0">
        <v>3080</v>
      </c>
      <c r="L366" s="13">
        <v>3</v>
      </c>
      <c r="M366" s="0">
        <v>84</v>
      </c>
      <c r="N366" s="0">
        <v>4</v>
      </c>
      <c r="P366" s="0" t="s">
        <v>578</v>
      </c>
      <c r="T366" s="0" t="str">
        <f>_xlfn.TEXTJOIN("_",TRUE,C366,"node_eff",D366,M366,N366)</f>
        <v>s1_node_eff_economy_84_4</v>
      </c>
    </row>
    <row r="367" spans="1:20" x14ac:dyDescent="0.45">
      <c r="A367" s="0" t="str">
        <f>_xlfn.TEXTJOIN("_",TRUE,C367,"node",D367,M367,N367)</f>
        <v>s1_node_economy_84_6</v>
      </c>
      <c r="B367" s="0" t="s">
        <v>0</v>
      </c>
      <c r="C367" s="0" t="s">
        <v>26</v>
      </c>
      <c r="D367" s="0" t="s">
        <v>103</v>
      </c>
      <c r="E367" s="0" t="str">
        <f>"s1_node_"&amp;D367&amp;"_name"</f>
        <v>s1_node_economy_name</v>
      </c>
      <c r="F367" s="13" t="str">
        <f>"s1_node_"&amp;D367&amp;"_desc"</f>
        <v>s1_node_economy_desc</v>
      </c>
      <c r="G367" s="0" t="s">
        <v>419</v>
      </c>
      <c r="H367" s="0">
        <v>5</v>
      </c>
      <c r="I367" s="0" t="s">
        <v>27</v>
      </c>
      <c r="J367" s="0" t="s">
        <v>577</v>
      </c>
      <c r="K367" s="0">
        <v>3080</v>
      </c>
      <c r="L367" s="13">
        <v>3</v>
      </c>
      <c r="M367" s="0">
        <v>84</v>
      </c>
      <c r="N367" s="0">
        <v>6</v>
      </c>
      <c r="T367" s="0" t="str">
        <f>_xlfn.TEXTJOIN("_",TRUE,C367,"node_eff",D367,M367,N367)</f>
        <v>s1_node_eff_economy_84_6</v>
      </c>
    </row>
    <row r="368" spans="1:20" x14ac:dyDescent="0.45">
      <c r="A368" s="0" t="str">
        <f>_xlfn.TEXTJOIN("_",TRUE,C368,"node",D368,M368,N368)</f>
        <v>s1_node_economy_85_2</v>
      </c>
      <c r="B368" s="0" t="s">
        <v>0</v>
      </c>
      <c r="C368" s="0" t="s">
        <v>26</v>
      </c>
      <c r="D368" s="0" t="s">
        <v>103</v>
      </c>
      <c r="E368" s="0" t="str">
        <f>"s1_node_"&amp;D368&amp;"_name"</f>
        <v>s1_node_economy_name</v>
      </c>
      <c r="F368" s="13" t="str">
        <f>"s1_node_"&amp;D368&amp;"_desc"</f>
        <v>s1_node_economy_desc</v>
      </c>
      <c r="G368" s="0" t="s">
        <v>422</v>
      </c>
      <c r="H368" s="0">
        <v>5</v>
      </c>
      <c r="I368" s="0" t="s">
        <v>27</v>
      </c>
      <c r="J368" s="0" t="s">
        <v>579</v>
      </c>
      <c r="K368" s="0">
        <v>3110</v>
      </c>
      <c r="L368" s="13">
        <v>3</v>
      </c>
      <c r="M368" s="0">
        <v>85</v>
      </c>
      <c r="N368" s="0">
        <v>2</v>
      </c>
      <c r="P368" s="0" t="s">
        <v>580</v>
      </c>
      <c r="T368" s="0" t="str">
        <f>_xlfn.TEXTJOIN("_",TRUE,C368,"node_eff",D368,M368,N368)</f>
        <v>s1_node_eff_economy_85_2</v>
      </c>
    </row>
    <row r="369" spans="1:20" x14ac:dyDescent="0.45">
      <c r="A369" s="0" t="str">
        <f>_xlfn.TEXTJOIN("_",TRUE,C369,"node",D369,M369,N369)</f>
        <v>s1_node_economy_85_6</v>
      </c>
      <c r="B369" s="0" t="s">
        <v>0</v>
      </c>
      <c r="C369" s="0" t="s">
        <v>26</v>
      </c>
      <c r="D369" s="0" t="s">
        <v>103</v>
      </c>
      <c r="E369" s="0" t="str">
        <f>"s1_node_"&amp;D369&amp;"_name"</f>
        <v>s1_node_economy_name</v>
      </c>
      <c r="F369" s="13" t="str">
        <f>"s1_node_"&amp;D369&amp;"_desc"</f>
        <v>s1_node_economy_desc</v>
      </c>
      <c r="G369" s="0" t="s">
        <v>419</v>
      </c>
      <c r="H369" s="0">
        <v>5</v>
      </c>
      <c r="I369" s="0" t="s">
        <v>27</v>
      </c>
      <c r="J369" s="0" t="s">
        <v>579</v>
      </c>
      <c r="K369" s="0">
        <v>3110</v>
      </c>
      <c r="L369" s="13">
        <v>3</v>
      </c>
      <c r="M369" s="0">
        <v>85</v>
      </c>
      <c r="N369" s="0">
        <v>6</v>
      </c>
      <c r="P369" s="0" t="s">
        <v>581</v>
      </c>
      <c r="T369" s="0" t="str">
        <f>_xlfn.TEXTJOIN("_",TRUE,C369,"node_eff",D369,M369,N369)</f>
        <v>s1_node_eff_economy_85_6</v>
      </c>
    </row>
    <row r="370" spans="1:20" x14ac:dyDescent="0.45">
      <c r="A370" s="0" t="str">
        <f>_xlfn.TEXTJOIN("_",TRUE,C370,"node",D370,M370,N370)</f>
        <v>s1_node_economy_86_4</v>
      </c>
      <c r="B370" s="0" t="s">
        <v>0</v>
      </c>
      <c r="C370" s="0" t="s">
        <v>26</v>
      </c>
      <c r="D370" s="0" t="s">
        <v>103</v>
      </c>
      <c r="E370" s="0" t="str">
        <f>"s1_node_"&amp;D370&amp;"_name"</f>
        <v>s1_node_economy_name</v>
      </c>
      <c r="F370" s="13" t="str">
        <f>"s1_node_"&amp;D370&amp;"_desc"</f>
        <v>s1_node_economy_desc</v>
      </c>
      <c r="G370" s="0" t="s">
        <v>419</v>
      </c>
      <c r="H370" s="0">
        <v>5</v>
      </c>
      <c r="I370" s="0" t="s">
        <v>27</v>
      </c>
      <c r="J370" s="0" t="s">
        <v>582</v>
      </c>
      <c r="K370" s="0">
        <v>3150</v>
      </c>
      <c r="L370" s="13">
        <v>3</v>
      </c>
      <c r="M370" s="0">
        <v>86</v>
      </c>
      <c r="N370" s="0">
        <v>4</v>
      </c>
      <c r="P370" s="0" t="s">
        <v>583</v>
      </c>
      <c r="T370" s="0" t="str">
        <f>_xlfn.TEXTJOIN("_",TRUE,C370,"node_eff",D370,M370,N370)</f>
        <v>s1_node_eff_economy_86_4</v>
      </c>
    </row>
    <row r="371" spans="1:20" x14ac:dyDescent="0.45">
      <c r="A371" s="0" t="str">
        <f>_xlfn.TEXTJOIN("_",TRUE,C371,"node",D371,M371,N371)</f>
        <v>s1_node_economy_87_2</v>
      </c>
      <c r="B371" s="0" t="s">
        <v>0</v>
      </c>
      <c r="C371" s="0" t="s">
        <v>26</v>
      </c>
      <c r="D371" s="0" t="s">
        <v>103</v>
      </c>
      <c r="E371" s="0" t="str">
        <f>"s1_node_"&amp;D371&amp;"_name"</f>
        <v>s1_node_economy_name</v>
      </c>
      <c r="F371" s="13" t="str">
        <f>"s1_node_"&amp;D371&amp;"_desc"</f>
        <v>s1_node_economy_desc</v>
      </c>
      <c r="G371" s="0" t="s">
        <v>419</v>
      </c>
      <c r="H371" s="0">
        <v>5</v>
      </c>
      <c r="I371" s="0" t="s">
        <v>27</v>
      </c>
      <c r="J371" s="0" t="s">
        <v>584</v>
      </c>
      <c r="K371" s="0">
        <v>3190</v>
      </c>
      <c r="L371" s="13">
        <v>3</v>
      </c>
      <c r="M371" s="0">
        <v>87</v>
      </c>
      <c r="N371" s="0">
        <v>2</v>
      </c>
      <c r="T371" s="0" t="str">
        <f>_xlfn.TEXTJOIN("_",TRUE,C371,"node_eff",D371,M371,N371)</f>
        <v>s1_node_eff_economy_87_2</v>
      </c>
    </row>
    <row r="372" spans="1:20" x14ac:dyDescent="0.45">
      <c r="A372" s="0" t="str">
        <f>_xlfn.TEXTJOIN("_",TRUE,C372,"node",D372,M372,N372)</f>
        <v>s1_node_economy_87_4</v>
      </c>
      <c r="B372" s="0" t="s">
        <v>0</v>
      </c>
      <c r="C372" s="0" t="s">
        <v>26</v>
      </c>
      <c r="D372" s="0" t="s">
        <v>103</v>
      </c>
      <c r="E372" s="0" t="str">
        <f>"s1_node_"&amp;D372&amp;"_name"</f>
        <v>s1_node_economy_name</v>
      </c>
      <c r="F372" s="13" t="str">
        <f>"s1_node_"&amp;D372&amp;"_desc"</f>
        <v>s1_node_economy_desc</v>
      </c>
      <c r="G372" s="0" t="s">
        <v>419</v>
      </c>
      <c r="H372" s="0">
        <v>5</v>
      </c>
      <c r="I372" s="0" t="s">
        <v>27</v>
      </c>
      <c r="J372" s="0" t="s">
        <v>584</v>
      </c>
      <c r="K372" s="0">
        <v>3190</v>
      </c>
      <c r="L372" s="13">
        <v>3</v>
      </c>
      <c r="M372" s="0">
        <v>87</v>
      </c>
      <c r="N372" s="0">
        <v>4</v>
      </c>
      <c r="T372" s="0" t="str">
        <f>_xlfn.TEXTJOIN("_",TRUE,C372,"node_eff",D372,M372,N372)</f>
        <v>s1_node_eff_economy_87_4</v>
      </c>
    </row>
    <row r="373" spans="1:20" x14ac:dyDescent="0.45">
      <c r="A373" s="0" t="str">
        <f>_xlfn.TEXTJOIN("_",TRUE,C373,"node",D373,M373,N373)</f>
        <v>s1_node_economy_87_6</v>
      </c>
      <c r="B373" s="0" t="s">
        <v>0</v>
      </c>
      <c r="C373" s="0" t="s">
        <v>26</v>
      </c>
      <c r="D373" s="0" t="s">
        <v>103</v>
      </c>
      <c r="E373" s="0" t="str">
        <f>"s1_node_"&amp;D373&amp;"_name"</f>
        <v>s1_node_economy_name</v>
      </c>
      <c r="F373" s="13" t="str">
        <f>"s1_node_"&amp;D373&amp;"_desc"</f>
        <v>s1_node_economy_desc</v>
      </c>
      <c r="G373" s="0" t="s">
        <v>419</v>
      </c>
      <c r="H373" s="0">
        <v>5</v>
      </c>
      <c r="I373" s="0" t="s">
        <v>27</v>
      </c>
      <c r="J373" s="0" t="s">
        <v>584</v>
      </c>
      <c r="K373" s="0">
        <v>3190</v>
      </c>
      <c r="L373" s="13">
        <v>3</v>
      </c>
      <c r="M373" s="0">
        <v>87</v>
      </c>
      <c r="N373" s="0">
        <v>6</v>
      </c>
      <c r="T373" s="0" t="str">
        <f>_xlfn.TEXTJOIN("_",TRUE,C373,"node_eff",D373,M373,N373)</f>
        <v>s1_node_eff_economy_87_6</v>
      </c>
    </row>
    <row r="374" spans="1:20" x14ac:dyDescent="0.45">
      <c r="A374" s="0" t="str">
        <f>_xlfn.TEXTJOIN("_",TRUE,C374,"node",D374,M374,N374)</f>
        <v>s1_node_economy_88_2</v>
      </c>
      <c r="B374" s="0" t="s">
        <v>0</v>
      </c>
      <c r="C374" s="0" t="s">
        <v>26</v>
      </c>
      <c r="D374" s="0" t="s">
        <v>103</v>
      </c>
      <c r="E374" s="0" t="str">
        <f>"s1_node_"&amp;D374&amp;"_name"</f>
        <v>s1_node_economy_name</v>
      </c>
      <c r="F374" s="13" t="str">
        <f>"s1_node_"&amp;D374&amp;"_desc"</f>
        <v>s1_node_economy_desc</v>
      </c>
      <c r="G374" s="0" t="s">
        <v>422</v>
      </c>
      <c r="H374" s="0">
        <v>5</v>
      </c>
      <c r="I374" s="0" t="s">
        <v>27</v>
      </c>
      <c r="J374" s="0" t="s">
        <v>585</v>
      </c>
      <c r="K374" s="0">
        <v>3220</v>
      </c>
      <c r="L374" s="13">
        <v>3</v>
      </c>
      <c r="M374" s="0">
        <v>88</v>
      </c>
      <c r="N374" s="0">
        <v>2</v>
      </c>
      <c r="P374" s="0" t="s">
        <v>586</v>
      </c>
      <c r="T374" s="0" t="str">
        <f>_xlfn.TEXTJOIN("_",TRUE,C374,"node_eff",D374,M374,N374)</f>
        <v>s1_node_eff_economy_88_2</v>
      </c>
    </row>
    <row r="375" spans="1:20" x14ac:dyDescent="0.45">
      <c r="A375" s="0" t="str">
        <f>_xlfn.TEXTJOIN("_",TRUE,C375,"node",D375,M375,N375)</f>
        <v>s1_node_economy_88_6</v>
      </c>
      <c r="B375" s="0" t="s">
        <v>0</v>
      </c>
      <c r="C375" s="0" t="s">
        <v>26</v>
      </c>
      <c r="D375" s="0" t="s">
        <v>103</v>
      </c>
      <c r="E375" s="0" t="str">
        <f>"s1_node_"&amp;D375&amp;"_name"</f>
        <v>s1_node_economy_name</v>
      </c>
      <c r="F375" s="13" t="str">
        <f>"s1_node_"&amp;D375&amp;"_desc"</f>
        <v>s1_node_economy_desc</v>
      </c>
      <c r="G375" s="0" t="s">
        <v>419</v>
      </c>
      <c r="H375" s="0">
        <v>5</v>
      </c>
      <c r="I375" s="0" t="s">
        <v>27</v>
      </c>
      <c r="J375" s="0" t="s">
        <v>585</v>
      </c>
      <c r="K375" s="0">
        <v>3220</v>
      </c>
      <c r="L375" s="13">
        <v>3</v>
      </c>
      <c r="M375" s="0">
        <v>88</v>
      </c>
      <c r="N375" s="0">
        <v>6</v>
      </c>
      <c r="P375" s="0" t="s">
        <v>587</v>
      </c>
      <c r="T375" s="0" t="str">
        <f>_xlfn.TEXTJOIN("_",TRUE,C375,"node_eff",D375,M375,N375)</f>
        <v>s1_node_eff_economy_88_6</v>
      </c>
    </row>
    <row r="376" spans="1:20" x14ac:dyDescent="0.45">
      <c r="A376" s="0" t="str">
        <f>_xlfn.TEXTJOIN("_",TRUE,C376,"node",D376,M376,N376)</f>
        <v>s1_node_economy_89_2</v>
      </c>
      <c r="B376" s="0" t="s">
        <v>0</v>
      </c>
      <c r="C376" s="0" t="s">
        <v>26</v>
      </c>
      <c r="D376" s="0" t="s">
        <v>103</v>
      </c>
      <c r="E376" s="0" t="str">
        <f>"s1_node_"&amp;D376&amp;"_name"</f>
        <v>s1_node_economy_name</v>
      </c>
      <c r="F376" s="13" t="str">
        <f>"s1_node_"&amp;D376&amp;"_desc"</f>
        <v>s1_node_economy_desc</v>
      </c>
      <c r="G376" s="0" t="s">
        <v>419</v>
      </c>
      <c r="H376" s="0">
        <v>5</v>
      </c>
      <c r="I376" s="0" t="s">
        <v>27</v>
      </c>
      <c r="J376" s="0" t="s">
        <v>588</v>
      </c>
      <c r="K376" s="0">
        <v>3260</v>
      </c>
      <c r="L376" s="13">
        <v>3</v>
      </c>
      <c r="M376" s="0">
        <v>89</v>
      </c>
      <c r="N376" s="0">
        <v>2</v>
      </c>
      <c r="T376" s="0" t="str">
        <f>_xlfn.TEXTJOIN("_",TRUE,C376,"node_eff",D376,M376,N376)</f>
        <v>s1_node_eff_economy_89_2</v>
      </c>
    </row>
    <row r="377" spans="1:20" x14ac:dyDescent="0.45">
      <c r="A377" s="0" t="str">
        <f>_xlfn.TEXTJOIN("_",TRUE,C377,"node",D377,M377,N377)</f>
        <v>s1_node_economy_89_4</v>
      </c>
      <c r="B377" s="0" t="s">
        <v>0</v>
      </c>
      <c r="C377" s="0" t="s">
        <v>26</v>
      </c>
      <c r="D377" s="0" t="s">
        <v>103</v>
      </c>
      <c r="E377" s="0" t="str">
        <f>"s1_node_"&amp;D377&amp;"_name"</f>
        <v>s1_node_economy_name</v>
      </c>
      <c r="F377" s="13" t="str">
        <f>"s1_node_"&amp;D377&amp;"_desc"</f>
        <v>s1_node_economy_desc</v>
      </c>
      <c r="G377" s="0" t="s">
        <v>419</v>
      </c>
      <c r="H377" s="0">
        <v>5</v>
      </c>
      <c r="I377" s="0" t="s">
        <v>27</v>
      </c>
      <c r="J377" s="0" t="s">
        <v>588</v>
      </c>
      <c r="K377" s="0">
        <v>3260</v>
      </c>
      <c r="L377" s="13">
        <v>3</v>
      </c>
      <c r="M377" s="0">
        <v>89</v>
      </c>
      <c r="N377" s="0">
        <v>4</v>
      </c>
      <c r="P377" s="0" t="s">
        <v>589</v>
      </c>
      <c r="T377" s="0" t="str">
        <f>_xlfn.TEXTJOIN("_",TRUE,C377,"node_eff",D377,M377,N377)</f>
        <v>s1_node_eff_economy_89_4</v>
      </c>
    </row>
    <row r="378" spans="1:20" x14ac:dyDescent="0.45">
      <c r="A378" s="0" t="str">
        <f>_xlfn.TEXTJOIN("_",TRUE,C378,"node",D378,M378,N378)</f>
        <v>s1_node_economy_89_6</v>
      </c>
      <c r="B378" s="0" t="s">
        <v>0</v>
      </c>
      <c r="C378" s="0" t="s">
        <v>26</v>
      </c>
      <c r="D378" s="0" t="s">
        <v>103</v>
      </c>
      <c r="E378" s="0" t="str">
        <f>"s1_node_"&amp;D378&amp;"_name"</f>
        <v>s1_node_economy_name</v>
      </c>
      <c r="F378" s="13" t="str">
        <f>"s1_node_"&amp;D378&amp;"_desc"</f>
        <v>s1_node_economy_desc</v>
      </c>
      <c r="G378" s="0" t="s">
        <v>419</v>
      </c>
      <c r="H378" s="0">
        <v>5</v>
      </c>
      <c r="I378" s="0" t="s">
        <v>27</v>
      </c>
      <c r="J378" s="0" t="s">
        <v>588</v>
      </c>
      <c r="K378" s="0">
        <v>3260</v>
      </c>
      <c r="L378" s="13">
        <v>3</v>
      </c>
      <c r="M378" s="0">
        <v>89</v>
      </c>
      <c r="N378" s="0">
        <v>6</v>
      </c>
      <c r="T378" s="0" t="str">
        <f>_xlfn.TEXTJOIN("_",TRUE,C378,"node_eff",D378,M378,N378)</f>
        <v>s1_node_eff_economy_89_6</v>
      </c>
    </row>
    <row r="379" spans="1:20" x14ac:dyDescent="0.45">
      <c r="A379" s="0" t="str">
        <f>_xlfn.TEXTJOIN("_",TRUE,C379,"node",D379,M379,N379)</f>
        <v>s1_node_economy_90_2</v>
      </c>
      <c r="B379" s="0" t="s">
        <v>0</v>
      </c>
      <c r="C379" s="0" t="s">
        <v>26</v>
      </c>
      <c r="D379" s="0" t="s">
        <v>103</v>
      </c>
      <c r="E379" s="0" t="str">
        <f>"s1_node_"&amp;D379&amp;"_name"</f>
        <v>s1_node_economy_name</v>
      </c>
      <c r="F379" s="13" t="str">
        <f>"s1_node_"&amp;D379&amp;"_desc"</f>
        <v>s1_node_economy_desc</v>
      </c>
      <c r="G379" s="0" t="s">
        <v>419</v>
      </c>
      <c r="H379" s="0">
        <v>5</v>
      </c>
      <c r="I379" s="0" t="s">
        <v>27</v>
      </c>
      <c r="J379" s="0" t="s">
        <v>590</v>
      </c>
      <c r="K379" s="0">
        <v>3290</v>
      </c>
      <c r="L379" s="13">
        <v>3</v>
      </c>
      <c r="M379" s="0">
        <v>90</v>
      </c>
      <c r="N379" s="0">
        <v>2</v>
      </c>
      <c r="P379" s="0" t="s">
        <v>591</v>
      </c>
      <c r="T379" s="0" t="str">
        <f>_xlfn.TEXTJOIN("_",TRUE,C379,"node_eff",D379,M379,N379)</f>
        <v>s1_node_eff_economy_90_2</v>
      </c>
    </row>
    <row r="380" spans="1:20" x14ac:dyDescent="0.45">
      <c r="A380" s="0" t="str">
        <f>_xlfn.TEXTJOIN("_",TRUE,C380,"node",D380,M380,N380)</f>
        <v>s1_node_economy_90_6</v>
      </c>
      <c r="B380" s="0" t="s">
        <v>0</v>
      </c>
      <c r="C380" s="0" t="s">
        <v>26</v>
      </c>
      <c r="D380" s="0" t="s">
        <v>103</v>
      </c>
      <c r="E380" s="0" t="str">
        <f>"s1_node_"&amp;D380&amp;"_name"</f>
        <v>s1_node_economy_name</v>
      </c>
      <c r="F380" s="13" t="str">
        <f>"s1_node_"&amp;D380&amp;"_desc"</f>
        <v>s1_node_economy_desc</v>
      </c>
      <c r="G380" s="0" t="s">
        <v>422</v>
      </c>
      <c r="H380" s="0">
        <v>5</v>
      </c>
      <c r="I380" s="0" t="s">
        <v>27</v>
      </c>
      <c r="J380" s="0" t="s">
        <v>590</v>
      </c>
      <c r="K380" s="0">
        <v>3290</v>
      </c>
      <c r="L380" s="13">
        <v>3</v>
      </c>
      <c r="M380" s="0">
        <v>90</v>
      </c>
      <c r="N380" s="0">
        <v>6</v>
      </c>
      <c r="P380" s="0" t="s">
        <v>592</v>
      </c>
      <c r="T380" s="0" t="str">
        <f>_xlfn.TEXTJOIN("_",TRUE,C380,"node_eff",D380,M380,N380)</f>
        <v>s1_node_eff_economy_90_6</v>
      </c>
    </row>
    <row r="381" spans="1:20" x14ac:dyDescent="0.45">
      <c r="A381" s="0" t="str">
        <f>_xlfn.TEXTJOIN("_",TRUE,C381,"node",D381,M381,N381)</f>
        <v>s1_node_economy_91_4</v>
      </c>
      <c r="B381" s="0" t="s">
        <v>0</v>
      </c>
      <c r="C381" s="0" t="s">
        <v>26</v>
      </c>
      <c r="D381" s="0" t="s">
        <v>103</v>
      </c>
      <c r="E381" s="0" t="str">
        <f>"s1_node_"&amp;D381&amp;"_name"</f>
        <v>s1_node_economy_name</v>
      </c>
      <c r="F381" s="13" t="str">
        <f>"s1_node_"&amp;D381&amp;"_desc"</f>
        <v>s1_node_economy_desc</v>
      </c>
      <c r="G381" s="0" t="s">
        <v>419</v>
      </c>
      <c r="H381" s="0">
        <v>5</v>
      </c>
      <c r="I381" s="0" t="s">
        <v>27</v>
      </c>
      <c r="J381" s="0" t="s">
        <v>593</v>
      </c>
      <c r="K381" s="0">
        <v>3330</v>
      </c>
      <c r="L381" s="13">
        <v>3</v>
      </c>
      <c r="M381" s="0">
        <v>91</v>
      </c>
      <c r="N381" s="0">
        <v>4</v>
      </c>
      <c r="P381" s="0" t="s">
        <v>594</v>
      </c>
      <c r="T381" s="0" t="str">
        <f>_xlfn.TEXTJOIN("_",TRUE,C381,"node_eff",D381,M381,N381)</f>
        <v>s1_node_eff_economy_91_4</v>
      </c>
    </row>
    <row r="382" spans="1:20" x14ac:dyDescent="0.45">
      <c r="A382" s="0" t="str">
        <f>_xlfn.TEXTJOIN("_",TRUE,C382,"node",D382,M382,N382)</f>
        <v>s1_node_economy_92_2</v>
      </c>
      <c r="B382" s="0" t="s">
        <v>0</v>
      </c>
      <c r="C382" s="0" t="s">
        <v>26</v>
      </c>
      <c r="D382" s="0" t="s">
        <v>103</v>
      </c>
      <c r="E382" s="0" t="str">
        <f>"s1_node_"&amp;D382&amp;"_name"</f>
        <v>s1_node_economy_name</v>
      </c>
      <c r="F382" s="13" t="str">
        <f>"s1_node_"&amp;D382&amp;"_desc"</f>
        <v>s1_node_economy_desc</v>
      </c>
      <c r="G382" s="0" t="s">
        <v>419</v>
      </c>
      <c r="H382" s="0">
        <v>5</v>
      </c>
      <c r="I382" s="0" t="s">
        <v>27</v>
      </c>
      <c r="J382" s="0" t="s">
        <v>595</v>
      </c>
      <c r="K382" s="0">
        <v>3360</v>
      </c>
      <c r="L382" s="13">
        <v>3</v>
      </c>
      <c r="M382" s="0">
        <v>92</v>
      </c>
      <c r="N382" s="0">
        <v>2</v>
      </c>
      <c r="T382" s="0" t="str">
        <f>_xlfn.TEXTJOIN("_",TRUE,C382,"node_eff",D382,M382,N382)</f>
        <v>s1_node_eff_economy_92_2</v>
      </c>
    </row>
    <row r="383" spans="1:20" x14ac:dyDescent="0.45">
      <c r="A383" s="0" t="str">
        <f>_xlfn.TEXTJOIN("_",TRUE,C383,"node",D383,M383,N383)</f>
        <v>s1_node_economy_92_4</v>
      </c>
      <c r="B383" s="0" t="s">
        <v>0</v>
      </c>
      <c r="C383" s="0" t="s">
        <v>26</v>
      </c>
      <c r="D383" s="0" t="s">
        <v>103</v>
      </c>
      <c r="E383" s="0" t="str">
        <f>"s1_node_"&amp;D383&amp;"_name"</f>
        <v>s1_node_economy_name</v>
      </c>
      <c r="F383" s="13" t="str">
        <f>"s1_node_"&amp;D383&amp;"_desc"</f>
        <v>s1_node_economy_desc</v>
      </c>
      <c r="G383" s="0" t="s">
        <v>419</v>
      </c>
      <c r="H383" s="0">
        <v>5</v>
      </c>
      <c r="I383" s="0" t="s">
        <v>27</v>
      </c>
      <c r="J383" s="0" t="s">
        <v>595</v>
      </c>
      <c r="K383" s="0">
        <v>3360</v>
      </c>
      <c r="L383" s="13">
        <v>3</v>
      </c>
      <c r="M383" s="0">
        <v>92</v>
      </c>
      <c r="N383" s="0">
        <v>4</v>
      </c>
      <c r="T383" s="0" t="str">
        <f>_xlfn.TEXTJOIN("_",TRUE,C383,"node_eff",D383,M383,N383)</f>
        <v>s1_node_eff_economy_92_4</v>
      </c>
    </row>
    <row r="384" spans="1:20" x14ac:dyDescent="0.45">
      <c r="A384" s="0" t="str">
        <f>_xlfn.TEXTJOIN("_",TRUE,C384,"node",D384,M384,N384)</f>
        <v>s1_node_economy_92_6</v>
      </c>
      <c r="B384" s="0" t="s">
        <v>0</v>
      </c>
      <c r="C384" s="0" t="s">
        <v>26</v>
      </c>
      <c r="D384" s="0" t="s">
        <v>103</v>
      </c>
      <c r="E384" s="0" t="str">
        <f>"s1_node_"&amp;D384&amp;"_name"</f>
        <v>s1_node_economy_name</v>
      </c>
      <c r="F384" s="13" t="str">
        <f>"s1_node_"&amp;D384&amp;"_desc"</f>
        <v>s1_node_economy_desc</v>
      </c>
      <c r="G384" s="0" t="s">
        <v>419</v>
      </c>
      <c r="H384" s="0">
        <v>5</v>
      </c>
      <c r="I384" s="0" t="s">
        <v>27</v>
      </c>
      <c r="J384" s="0" t="s">
        <v>595</v>
      </c>
      <c r="K384" s="0">
        <v>3360</v>
      </c>
      <c r="L384" s="13">
        <v>3</v>
      </c>
      <c r="M384" s="0">
        <v>92</v>
      </c>
      <c r="N384" s="0">
        <v>6</v>
      </c>
      <c r="T384" s="0" t="str">
        <f>_xlfn.TEXTJOIN("_",TRUE,C384,"node_eff",D384,M384,N384)</f>
        <v>s1_node_eff_economy_92_6</v>
      </c>
    </row>
    <row r="385" spans="1:20" x14ac:dyDescent="0.45">
      <c r="A385" s="0" t="str">
        <f>_xlfn.TEXTJOIN("_",TRUE,C385,"node",D385,M385,N385)</f>
        <v>s1_node_economy_93_2</v>
      </c>
      <c r="B385" s="0" t="s">
        <v>0</v>
      </c>
      <c r="C385" s="0" t="s">
        <v>26</v>
      </c>
      <c r="D385" s="0" t="s">
        <v>103</v>
      </c>
      <c r="E385" s="0" t="str">
        <f>"s1_node_"&amp;D385&amp;"_name"</f>
        <v>s1_node_economy_name</v>
      </c>
      <c r="F385" s="13" t="str">
        <f>"s1_node_"&amp;D385&amp;"_desc"</f>
        <v>s1_node_economy_desc</v>
      </c>
      <c r="G385" s="0" t="s">
        <v>419</v>
      </c>
      <c r="H385" s="0">
        <v>5</v>
      </c>
      <c r="I385" s="0" t="s">
        <v>27</v>
      </c>
      <c r="J385" s="0" t="s">
        <v>596</v>
      </c>
      <c r="K385" s="0">
        <v>3400</v>
      </c>
      <c r="L385" s="13">
        <v>3</v>
      </c>
      <c r="M385" s="0">
        <v>93</v>
      </c>
      <c r="N385" s="0">
        <v>2</v>
      </c>
      <c r="P385" s="0" t="s">
        <v>597</v>
      </c>
      <c r="T385" s="0" t="str">
        <f>_xlfn.TEXTJOIN("_",TRUE,C385,"node_eff",D385,M385,N385)</f>
        <v>s1_node_eff_economy_93_2</v>
      </c>
    </row>
    <row r="386" spans="1:20" x14ac:dyDescent="0.45">
      <c r="A386" s="0" t="str">
        <f>_xlfn.TEXTJOIN("_",TRUE,C386,"node",D386,M386,N386)</f>
        <v>s1_node_economy_93_6</v>
      </c>
      <c r="B386" s="0" t="s">
        <v>0</v>
      </c>
      <c r="C386" s="0" t="s">
        <v>26</v>
      </c>
      <c r="D386" s="0" t="s">
        <v>103</v>
      </c>
      <c r="E386" s="0" t="str">
        <f>"s1_node_"&amp;D386&amp;"_name"</f>
        <v>s1_node_economy_name</v>
      </c>
      <c r="F386" s="13" t="str">
        <f>"s1_node_"&amp;D386&amp;"_desc"</f>
        <v>s1_node_economy_desc</v>
      </c>
      <c r="G386" s="0" t="s">
        <v>422</v>
      </c>
      <c r="H386" s="0">
        <v>5</v>
      </c>
      <c r="I386" s="0" t="s">
        <v>27</v>
      </c>
      <c r="J386" s="0" t="s">
        <v>596</v>
      </c>
      <c r="K386" s="0">
        <v>3400</v>
      </c>
      <c r="L386" s="13">
        <v>3</v>
      </c>
      <c r="M386" s="0">
        <v>93</v>
      </c>
      <c r="N386" s="0">
        <v>6</v>
      </c>
      <c r="P386" s="0" t="s">
        <v>598</v>
      </c>
      <c r="T386" s="0" t="str">
        <f>_xlfn.TEXTJOIN("_",TRUE,C386,"node_eff",D386,M386,N386)</f>
        <v>s1_node_eff_economy_93_6</v>
      </c>
    </row>
    <row r="387" spans="1:20" x14ac:dyDescent="0.45">
      <c r="A387" s="0" t="str">
        <f>_xlfn.TEXTJOIN("_",TRUE,C387,"node",D387,M387,N387)</f>
        <v>s1_node_economy_94_2</v>
      </c>
      <c r="B387" s="0" t="s">
        <v>0</v>
      </c>
      <c r="C387" s="0" t="s">
        <v>26</v>
      </c>
      <c r="D387" s="0" t="s">
        <v>103</v>
      </c>
      <c r="E387" s="0" t="str">
        <f>"s1_node_"&amp;D387&amp;"_name"</f>
        <v>s1_node_economy_name</v>
      </c>
      <c r="F387" s="13" t="str">
        <f>"s1_node_"&amp;D387&amp;"_desc"</f>
        <v>s1_node_economy_desc</v>
      </c>
      <c r="G387" s="0" t="s">
        <v>419</v>
      </c>
      <c r="H387" s="0">
        <v>5</v>
      </c>
      <c r="I387" s="0" t="s">
        <v>27</v>
      </c>
      <c r="J387" s="0" t="s">
        <v>599</v>
      </c>
      <c r="K387" s="0">
        <v>3440</v>
      </c>
      <c r="L387" s="13">
        <v>3</v>
      </c>
      <c r="M387" s="0">
        <v>94</v>
      </c>
      <c r="N387" s="0">
        <v>2</v>
      </c>
      <c r="T387" s="0" t="str">
        <f>_xlfn.TEXTJOIN("_",TRUE,C387,"node_eff",D387,M387,N387)</f>
        <v>s1_node_eff_economy_94_2</v>
      </c>
    </row>
    <row r="388" spans="1:20" x14ac:dyDescent="0.45">
      <c r="A388" s="0" t="str">
        <f>_xlfn.TEXTJOIN("_",TRUE,C388,"node",D388,M388,N388)</f>
        <v>s1_node_economy_94_4</v>
      </c>
      <c r="B388" s="0" t="s">
        <v>0</v>
      </c>
      <c r="C388" s="0" t="s">
        <v>26</v>
      </c>
      <c r="D388" s="0" t="s">
        <v>103</v>
      </c>
      <c r="E388" s="0" t="str">
        <f>"s1_node_"&amp;D388&amp;"_name"</f>
        <v>s1_node_economy_name</v>
      </c>
      <c r="F388" s="13" t="str">
        <f>"s1_node_"&amp;D388&amp;"_desc"</f>
        <v>s1_node_economy_desc</v>
      </c>
      <c r="G388" s="0" t="s">
        <v>419</v>
      </c>
      <c r="H388" s="0">
        <v>5</v>
      </c>
      <c r="I388" s="0" t="s">
        <v>27</v>
      </c>
      <c r="J388" s="0" t="s">
        <v>599</v>
      </c>
      <c r="K388" s="0">
        <v>3440</v>
      </c>
      <c r="L388" s="13">
        <v>3</v>
      </c>
      <c r="M388" s="0">
        <v>94</v>
      </c>
      <c r="N388" s="0">
        <v>4</v>
      </c>
      <c r="P388" s="0" t="s">
        <v>600</v>
      </c>
      <c r="T388" s="0" t="str">
        <f>_xlfn.TEXTJOIN("_",TRUE,C388,"node_eff",D388,M388,N388)</f>
        <v>s1_node_eff_economy_94_4</v>
      </c>
    </row>
    <row r="389" spans="1:20" x14ac:dyDescent="0.45">
      <c r="A389" s="0" t="str">
        <f>_xlfn.TEXTJOIN("_",TRUE,C389,"node",D389,M389,N389)</f>
        <v>s1_node_economy_94_6</v>
      </c>
      <c r="B389" s="0" t="s">
        <v>0</v>
      </c>
      <c r="C389" s="0" t="s">
        <v>26</v>
      </c>
      <c r="D389" s="0" t="s">
        <v>103</v>
      </c>
      <c r="E389" s="0" t="str">
        <f>"s1_node_"&amp;D389&amp;"_name"</f>
        <v>s1_node_economy_name</v>
      </c>
      <c r="F389" s="13" t="str">
        <f>"s1_node_"&amp;D389&amp;"_desc"</f>
        <v>s1_node_economy_desc</v>
      </c>
      <c r="G389" s="0" t="s">
        <v>419</v>
      </c>
      <c r="H389" s="0">
        <v>5</v>
      </c>
      <c r="I389" s="0" t="s">
        <v>27</v>
      </c>
      <c r="J389" s="0" t="s">
        <v>599</v>
      </c>
      <c r="K389" s="0">
        <v>3440</v>
      </c>
      <c r="L389" s="13">
        <v>3</v>
      </c>
      <c r="M389" s="0">
        <v>94</v>
      </c>
      <c r="N389" s="0">
        <v>6</v>
      </c>
      <c r="T389" s="0" t="str">
        <f>_xlfn.TEXTJOIN("_",TRUE,C389,"node_eff",D389,M389,N389)</f>
        <v>s1_node_eff_economy_94_6</v>
      </c>
    </row>
    <row r="390" spans="1:20" x14ac:dyDescent="0.45">
      <c r="A390" s="0" t="str">
        <f>_xlfn.TEXTJOIN("_",TRUE,C390,"node",D390,M390,N390)</f>
        <v>s1_node_economy_95_2</v>
      </c>
      <c r="B390" s="0" t="s">
        <v>0</v>
      </c>
      <c r="C390" s="0" t="s">
        <v>26</v>
      </c>
      <c r="D390" s="0" t="s">
        <v>103</v>
      </c>
      <c r="E390" s="0" t="str">
        <f>"s1_node_"&amp;D390&amp;"_name"</f>
        <v>s1_node_economy_name</v>
      </c>
      <c r="F390" s="13" t="str">
        <f>"s1_node_"&amp;D390&amp;"_desc"</f>
        <v>s1_node_economy_desc</v>
      </c>
      <c r="G390" s="0" t="s">
        <v>419</v>
      </c>
      <c r="H390" s="0">
        <v>5</v>
      </c>
      <c r="I390" s="0" t="s">
        <v>27</v>
      </c>
      <c r="J390" s="0" t="s">
        <v>601</v>
      </c>
      <c r="K390" s="0">
        <v>3470</v>
      </c>
      <c r="L390" s="13">
        <v>3</v>
      </c>
      <c r="M390" s="0">
        <v>95</v>
      </c>
      <c r="N390" s="0">
        <v>2</v>
      </c>
      <c r="P390" s="0" t="s">
        <v>602</v>
      </c>
      <c r="T390" s="0" t="str">
        <f>_xlfn.TEXTJOIN("_",TRUE,C390,"node_eff",D390,M390,N390)</f>
        <v>s1_node_eff_economy_95_2</v>
      </c>
    </row>
    <row r="391" spans="1:20" x14ac:dyDescent="0.45">
      <c r="A391" s="0" t="str">
        <f>_xlfn.TEXTJOIN("_",TRUE,C391,"node",D391,M391,N391)</f>
        <v>s1_node_economy_95_6</v>
      </c>
      <c r="B391" s="0" t="s">
        <v>0</v>
      </c>
      <c r="C391" s="0" t="s">
        <v>26</v>
      </c>
      <c r="D391" s="0" t="s">
        <v>103</v>
      </c>
      <c r="E391" s="0" t="str">
        <f>"s1_node_"&amp;D391&amp;"_name"</f>
        <v>s1_node_economy_name</v>
      </c>
      <c r="F391" s="13" t="str">
        <f>"s1_node_"&amp;D391&amp;"_desc"</f>
        <v>s1_node_economy_desc</v>
      </c>
      <c r="G391" s="0" t="s">
        <v>419</v>
      </c>
      <c r="H391" s="0">
        <v>5</v>
      </c>
      <c r="I391" s="0" t="s">
        <v>27</v>
      </c>
      <c r="J391" s="0" t="s">
        <v>601</v>
      </c>
      <c r="K391" s="0">
        <v>3470</v>
      </c>
      <c r="L391" s="13">
        <v>3</v>
      </c>
      <c r="M391" s="0">
        <v>95</v>
      </c>
      <c r="N391" s="0">
        <v>6</v>
      </c>
      <c r="P391" s="0" t="s">
        <v>603</v>
      </c>
      <c r="T391" s="0" t="str">
        <f>_xlfn.TEXTJOIN("_",TRUE,C391,"node_eff",D391,M391,N391)</f>
        <v>s1_node_eff_economy_95_6</v>
      </c>
    </row>
    <row r="392" spans="1:20" x14ac:dyDescent="0.45">
      <c r="A392" s="0" t="str">
        <f>_xlfn.TEXTJOIN("_",TRUE,C392,"node",D392,M392,N392)</f>
        <v>s1_node_economy_96_4</v>
      </c>
      <c r="B392" s="0" t="s">
        <v>0</v>
      </c>
      <c r="C392" s="0" t="s">
        <v>26</v>
      </c>
      <c r="D392" s="0" t="s">
        <v>103</v>
      </c>
      <c r="E392" s="0" t="str">
        <f>"s1_node_"&amp;D392&amp;"_name"</f>
        <v>s1_node_economy_name</v>
      </c>
      <c r="F392" s="13" t="str">
        <f>"s1_node_"&amp;D392&amp;"_desc"</f>
        <v>s1_node_economy_desc</v>
      </c>
      <c r="G392" s="0" t="s">
        <v>422</v>
      </c>
      <c r="H392" s="0">
        <v>5</v>
      </c>
      <c r="I392" s="0" t="s">
        <v>27</v>
      </c>
      <c r="J392" s="0" t="s">
        <v>604</v>
      </c>
      <c r="K392" s="0">
        <v>3510</v>
      </c>
      <c r="L392" s="13">
        <v>3</v>
      </c>
      <c r="M392" s="0">
        <v>96</v>
      </c>
      <c r="N392" s="0">
        <v>4</v>
      </c>
      <c r="P392" s="0" t="s">
        <v>605</v>
      </c>
      <c r="T392" s="0" t="str">
        <f>_xlfn.TEXTJOIN("_",TRUE,C392,"node_eff",D392,M392,N392)</f>
        <v>s1_node_eff_economy_96_4</v>
      </c>
    </row>
    <row r="393" spans="1:20" x14ac:dyDescent="0.45">
      <c r="A393" s="0" t="str">
        <f>_xlfn.TEXTJOIN("_",TRUE,C393,"node",D393,M393,N393)</f>
        <v>s1_node_economy_97_2</v>
      </c>
      <c r="B393" s="0" t="s">
        <v>0</v>
      </c>
      <c r="C393" s="0" t="s">
        <v>26</v>
      </c>
      <c r="D393" s="0" t="s">
        <v>103</v>
      </c>
      <c r="E393" s="0" t="str">
        <f>"s1_node_"&amp;D393&amp;"_name"</f>
        <v>s1_node_economy_name</v>
      </c>
      <c r="F393" s="13" t="str">
        <f>"s1_node_"&amp;D393&amp;"_desc"</f>
        <v>s1_node_economy_desc</v>
      </c>
      <c r="G393" s="0" t="s">
        <v>419</v>
      </c>
      <c r="H393" s="0">
        <v>5</v>
      </c>
      <c r="I393" s="0" t="s">
        <v>27</v>
      </c>
      <c r="J393" s="0" t="s">
        <v>606</v>
      </c>
      <c r="K393" s="0">
        <v>3540</v>
      </c>
      <c r="L393" s="13">
        <v>3</v>
      </c>
      <c r="M393" s="0">
        <v>97</v>
      </c>
      <c r="N393" s="0">
        <v>2</v>
      </c>
      <c r="T393" s="0" t="str">
        <f>_xlfn.TEXTJOIN("_",TRUE,C393,"node_eff",D393,M393,N393)</f>
        <v>s1_node_eff_economy_97_2</v>
      </c>
    </row>
    <row r="394" spans="1:20" x14ac:dyDescent="0.45">
      <c r="A394" s="0" t="str">
        <f>_xlfn.TEXTJOIN("_",TRUE,C394,"node",D394,M394,N394)</f>
        <v>s1_node_economy_97_4</v>
      </c>
      <c r="B394" s="0" t="s">
        <v>0</v>
      </c>
      <c r="C394" s="0" t="s">
        <v>26</v>
      </c>
      <c r="D394" s="0" t="s">
        <v>103</v>
      </c>
      <c r="E394" s="0" t="str">
        <f>"s1_node_"&amp;D394&amp;"_name"</f>
        <v>s1_node_economy_name</v>
      </c>
      <c r="F394" s="13" t="str">
        <f>"s1_node_"&amp;D394&amp;"_desc"</f>
        <v>s1_node_economy_desc</v>
      </c>
      <c r="G394" s="0" t="s">
        <v>419</v>
      </c>
      <c r="H394" s="0">
        <v>5</v>
      </c>
      <c r="I394" s="0" t="s">
        <v>27</v>
      </c>
      <c r="J394" s="0" t="s">
        <v>606</v>
      </c>
      <c r="K394" s="0">
        <v>3540</v>
      </c>
      <c r="L394" s="13">
        <v>3</v>
      </c>
      <c r="M394" s="0">
        <v>97</v>
      </c>
      <c r="N394" s="0">
        <v>4</v>
      </c>
      <c r="T394" s="0" t="str">
        <f>_xlfn.TEXTJOIN("_",TRUE,C394,"node_eff",D394,M394,N394)</f>
        <v>s1_node_eff_economy_97_4</v>
      </c>
    </row>
    <row r="395" spans="1:20" x14ac:dyDescent="0.45">
      <c r="A395" s="0" t="str">
        <f>_xlfn.TEXTJOIN("_",TRUE,C395,"node",D395,M395,N395)</f>
        <v>s1_node_economy_97_6</v>
      </c>
      <c r="B395" s="0" t="s">
        <v>0</v>
      </c>
      <c r="C395" s="0" t="s">
        <v>26</v>
      </c>
      <c r="D395" s="0" t="s">
        <v>103</v>
      </c>
      <c r="E395" s="0" t="str">
        <f>"s1_node_"&amp;D395&amp;"_name"</f>
        <v>s1_node_economy_name</v>
      </c>
      <c r="F395" s="13" t="str">
        <f>"s1_node_"&amp;D395&amp;"_desc"</f>
        <v>s1_node_economy_desc</v>
      </c>
      <c r="G395" s="0" t="s">
        <v>419</v>
      </c>
      <c r="H395" s="0">
        <v>5</v>
      </c>
      <c r="I395" s="0" t="s">
        <v>27</v>
      </c>
      <c r="J395" s="0" t="s">
        <v>606</v>
      </c>
      <c r="K395" s="0">
        <v>3540</v>
      </c>
      <c r="L395" s="13">
        <v>3</v>
      </c>
      <c r="M395" s="0">
        <v>97</v>
      </c>
      <c r="N395" s="0">
        <v>6</v>
      </c>
      <c r="T395" s="0" t="str">
        <f>_xlfn.TEXTJOIN("_",TRUE,C395,"node_eff",D395,M395,N395)</f>
        <v>s1_node_eff_economy_97_6</v>
      </c>
    </row>
    <row r="396" spans="1:20" x14ac:dyDescent="0.45">
      <c r="A396" s="0" t="str">
        <f>_xlfn.TEXTJOIN("_",TRUE,C396,"node",D396,M396,N396)</f>
        <v>s1_node_economy_98_2</v>
      </c>
      <c r="B396" s="0" t="s">
        <v>0</v>
      </c>
      <c r="C396" s="0" t="s">
        <v>26</v>
      </c>
      <c r="D396" s="0" t="s">
        <v>103</v>
      </c>
      <c r="E396" s="0" t="str">
        <f>"s1_node_"&amp;D396&amp;"_name"</f>
        <v>s1_node_economy_name</v>
      </c>
      <c r="F396" s="13" t="str">
        <f>"s1_node_"&amp;D396&amp;"_desc"</f>
        <v>s1_node_economy_desc</v>
      </c>
      <c r="G396" s="0" t="s">
        <v>419</v>
      </c>
      <c r="H396" s="0">
        <v>5</v>
      </c>
      <c r="I396" s="0" t="s">
        <v>27</v>
      </c>
      <c r="J396" s="0" t="s">
        <v>607</v>
      </c>
      <c r="K396" s="0">
        <v>3580</v>
      </c>
      <c r="L396" s="13">
        <v>3</v>
      </c>
      <c r="M396" s="0">
        <v>98</v>
      </c>
      <c r="N396" s="0">
        <v>2</v>
      </c>
      <c r="P396" s="0" t="s">
        <v>608</v>
      </c>
      <c r="T396" s="0" t="str">
        <f>_xlfn.TEXTJOIN("_",TRUE,C396,"node_eff",D396,M396,N396)</f>
        <v>s1_node_eff_economy_98_2</v>
      </c>
    </row>
    <row r="397" spans="1:20" x14ac:dyDescent="0.45">
      <c r="A397" s="0" t="str">
        <f>_xlfn.TEXTJOIN("_",TRUE,C397,"node",D397,M397,N397)</f>
        <v>s1_node_economy_98_6</v>
      </c>
      <c r="B397" s="0" t="s">
        <v>0</v>
      </c>
      <c r="C397" s="0" t="s">
        <v>26</v>
      </c>
      <c r="D397" s="0" t="s">
        <v>103</v>
      </c>
      <c r="E397" s="0" t="str">
        <f>"s1_node_"&amp;D397&amp;"_name"</f>
        <v>s1_node_economy_name</v>
      </c>
      <c r="F397" s="13" t="str">
        <f>"s1_node_"&amp;D397&amp;"_desc"</f>
        <v>s1_node_economy_desc</v>
      </c>
      <c r="G397" s="0" t="s">
        <v>419</v>
      </c>
      <c r="H397" s="0">
        <v>5</v>
      </c>
      <c r="I397" s="0" t="s">
        <v>27</v>
      </c>
      <c r="J397" s="0" t="s">
        <v>607</v>
      </c>
      <c r="K397" s="0">
        <v>3580</v>
      </c>
      <c r="L397" s="13">
        <v>3</v>
      </c>
      <c r="M397" s="0">
        <v>98</v>
      </c>
      <c r="N397" s="0">
        <v>6</v>
      </c>
      <c r="P397" s="0" t="s">
        <v>609</v>
      </c>
      <c r="T397" s="0" t="str">
        <f>_xlfn.TEXTJOIN("_",TRUE,C397,"node_eff",D397,M397,N397)</f>
        <v>s1_node_eff_economy_98_6</v>
      </c>
    </row>
    <row r="398" spans="1:20" x14ac:dyDescent="0.45">
      <c r="A398" s="0" t="str">
        <f>_xlfn.TEXTJOIN("_",TRUE,C398,"node",D398,M398,N398)</f>
        <v>s1_node_economy_99_2</v>
      </c>
      <c r="B398" s="0" t="s">
        <v>0</v>
      </c>
      <c r="C398" s="0" t="s">
        <v>26</v>
      </c>
      <c r="D398" s="0" t="s">
        <v>103</v>
      </c>
      <c r="E398" s="0" t="str">
        <f>"s1_node_"&amp;D398&amp;"_name"</f>
        <v>s1_node_economy_name</v>
      </c>
      <c r="F398" s="13" t="str">
        <f>"s1_node_"&amp;D398&amp;"_desc"</f>
        <v>s1_node_economy_desc</v>
      </c>
      <c r="G398" s="0" t="s">
        <v>422</v>
      </c>
      <c r="H398" s="0">
        <v>5</v>
      </c>
      <c r="I398" s="0" t="s">
        <v>27</v>
      </c>
      <c r="J398" s="0" t="s">
        <v>610</v>
      </c>
      <c r="K398" s="0">
        <v>3610</v>
      </c>
      <c r="L398" s="13">
        <v>3</v>
      </c>
      <c r="M398" s="0">
        <v>99</v>
      </c>
      <c r="N398" s="0">
        <v>2</v>
      </c>
      <c r="T398" s="0" t="str">
        <f>_xlfn.TEXTJOIN("_",TRUE,C398,"node_eff",D398,M398,N398)</f>
        <v>s1_node_eff_economy_99_2</v>
      </c>
    </row>
    <row r="399" spans="1:20" x14ac:dyDescent="0.45">
      <c r="A399" s="0" t="str">
        <f>_xlfn.TEXTJOIN("_",TRUE,C399,"node",D399,M399,N399)</f>
        <v>s1_node_economy_99_4</v>
      </c>
      <c r="B399" s="0" t="s">
        <v>0</v>
      </c>
      <c r="C399" s="0" t="s">
        <v>26</v>
      </c>
      <c r="D399" s="0" t="s">
        <v>103</v>
      </c>
      <c r="E399" s="0" t="str">
        <f>"s1_node_"&amp;D399&amp;"_name"</f>
        <v>s1_node_economy_name</v>
      </c>
      <c r="F399" s="13" t="str">
        <f>"s1_node_"&amp;D399&amp;"_desc"</f>
        <v>s1_node_economy_desc</v>
      </c>
      <c r="G399" s="0" t="s">
        <v>419</v>
      </c>
      <c r="H399" s="0">
        <v>5</v>
      </c>
      <c r="I399" s="0" t="s">
        <v>27</v>
      </c>
      <c r="J399" s="0" t="s">
        <v>610</v>
      </c>
      <c r="K399" s="0">
        <v>3610</v>
      </c>
      <c r="L399" s="13">
        <v>3</v>
      </c>
      <c r="M399" s="0">
        <v>99</v>
      </c>
      <c r="N399" s="0">
        <v>4</v>
      </c>
      <c r="P399" s="0" t="s">
        <v>611</v>
      </c>
      <c r="T399" s="0" t="str">
        <f>_xlfn.TEXTJOIN("_",TRUE,C399,"node_eff",D399,M399,N399)</f>
        <v>s1_node_eff_economy_99_4</v>
      </c>
    </row>
    <row r="400" spans="1:20" x14ac:dyDescent="0.45">
      <c r="A400" s="0" t="str">
        <f>_xlfn.TEXTJOIN("_",TRUE,C400,"node",D400,M400,N400)</f>
        <v>s1_node_economy_99_6</v>
      </c>
      <c r="B400" s="0" t="s">
        <v>0</v>
      </c>
      <c r="C400" s="0" t="s">
        <v>26</v>
      </c>
      <c r="D400" s="0" t="s">
        <v>103</v>
      </c>
      <c r="E400" s="0" t="str">
        <f>"s1_node_"&amp;D400&amp;"_name"</f>
        <v>s1_node_economy_name</v>
      </c>
      <c r="F400" s="13" t="str">
        <f>"s1_node_"&amp;D400&amp;"_desc"</f>
        <v>s1_node_economy_desc</v>
      </c>
      <c r="G400" s="0" t="s">
        <v>419</v>
      </c>
      <c r="H400" s="0">
        <v>5</v>
      </c>
      <c r="I400" s="0" t="s">
        <v>27</v>
      </c>
      <c r="J400" s="0" t="s">
        <v>610</v>
      </c>
      <c r="K400" s="0">
        <v>3610</v>
      </c>
      <c r="L400" s="13">
        <v>3</v>
      </c>
      <c r="M400" s="0">
        <v>99</v>
      </c>
      <c r="N400" s="0">
        <v>6</v>
      </c>
      <c r="T400" s="0" t="str">
        <f>_xlfn.TEXTJOIN("_",TRUE,C400,"node_eff",D400,M400,N400)</f>
        <v>s1_node_eff_economy_99_6</v>
      </c>
    </row>
    <row r="401" spans="1:20" x14ac:dyDescent="0.45">
      <c r="A401" s="0" t="str">
        <f>_xlfn.TEXTJOIN("_",TRUE,C401,"node",D401,M401,N401)</f>
        <v>s1_node_economy_100_2</v>
      </c>
      <c r="B401" s="0" t="s">
        <v>0</v>
      </c>
      <c r="C401" s="0" t="s">
        <v>26</v>
      </c>
      <c r="D401" s="0" t="s">
        <v>103</v>
      </c>
      <c r="E401" s="0" t="str">
        <f>"s1_node_"&amp;D401&amp;"_name"</f>
        <v>s1_node_economy_name</v>
      </c>
      <c r="F401" s="13" t="str">
        <f>"s1_node_"&amp;D401&amp;"_desc"</f>
        <v>s1_node_economy_desc</v>
      </c>
      <c r="G401" s="0" t="s">
        <v>419</v>
      </c>
      <c r="H401" s="0">
        <v>5</v>
      </c>
      <c r="I401" s="0" t="s">
        <v>27</v>
      </c>
      <c r="J401" s="0" t="s">
        <v>612</v>
      </c>
      <c r="K401" s="0">
        <v>3650</v>
      </c>
      <c r="L401" s="13">
        <v>3</v>
      </c>
      <c r="M401" s="0">
        <v>100</v>
      </c>
      <c r="N401" s="0">
        <v>2</v>
      </c>
      <c r="P401" s="0" t="s">
        <v>613</v>
      </c>
      <c r="T401" s="0" t="str">
        <f>_xlfn.TEXTJOIN("_",TRUE,C401,"node_eff",D401,M401,N401)</f>
        <v>s1_node_eff_economy_100_2</v>
      </c>
    </row>
    <row r="402" spans="1:20" x14ac:dyDescent="0.45">
      <c r="A402" s="0" t="str">
        <f>_xlfn.TEXTJOIN("_",TRUE,C402,"node",D402,M402,N402)</f>
        <v>s1_node_economy_100_6</v>
      </c>
      <c r="B402" s="0" t="s">
        <v>0</v>
      </c>
      <c r="C402" s="0" t="s">
        <v>26</v>
      </c>
      <c r="D402" s="0" t="s">
        <v>103</v>
      </c>
      <c r="E402" s="0" t="str">
        <f>"s1_node_"&amp;D402&amp;"_name"</f>
        <v>s1_node_economy_name</v>
      </c>
      <c r="F402" s="13" t="str">
        <f>"s1_node_"&amp;D402&amp;"_desc"</f>
        <v>s1_node_economy_desc</v>
      </c>
      <c r="G402" s="0" t="s">
        <v>419</v>
      </c>
      <c r="H402" s="0">
        <v>5</v>
      </c>
      <c r="I402" s="0" t="s">
        <v>27</v>
      </c>
      <c r="J402" s="0" t="s">
        <v>612</v>
      </c>
      <c r="K402" s="0">
        <v>3650</v>
      </c>
      <c r="L402" s="13">
        <v>3</v>
      </c>
      <c r="M402" s="0">
        <v>100</v>
      </c>
      <c r="N402" s="0">
        <v>6</v>
      </c>
      <c r="P402" s="0" t="s">
        <v>614</v>
      </c>
      <c r="T402" s="0" t="str">
        <f>_xlfn.TEXTJOIN("_",TRUE,C402,"node_eff",D402,M402,N402)</f>
        <v>s1_node_eff_economy_100_6</v>
      </c>
    </row>
    <row r="403" spans="1:20" x14ac:dyDescent="0.45">
      <c r="A403" s="0" t="str">
        <f>_xlfn.TEXTJOIN("_",TRUE,C403,"node",D403,M403,N403)</f>
        <v>s1_node_recruit_1_4</v>
      </c>
      <c r="B403" s="0" t="s">
        <v>0</v>
      </c>
      <c r="C403" s="0" t="s">
        <v>26</v>
      </c>
      <c r="D403" s="0" t="s">
        <v>104</v>
      </c>
      <c r="E403" s="0" t="str">
        <f>"s1_node_"&amp;D403&amp;"_name"</f>
        <v>s1_node_recruit_name</v>
      </c>
      <c r="F403" s="13" t="str">
        <f>"s1_node_"&amp;D403&amp;"_desc"</f>
        <v>s1_node_recruit_desc</v>
      </c>
      <c r="G403" s="0" t="s">
        <v>615</v>
      </c>
      <c r="H403" s="0">
        <v>1</v>
      </c>
      <c r="I403" s="0" t="s">
        <v>27</v>
      </c>
      <c r="J403" s="0" t="s">
        <v>616</v>
      </c>
      <c r="K403" s="0">
        <v>140</v>
      </c>
      <c r="L403" s="13">
        <v>3</v>
      </c>
      <c r="M403" s="0">
        <v>1</v>
      </c>
      <c r="N403" s="0">
        <v>4</v>
      </c>
      <c r="T403" s="0" t="str">
        <f>_xlfn.TEXTJOIN("_",TRUE,C403,"node_eff",D403,M403,N403)</f>
        <v>s1_node_eff_recruit_1_4</v>
      </c>
    </row>
    <row r="404" spans="1:20" x14ac:dyDescent="0.45">
      <c r="A404" s="0" t="str">
        <f>_xlfn.TEXTJOIN("_",TRUE,C404,"node",D404,M404,N404)</f>
        <v>s1_node_recruit_2_2</v>
      </c>
      <c r="B404" s="0" t="s">
        <v>0</v>
      </c>
      <c r="C404" s="0" t="s">
        <v>26</v>
      </c>
      <c r="D404" s="0" t="s">
        <v>104</v>
      </c>
      <c r="E404" s="0" t="str">
        <f>"s1_node_"&amp;D404&amp;"_name"</f>
        <v>s1_node_recruit_name</v>
      </c>
      <c r="F404" s="13" t="str">
        <f>"s1_node_"&amp;D404&amp;"_desc"</f>
        <v>s1_node_recruit_desc</v>
      </c>
      <c r="G404" s="0" t="s">
        <v>615</v>
      </c>
      <c r="H404" s="0">
        <v>1</v>
      </c>
      <c r="I404" s="0" t="s">
        <v>27</v>
      </c>
      <c r="J404" s="0" t="s">
        <v>146</v>
      </c>
      <c r="K404" s="0">
        <v>180</v>
      </c>
      <c r="L404" s="13">
        <v>3</v>
      </c>
      <c r="M404" s="0">
        <v>2</v>
      </c>
      <c r="N404" s="0">
        <v>2</v>
      </c>
      <c r="T404" s="0" t="str">
        <f>_xlfn.TEXTJOIN("_",TRUE,C404,"node_eff",D404,M404,N404)</f>
        <v>s1_node_eff_recruit_2_2</v>
      </c>
    </row>
    <row r="405" spans="1:20" x14ac:dyDescent="0.45">
      <c r="A405" s="0" t="str">
        <f>_xlfn.TEXTJOIN("_",TRUE,C405,"node",D405,M405,N405)</f>
        <v>s1_node_recruit_2_4</v>
      </c>
      <c r="B405" s="0" t="s">
        <v>0</v>
      </c>
      <c r="C405" s="0" t="s">
        <v>26</v>
      </c>
      <c r="D405" s="0" t="s">
        <v>104</v>
      </c>
      <c r="E405" s="0" t="str">
        <f>"s1_node_"&amp;D405&amp;"_name"</f>
        <v>s1_node_recruit_name</v>
      </c>
      <c r="F405" s="13" t="str">
        <f>"s1_node_"&amp;D405&amp;"_desc"</f>
        <v>s1_node_recruit_desc</v>
      </c>
      <c r="G405" s="0" t="s">
        <v>615</v>
      </c>
      <c r="H405" s="0">
        <v>1</v>
      </c>
      <c r="I405" s="0" t="s">
        <v>27</v>
      </c>
      <c r="J405" s="0" t="s">
        <v>146</v>
      </c>
      <c r="K405" s="0">
        <v>180</v>
      </c>
      <c r="L405" s="13">
        <v>3</v>
      </c>
      <c r="M405" s="0">
        <v>2</v>
      </c>
      <c r="N405" s="0">
        <v>4</v>
      </c>
      <c r="T405" s="0" t="str">
        <f>_xlfn.TEXTJOIN("_",TRUE,C405,"node_eff",D405,M405,N405)</f>
        <v>s1_node_eff_recruit_2_4</v>
      </c>
    </row>
    <row r="406" spans="1:20" x14ac:dyDescent="0.45">
      <c r="A406" s="0" t="str">
        <f>_xlfn.TEXTJOIN("_",TRUE,C406,"node",D406,M406,N406)</f>
        <v>s1_node_recruit_2_6</v>
      </c>
      <c r="B406" s="0" t="s">
        <v>0</v>
      </c>
      <c r="C406" s="0" t="s">
        <v>26</v>
      </c>
      <c r="D406" s="0" t="s">
        <v>104</v>
      </c>
      <c r="E406" s="0" t="str">
        <f>"s1_node_"&amp;D406&amp;"_name"</f>
        <v>s1_node_recruit_name</v>
      </c>
      <c r="F406" s="13" t="str">
        <f>"s1_node_"&amp;D406&amp;"_desc"</f>
        <v>s1_node_recruit_desc</v>
      </c>
      <c r="G406" s="0" t="s">
        <v>615</v>
      </c>
      <c r="H406" s="0">
        <v>1</v>
      </c>
      <c r="I406" s="0" t="s">
        <v>27</v>
      </c>
      <c r="J406" s="0" t="s">
        <v>146</v>
      </c>
      <c r="K406" s="0">
        <v>180</v>
      </c>
      <c r="L406" s="13">
        <v>3</v>
      </c>
      <c r="M406" s="0">
        <v>2</v>
      </c>
      <c r="N406" s="0">
        <v>6</v>
      </c>
      <c r="T406" s="0" t="str">
        <f>_xlfn.TEXTJOIN("_",TRUE,C406,"node_eff",D406,M406,N406)</f>
        <v>s1_node_eff_recruit_2_6</v>
      </c>
    </row>
    <row r="407" spans="1:20" x14ac:dyDescent="0.45">
      <c r="A407" s="0" t="str">
        <f>_xlfn.TEXTJOIN("_",TRUE,C407,"node",D407,M407,N407)</f>
        <v>s1_node_recruit_3_2</v>
      </c>
      <c r="B407" s="0" t="s">
        <v>0</v>
      </c>
      <c r="C407" s="0" t="s">
        <v>26</v>
      </c>
      <c r="D407" s="0" t="s">
        <v>104</v>
      </c>
      <c r="E407" s="0" t="str">
        <f>"s1_node_"&amp;D407&amp;"_name"</f>
        <v>s1_node_recruit_name</v>
      </c>
      <c r="F407" s="13" t="str">
        <f>"s1_node_"&amp;D407&amp;"_desc"</f>
        <v>s1_node_recruit_desc</v>
      </c>
      <c r="G407" s="0" t="s">
        <v>422</v>
      </c>
      <c r="H407" s="0">
        <v>1</v>
      </c>
      <c r="I407" s="0" t="s">
        <v>27</v>
      </c>
      <c r="J407" s="0" t="s">
        <v>150</v>
      </c>
      <c r="K407" s="0">
        <v>220</v>
      </c>
      <c r="L407" s="13">
        <v>3</v>
      </c>
      <c r="M407" s="0">
        <v>3</v>
      </c>
      <c r="N407" s="0">
        <v>2</v>
      </c>
      <c r="P407" s="0" t="s">
        <v>617</v>
      </c>
      <c r="T407" s="0" t="str">
        <f>_xlfn.TEXTJOIN("_",TRUE,C407,"node_eff",D407,M407,N407)</f>
        <v>s1_node_eff_recruit_3_2</v>
      </c>
    </row>
    <row r="408" spans="1:20" x14ac:dyDescent="0.45">
      <c r="A408" s="0" t="str">
        <f>_xlfn.TEXTJOIN("_",TRUE,C408,"node",D408,M408,N408)</f>
        <v>s1_node_recruit_3_6</v>
      </c>
      <c r="B408" s="0" t="s">
        <v>0</v>
      </c>
      <c r="C408" s="0" t="s">
        <v>26</v>
      </c>
      <c r="D408" s="0" t="s">
        <v>104</v>
      </c>
      <c r="E408" s="0" t="str">
        <f>"s1_node_"&amp;D408&amp;"_name"</f>
        <v>s1_node_recruit_name</v>
      </c>
      <c r="F408" s="13" t="str">
        <f>"s1_node_"&amp;D408&amp;"_desc"</f>
        <v>s1_node_recruit_desc</v>
      </c>
      <c r="G408" s="0" t="s">
        <v>422</v>
      </c>
      <c r="H408" s="0">
        <v>1</v>
      </c>
      <c r="I408" s="0" t="s">
        <v>27</v>
      </c>
      <c r="J408" s="0" t="s">
        <v>150</v>
      </c>
      <c r="K408" s="0">
        <v>220</v>
      </c>
      <c r="L408" s="13">
        <v>3</v>
      </c>
      <c r="M408" s="0">
        <v>3</v>
      </c>
      <c r="N408" s="0">
        <v>6</v>
      </c>
      <c r="P408" s="0" t="s">
        <v>618</v>
      </c>
      <c r="T408" s="0" t="str">
        <f>_xlfn.TEXTJOIN("_",TRUE,C408,"node_eff",D408,M408,N408)</f>
        <v>s1_node_eff_recruit_3_6</v>
      </c>
    </row>
    <row r="409" spans="1:20" x14ac:dyDescent="0.45">
      <c r="A409" s="0" t="str">
        <f>_xlfn.TEXTJOIN("_",TRUE,C409,"node",D409,M409,N409)</f>
        <v>s1_node_recruit_4_2</v>
      </c>
      <c r="B409" s="0" t="s">
        <v>0</v>
      </c>
      <c r="C409" s="0" t="s">
        <v>26</v>
      </c>
      <c r="D409" s="0" t="s">
        <v>104</v>
      </c>
      <c r="E409" s="0" t="str">
        <f>"s1_node_"&amp;D409&amp;"_name"</f>
        <v>s1_node_recruit_name</v>
      </c>
      <c r="F409" s="13" t="str">
        <f>"s1_node_"&amp;D409&amp;"_desc"</f>
        <v>s1_node_recruit_desc</v>
      </c>
      <c r="G409" s="0" t="s">
        <v>422</v>
      </c>
      <c r="H409" s="0">
        <v>1</v>
      </c>
      <c r="I409" s="0" t="s">
        <v>27</v>
      </c>
      <c r="J409" s="0" t="s">
        <v>153</v>
      </c>
      <c r="K409" s="0">
        <v>250</v>
      </c>
      <c r="L409" s="13">
        <v>3</v>
      </c>
      <c r="M409" s="0">
        <v>4</v>
      </c>
      <c r="N409" s="0">
        <v>2</v>
      </c>
      <c r="T409" s="0" t="str">
        <f>_xlfn.TEXTJOIN("_",TRUE,C409,"node_eff",D409,M409,N409)</f>
        <v>s1_node_eff_recruit_4_2</v>
      </c>
    </row>
    <row r="410" spans="1:20" x14ac:dyDescent="0.45">
      <c r="A410" s="0" t="str">
        <f>_xlfn.TEXTJOIN("_",TRUE,C410,"node",D410,M410,N410)</f>
        <v>s1_node_recruit_4_4</v>
      </c>
      <c r="B410" s="0" t="s">
        <v>0</v>
      </c>
      <c r="C410" s="0" t="s">
        <v>26</v>
      </c>
      <c r="D410" s="0" t="s">
        <v>104</v>
      </c>
      <c r="E410" s="0" t="str">
        <f>"s1_node_"&amp;D410&amp;"_name"</f>
        <v>s1_node_recruit_name</v>
      </c>
      <c r="F410" s="13" t="str">
        <f>"s1_node_"&amp;D410&amp;"_desc"</f>
        <v>s1_node_recruit_desc</v>
      </c>
      <c r="G410" s="0" t="s">
        <v>615</v>
      </c>
      <c r="H410" s="0">
        <v>1</v>
      </c>
      <c r="I410" s="0" t="s">
        <v>27</v>
      </c>
      <c r="J410" s="0" t="s">
        <v>153</v>
      </c>
      <c r="K410" s="0">
        <v>250</v>
      </c>
      <c r="L410" s="13">
        <v>3</v>
      </c>
      <c r="M410" s="0">
        <v>4</v>
      </c>
      <c r="N410" s="0">
        <v>4</v>
      </c>
      <c r="P410" s="0" t="s">
        <v>619</v>
      </c>
      <c r="T410" s="0" t="str">
        <f>_xlfn.TEXTJOIN("_",TRUE,C410,"node_eff",D410,M410,N410)</f>
        <v>s1_node_eff_recruit_4_4</v>
      </c>
    </row>
    <row r="411" spans="1:20" x14ac:dyDescent="0.45">
      <c r="A411" s="0" t="str">
        <f>_xlfn.TEXTJOIN("_",TRUE,C411,"node",D411,M411,N411)</f>
        <v>s1_node_recruit_4_6</v>
      </c>
      <c r="B411" s="0" t="s">
        <v>0</v>
      </c>
      <c r="C411" s="0" t="s">
        <v>26</v>
      </c>
      <c r="D411" s="0" t="s">
        <v>104</v>
      </c>
      <c r="E411" s="0" t="str">
        <f>"s1_node_"&amp;D411&amp;"_name"</f>
        <v>s1_node_recruit_name</v>
      </c>
      <c r="F411" s="13" t="str">
        <f>"s1_node_"&amp;D411&amp;"_desc"</f>
        <v>s1_node_recruit_desc</v>
      </c>
      <c r="G411" s="0" t="s">
        <v>615</v>
      </c>
      <c r="H411" s="0">
        <v>1</v>
      </c>
      <c r="I411" s="0" t="s">
        <v>27</v>
      </c>
      <c r="J411" s="0" t="s">
        <v>153</v>
      </c>
      <c r="K411" s="0">
        <v>250</v>
      </c>
      <c r="L411" s="13">
        <v>3</v>
      </c>
      <c r="M411" s="0">
        <v>4</v>
      </c>
      <c r="N411" s="0">
        <v>6</v>
      </c>
      <c r="T411" s="0" t="str">
        <f>_xlfn.TEXTJOIN("_",TRUE,C411,"node_eff",D411,M411,N411)</f>
        <v>s1_node_eff_recruit_4_6</v>
      </c>
    </row>
    <row r="412" spans="1:20" x14ac:dyDescent="0.45">
      <c r="A412" s="0" t="str">
        <f>_xlfn.TEXTJOIN("_",TRUE,C412,"node",D412,M412,N412)</f>
        <v>s1_node_recruit_5_2</v>
      </c>
      <c r="B412" s="0" t="s">
        <v>0</v>
      </c>
      <c r="C412" s="0" t="s">
        <v>26</v>
      </c>
      <c r="D412" s="0" t="s">
        <v>104</v>
      </c>
      <c r="E412" s="0" t="str">
        <f>"s1_node_"&amp;D412&amp;"_name"</f>
        <v>s1_node_recruit_name</v>
      </c>
      <c r="F412" s="13" t="str">
        <f>"s1_node_"&amp;D412&amp;"_desc"</f>
        <v>s1_node_recruit_desc</v>
      </c>
      <c r="G412" s="0" t="s">
        <v>615</v>
      </c>
      <c r="H412" s="0">
        <v>1</v>
      </c>
      <c r="I412" s="0" t="s">
        <v>27</v>
      </c>
      <c r="J412" s="0" t="s">
        <v>156</v>
      </c>
      <c r="K412" s="0">
        <v>290</v>
      </c>
      <c r="L412" s="13">
        <v>3</v>
      </c>
      <c r="M412" s="0">
        <v>5</v>
      </c>
      <c r="N412" s="0">
        <v>2</v>
      </c>
      <c r="P412" s="0" t="s">
        <v>620</v>
      </c>
      <c r="T412" s="0" t="str">
        <f>_xlfn.TEXTJOIN("_",TRUE,C412,"node_eff",D412,M412,N412)</f>
        <v>s1_node_eff_recruit_5_2</v>
      </c>
    </row>
    <row r="413" spans="1:20" x14ac:dyDescent="0.45">
      <c r="A413" s="0" t="str">
        <f>_xlfn.TEXTJOIN("_",TRUE,C413,"node",D413,M413,N413)</f>
        <v>s1_node_recruit_5_6</v>
      </c>
      <c r="B413" s="0" t="s">
        <v>0</v>
      </c>
      <c r="C413" s="0" t="s">
        <v>26</v>
      </c>
      <c r="D413" s="0" t="s">
        <v>104</v>
      </c>
      <c r="E413" s="0" t="str">
        <f>"s1_node_"&amp;D413&amp;"_name"</f>
        <v>s1_node_recruit_name</v>
      </c>
      <c r="F413" s="13" t="str">
        <f>"s1_node_"&amp;D413&amp;"_desc"</f>
        <v>s1_node_recruit_desc</v>
      </c>
      <c r="G413" s="0" t="s">
        <v>615</v>
      </c>
      <c r="H413" s="0">
        <v>1</v>
      </c>
      <c r="I413" s="0" t="s">
        <v>27</v>
      </c>
      <c r="J413" s="0" t="s">
        <v>156</v>
      </c>
      <c r="K413" s="0">
        <v>290</v>
      </c>
      <c r="L413" s="13">
        <v>3</v>
      </c>
      <c r="M413" s="0">
        <v>5</v>
      </c>
      <c r="N413" s="0">
        <v>6</v>
      </c>
      <c r="P413" s="0" t="s">
        <v>621</v>
      </c>
      <c r="T413" s="0" t="str">
        <f>_xlfn.TEXTJOIN("_",TRUE,C413,"node_eff",D413,M413,N413)</f>
        <v>s1_node_eff_recruit_5_6</v>
      </c>
    </row>
    <row r="414" spans="1:20" x14ac:dyDescent="0.45">
      <c r="A414" s="0" t="str">
        <f>_xlfn.TEXTJOIN("_",TRUE,C414,"node",D414,M414,N414)</f>
        <v>s1_node_recruit_6_4</v>
      </c>
      <c r="B414" s="0" t="s">
        <v>0</v>
      </c>
      <c r="C414" s="0" t="s">
        <v>26</v>
      </c>
      <c r="D414" s="0" t="s">
        <v>104</v>
      </c>
      <c r="E414" s="0" t="str">
        <f>"s1_node_"&amp;D414&amp;"_name"</f>
        <v>s1_node_recruit_name</v>
      </c>
      <c r="F414" s="13" t="str">
        <f>"s1_node_"&amp;D414&amp;"_desc"</f>
        <v>s1_node_recruit_desc</v>
      </c>
      <c r="G414" s="0" t="s">
        <v>422</v>
      </c>
      <c r="H414" s="0">
        <v>1</v>
      </c>
      <c r="I414" s="0" t="s">
        <v>27</v>
      </c>
      <c r="J414" s="0" t="s">
        <v>428</v>
      </c>
      <c r="K414" s="0">
        <v>330</v>
      </c>
      <c r="L414" s="13">
        <v>3</v>
      </c>
      <c r="M414" s="0">
        <v>6</v>
      </c>
      <c r="N414" s="0">
        <v>4</v>
      </c>
      <c r="P414" s="0" t="s">
        <v>622</v>
      </c>
      <c r="T414" s="0" t="str">
        <f>_xlfn.TEXTJOIN("_",TRUE,C414,"node_eff",D414,M414,N414)</f>
        <v>s1_node_eff_recruit_6_4</v>
      </c>
    </row>
    <row r="415" spans="1:20" x14ac:dyDescent="0.45">
      <c r="A415" s="0" t="str">
        <f>_xlfn.TEXTJOIN("_",TRUE,C415,"node",D415,M415,N415)</f>
        <v>s1_node_recruit_7_2</v>
      </c>
      <c r="B415" s="0" t="s">
        <v>0</v>
      </c>
      <c r="C415" s="0" t="s">
        <v>26</v>
      </c>
      <c r="D415" s="0" t="s">
        <v>104</v>
      </c>
      <c r="E415" s="0" t="str">
        <f>"s1_node_"&amp;D415&amp;"_name"</f>
        <v>s1_node_recruit_name</v>
      </c>
      <c r="F415" s="13" t="str">
        <f>"s1_node_"&amp;D415&amp;"_desc"</f>
        <v>s1_node_recruit_desc</v>
      </c>
      <c r="G415" s="0" t="s">
        <v>422</v>
      </c>
      <c r="H415" s="0">
        <v>1</v>
      </c>
      <c r="I415" s="0" t="s">
        <v>27</v>
      </c>
      <c r="J415" s="0" t="s">
        <v>623</v>
      </c>
      <c r="K415" s="0">
        <v>370</v>
      </c>
      <c r="L415" s="13">
        <v>3</v>
      </c>
      <c r="M415" s="0">
        <v>7</v>
      </c>
      <c r="N415" s="0">
        <v>2</v>
      </c>
      <c r="T415" s="0" t="str">
        <f>_xlfn.TEXTJOIN("_",TRUE,C415,"node_eff",D415,M415,N415)</f>
        <v>s1_node_eff_recruit_7_2</v>
      </c>
    </row>
    <row r="416" spans="1:20" x14ac:dyDescent="0.45">
      <c r="A416" s="0" t="str">
        <f>_xlfn.TEXTJOIN("_",TRUE,C416,"node",D416,M416,N416)</f>
        <v>s1_node_recruit_7_4</v>
      </c>
      <c r="B416" s="0" t="s">
        <v>0</v>
      </c>
      <c r="C416" s="0" t="s">
        <v>26</v>
      </c>
      <c r="D416" s="0" t="s">
        <v>104</v>
      </c>
      <c r="E416" s="0" t="str">
        <f>"s1_node_"&amp;D416&amp;"_name"</f>
        <v>s1_node_recruit_name</v>
      </c>
      <c r="F416" s="13" t="str">
        <f>"s1_node_"&amp;D416&amp;"_desc"</f>
        <v>s1_node_recruit_desc</v>
      </c>
      <c r="G416" s="0" t="s">
        <v>422</v>
      </c>
      <c r="H416" s="0">
        <v>1</v>
      </c>
      <c r="I416" s="0" t="s">
        <v>27</v>
      </c>
      <c r="J416" s="0" t="s">
        <v>623</v>
      </c>
      <c r="K416" s="0">
        <v>370</v>
      </c>
      <c r="L416" s="13">
        <v>3</v>
      </c>
      <c r="M416" s="0">
        <v>7</v>
      </c>
      <c r="N416" s="0">
        <v>4</v>
      </c>
      <c r="T416" s="0" t="str">
        <f>_xlfn.TEXTJOIN("_",TRUE,C416,"node_eff",D416,M416,N416)</f>
        <v>s1_node_eff_recruit_7_4</v>
      </c>
    </row>
    <row r="417" spans="1:20" x14ac:dyDescent="0.45">
      <c r="A417" s="0" t="str">
        <f>_xlfn.TEXTJOIN("_",TRUE,C417,"node",D417,M417,N417)</f>
        <v>s1_node_recruit_7_6</v>
      </c>
      <c r="B417" s="0" t="s">
        <v>0</v>
      </c>
      <c r="C417" s="0" t="s">
        <v>26</v>
      </c>
      <c r="D417" s="0" t="s">
        <v>104</v>
      </c>
      <c r="E417" s="0" t="str">
        <f>"s1_node_"&amp;D417&amp;"_name"</f>
        <v>s1_node_recruit_name</v>
      </c>
      <c r="F417" s="13" t="str">
        <f>"s1_node_"&amp;D417&amp;"_desc"</f>
        <v>s1_node_recruit_desc</v>
      </c>
      <c r="G417" s="0" t="s">
        <v>615</v>
      </c>
      <c r="H417" s="0">
        <v>1</v>
      </c>
      <c r="I417" s="0" t="s">
        <v>27</v>
      </c>
      <c r="J417" s="0" t="s">
        <v>623</v>
      </c>
      <c r="K417" s="0">
        <v>370</v>
      </c>
      <c r="L417" s="13">
        <v>3</v>
      </c>
      <c r="M417" s="0">
        <v>7</v>
      </c>
      <c r="N417" s="0">
        <v>6</v>
      </c>
      <c r="T417" s="0" t="str">
        <f>_xlfn.TEXTJOIN("_",TRUE,C417,"node_eff",D417,M417,N417)</f>
        <v>s1_node_eff_recruit_7_6</v>
      </c>
    </row>
    <row r="418" spans="1:20" x14ac:dyDescent="0.45">
      <c r="A418" s="0" t="str">
        <f>_xlfn.TEXTJOIN("_",TRUE,C418,"node",D418,M418,N418)</f>
        <v>s1_node_recruit_8_2</v>
      </c>
      <c r="B418" s="0" t="s">
        <v>0</v>
      </c>
      <c r="C418" s="0" t="s">
        <v>26</v>
      </c>
      <c r="D418" s="0" t="s">
        <v>104</v>
      </c>
      <c r="E418" s="0" t="str">
        <f>"s1_node_"&amp;D418&amp;"_name"</f>
        <v>s1_node_recruit_name</v>
      </c>
      <c r="F418" s="13" t="str">
        <f>"s1_node_"&amp;D418&amp;"_desc"</f>
        <v>s1_node_recruit_desc</v>
      </c>
      <c r="G418" s="0" t="s">
        <v>615</v>
      </c>
      <c r="H418" s="0">
        <v>1</v>
      </c>
      <c r="I418" s="0" t="s">
        <v>27</v>
      </c>
      <c r="J418" s="0" t="s">
        <v>431</v>
      </c>
      <c r="K418" s="0">
        <v>400</v>
      </c>
      <c r="L418" s="13">
        <v>3</v>
      </c>
      <c r="M418" s="0">
        <v>8</v>
      </c>
      <c r="N418" s="0">
        <v>2</v>
      </c>
      <c r="P418" s="0" t="s">
        <v>624</v>
      </c>
      <c r="T418" s="0" t="str">
        <f>_xlfn.TEXTJOIN("_",TRUE,C418,"node_eff",D418,M418,N418)</f>
        <v>s1_node_eff_recruit_8_2</v>
      </c>
    </row>
    <row r="419" spans="1:20" x14ac:dyDescent="0.45">
      <c r="A419" s="0" t="str">
        <f>_xlfn.TEXTJOIN("_",TRUE,C419,"node",D419,M419,N419)</f>
        <v>s1_node_recruit_8_6</v>
      </c>
      <c r="B419" s="0" t="s">
        <v>0</v>
      </c>
      <c r="C419" s="0" t="s">
        <v>26</v>
      </c>
      <c r="D419" s="0" t="s">
        <v>104</v>
      </c>
      <c r="E419" s="0" t="str">
        <f>"s1_node_"&amp;D419&amp;"_name"</f>
        <v>s1_node_recruit_name</v>
      </c>
      <c r="F419" s="13" t="str">
        <f>"s1_node_"&amp;D419&amp;"_desc"</f>
        <v>s1_node_recruit_desc</v>
      </c>
      <c r="G419" s="0" t="s">
        <v>615</v>
      </c>
      <c r="H419" s="0">
        <v>1</v>
      </c>
      <c r="I419" s="0" t="s">
        <v>27</v>
      </c>
      <c r="J419" s="0" t="s">
        <v>431</v>
      </c>
      <c r="K419" s="0">
        <v>400</v>
      </c>
      <c r="L419" s="13">
        <v>3</v>
      </c>
      <c r="M419" s="0">
        <v>8</v>
      </c>
      <c r="N419" s="0">
        <v>6</v>
      </c>
      <c r="P419" s="0" t="s">
        <v>625</v>
      </c>
      <c r="T419" s="0" t="str">
        <f>_xlfn.TEXTJOIN("_",TRUE,C419,"node_eff",D419,M419,N419)</f>
        <v>s1_node_eff_recruit_8_6</v>
      </c>
    </row>
    <row r="420" spans="1:20" x14ac:dyDescent="0.45">
      <c r="A420" s="0" t="str">
        <f>_xlfn.TEXTJOIN("_",TRUE,C420,"node",D420,M420,N420)</f>
        <v>s1_node_recruit_9_2</v>
      </c>
      <c r="B420" s="0" t="s">
        <v>0</v>
      </c>
      <c r="C420" s="0" t="s">
        <v>26</v>
      </c>
      <c r="D420" s="0" t="s">
        <v>104</v>
      </c>
      <c r="E420" s="0" t="str">
        <f>"s1_node_"&amp;D420&amp;"_name"</f>
        <v>s1_node_recruit_name</v>
      </c>
      <c r="F420" s="13" t="str">
        <f>"s1_node_"&amp;D420&amp;"_desc"</f>
        <v>s1_node_recruit_desc</v>
      </c>
      <c r="G420" s="0" t="s">
        <v>615</v>
      </c>
      <c r="H420" s="0">
        <v>1</v>
      </c>
      <c r="I420" s="0" t="s">
        <v>27</v>
      </c>
      <c r="J420" s="0" t="s">
        <v>626</v>
      </c>
      <c r="K420" s="0">
        <v>440</v>
      </c>
      <c r="L420" s="13">
        <v>3</v>
      </c>
      <c r="M420" s="0">
        <v>9</v>
      </c>
      <c r="N420" s="0">
        <v>2</v>
      </c>
      <c r="T420" s="0" t="str">
        <f>_xlfn.TEXTJOIN("_",TRUE,C420,"node_eff",D420,M420,N420)</f>
        <v>s1_node_eff_recruit_9_2</v>
      </c>
    </row>
    <row r="421" spans="1:20" x14ac:dyDescent="0.45">
      <c r="A421" s="0" t="str">
        <f>_xlfn.TEXTJOIN("_",TRUE,C421,"node",D421,M421,N421)</f>
        <v>s1_node_recruit_9_4</v>
      </c>
      <c r="B421" s="0" t="s">
        <v>0</v>
      </c>
      <c r="C421" s="0" t="s">
        <v>26</v>
      </c>
      <c r="D421" s="0" t="s">
        <v>104</v>
      </c>
      <c r="E421" s="0" t="str">
        <f>"s1_node_"&amp;D421&amp;"_name"</f>
        <v>s1_node_recruit_name</v>
      </c>
      <c r="F421" s="13" t="str">
        <f>"s1_node_"&amp;D421&amp;"_desc"</f>
        <v>s1_node_recruit_desc</v>
      </c>
      <c r="G421" s="0" t="s">
        <v>422</v>
      </c>
      <c r="H421" s="0">
        <v>1</v>
      </c>
      <c r="I421" s="0" t="s">
        <v>27</v>
      </c>
      <c r="J421" s="0" t="s">
        <v>626</v>
      </c>
      <c r="K421" s="0">
        <v>440</v>
      </c>
      <c r="L421" s="13">
        <v>3</v>
      </c>
      <c r="M421" s="0">
        <v>9</v>
      </c>
      <c r="N421" s="0">
        <v>4</v>
      </c>
      <c r="P421" s="0" t="s">
        <v>627</v>
      </c>
      <c r="T421" s="0" t="str">
        <f>_xlfn.TEXTJOIN("_",TRUE,C421,"node_eff",D421,M421,N421)</f>
        <v>s1_node_eff_recruit_9_4</v>
      </c>
    </row>
    <row r="422" spans="1:20" x14ac:dyDescent="0.45">
      <c r="A422" s="0" t="str">
        <f>_xlfn.TEXTJOIN("_",TRUE,C422,"node",D422,M422,N422)</f>
        <v>s1_node_recruit_9_6</v>
      </c>
      <c r="B422" s="0" t="s">
        <v>0</v>
      </c>
      <c r="C422" s="0" t="s">
        <v>26</v>
      </c>
      <c r="D422" s="0" t="s">
        <v>104</v>
      </c>
      <c r="E422" s="0" t="str">
        <f>"s1_node_"&amp;D422&amp;"_name"</f>
        <v>s1_node_recruit_name</v>
      </c>
      <c r="F422" s="13" t="str">
        <f>"s1_node_"&amp;D422&amp;"_desc"</f>
        <v>s1_node_recruit_desc</v>
      </c>
      <c r="G422" s="0" t="s">
        <v>422</v>
      </c>
      <c r="H422" s="0">
        <v>1</v>
      </c>
      <c r="I422" s="0" t="s">
        <v>27</v>
      </c>
      <c r="J422" s="0" t="s">
        <v>626</v>
      </c>
      <c r="K422" s="0">
        <v>440</v>
      </c>
      <c r="L422" s="13">
        <v>3</v>
      </c>
      <c r="M422" s="0">
        <v>9</v>
      </c>
      <c r="N422" s="0">
        <v>6</v>
      </c>
      <c r="T422" s="0" t="str">
        <f>_xlfn.TEXTJOIN("_",TRUE,C422,"node_eff",D422,M422,N422)</f>
        <v>s1_node_eff_recruit_9_6</v>
      </c>
    </row>
    <row r="423" spans="1:20" x14ac:dyDescent="0.45">
      <c r="A423" s="0" t="str">
        <f>_xlfn.TEXTJOIN("_",TRUE,C423,"node",D423,M423,N423)</f>
        <v>s1_node_recruit_10_2</v>
      </c>
      <c r="B423" s="0" t="s">
        <v>0</v>
      </c>
      <c r="C423" s="0" t="s">
        <v>26</v>
      </c>
      <c r="D423" s="0" t="s">
        <v>104</v>
      </c>
      <c r="E423" s="0" t="str">
        <f>"s1_node_"&amp;D423&amp;"_name"</f>
        <v>s1_node_recruit_name</v>
      </c>
      <c r="F423" s="13" t="str">
        <f>"s1_node_"&amp;D423&amp;"_desc"</f>
        <v>s1_node_recruit_desc</v>
      </c>
      <c r="G423" s="0" t="s">
        <v>422</v>
      </c>
      <c r="H423" s="0">
        <v>1</v>
      </c>
      <c r="I423" s="0" t="s">
        <v>27</v>
      </c>
      <c r="J423" s="0" t="s">
        <v>628</v>
      </c>
      <c r="K423" s="0">
        <v>480</v>
      </c>
      <c r="L423" s="13">
        <v>3</v>
      </c>
      <c r="M423" s="0">
        <v>10</v>
      </c>
      <c r="N423" s="0">
        <v>2</v>
      </c>
      <c r="P423" s="0" t="s">
        <v>629</v>
      </c>
      <c r="T423" s="0" t="str">
        <f>_xlfn.TEXTJOIN("_",TRUE,C423,"node_eff",D423,M423,N423)</f>
        <v>s1_node_eff_recruit_10_2</v>
      </c>
    </row>
    <row r="424" spans="1:20" x14ac:dyDescent="0.45">
      <c r="A424" s="0" t="str">
        <f>_xlfn.TEXTJOIN("_",TRUE,C424,"node",D424,M424,N424)</f>
        <v>s1_node_recruit_10_6</v>
      </c>
      <c r="B424" s="0" t="s">
        <v>0</v>
      </c>
      <c r="C424" s="0" t="s">
        <v>26</v>
      </c>
      <c r="D424" s="0" t="s">
        <v>104</v>
      </c>
      <c r="E424" s="0" t="str">
        <f>"s1_node_"&amp;D424&amp;"_name"</f>
        <v>s1_node_recruit_name</v>
      </c>
      <c r="F424" s="13" t="str">
        <f>"s1_node_"&amp;D424&amp;"_desc"</f>
        <v>s1_node_recruit_desc</v>
      </c>
      <c r="G424" s="0" t="s">
        <v>615</v>
      </c>
      <c r="H424" s="0">
        <v>1</v>
      </c>
      <c r="I424" s="0" t="s">
        <v>27</v>
      </c>
      <c r="J424" s="0" t="s">
        <v>628</v>
      </c>
      <c r="K424" s="0">
        <v>480</v>
      </c>
      <c r="L424" s="13">
        <v>3</v>
      </c>
      <c r="M424" s="0">
        <v>10</v>
      </c>
      <c r="N424" s="0">
        <v>6</v>
      </c>
      <c r="P424" s="0" t="s">
        <v>630</v>
      </c>
      <c r="T424" s="0" t="str">
        <f>_xlfn.TEXTJOIN("_",TRUE,C424,"node_eff",D424,M424,N424)</f>
        <v>s1_node_eff_recruit_10_6</v>
      </c>
    </row>
    <row r="425" spans="1:20" x14ac:dyDescent="0.45">
      <c r="A425" s="0" t="str">
        <f>_xlfn.TEXTJOIN("_",TRUE,C425,"node",D425,M425,N425)</f>
        <v>s1_node_recruit_11_4</v>
      </c>
      <c r="B425" s="0" t="s">
        <v>0</v>
      </c>
      <c r="C425" s="0" t="s">
        <v>26</v>
      </c>
      <c r="D425" s="0" t="s">
        <v>104</v>
      </c>
      <c r="E425" s="0" t="str">
        <f>"s1_node_"&amp;D425&amp;"_name"</f>
        <v>s1_node_recruit_name</v>
      </c>
      <c r="F425" s="13" t="str">
        <f>"s1_node_"&amp;D425&amp;"_desc"</f>
        <v>s1_node_recruit_desc</v>
      </c>
      <c r="G425" s="0" t="s">
        <v>615</v>
      </c>
      <c r="H425" s="0">
        <v>1</v>
      </c>
      <c r="I425" s="0" t="s">
        <v>27</v>
      </c>
      <c r="J425" s="0" t="s">
        <v>631</v>
      </c>
      <c r="K425" s="0">
        <v>520</v>
      </c>
      <c r="L425" s="13">
        <v>3</v>
      </c>
      <c r="M425" s="0">
        <v>11</v>
      </c>
      <c r="N425" s="0">
        <v>4</v>
      </c>
      <c r="P425" s="0" t="s">
        <v>632</v>
      </c>
      <c r="T425" s="0" t="str">
        <f>_xlfn.TEXTJOIN("_",TRUE,C425,"node_eff",D425,M425,N425)</f>
        <v>s1_node_eff_recruit_11_4</v>
      </c>
    </row>
    <row r="426" spans="1:20" x14ac:dyDescent="0.45">
      <c r="A426" s="0" t="str">
        <f>_xlfn.TEXTJOIN("_",TRUE,C426,"node",D426,M426,N426)</f>
        <v>s1_node_recruit_12_2</v>
      </c>
      <c r="B426" s="0" t="s">
        <v>0</v>
      </c>
      <c r="C426" s="0" t="s">
        <v>26</v>
      </c>
      <c r="D426" s="0" t="s">
        <v>104</v>
      </c>
      <c r="E426" s="0" t="str">
        <f>"s1_node_"&amp;D426&amp;"_name"</f>
        <v>s1_node_recruit_name</v>
      </c>
      <c r="F426" s="13" t="str">
        <f>"s1_node_"&amp;D426&amp;"_desc"</f>
        <v>s1_node_recruit_desc</v>
      </c>
      <c r="G426" s="0" t="s">
        <v>615</v>
      </c>
      <c r="H426" s="0">
        <v>1</v>
      </c>
      <c r="I426" s="0" t="s">
        <v>27</v>
      </c>
      <c r="J426" s="0" t="s">
        <v>633</v>
      </c>
      <c r="K426" s="0">
        <v>550</v>
      </c>
      <c r="L426" s="13">
        <v>3</v>
      </c>
      <c r="M426" s="0">
        <v>12</v>
      </c>
      <c r="N426" s="0">
        <v>2</v>
      </c>
      <c r="T426" s="0" t="str">
        <f>_xlfn.TEXTJOIN("_",TRUE,C426,"node_eff",D426,M426,N426)</f>
        <v>s1_node_eff_recruit_12_2</v>
      </c>
    </row>
    <row r="427" spans="1:20" x14ac:dyDescent="0.45">
      <c r="A427" s="0" t="str">
        <f>_xlfn.TEXTJOIN("_",TRUE,C427,"node",D427,M427,N427)</f>
        <v>s1_node_recruit_12_4</v>
      </c>
      <c r="B427" s="0" t="s">
        <v>0</v>
      </c>
      <c r="C427" s="0" t="s">
        <v>26</v>
      </c>
      <c r="D427" s="0" t="s">
        <v>104</v>
      </c>
      <c r="E427" s="0" t="str">
        <f>"s1_node_"&amp;D427&amp;"_name"</f>
        <v>s1_node_recruit_name</v>
      </c>
      <c r="F427" s="13" t="str">
        <f>"s1_node_"&amp;D427&amp;"_desc"</f>
        <v>s1_node_recruit_desc</v>
      </c>
      <c r="G427" s="0" t="s">
        <v>615</v>
      </c>
      <c r="H427" s="0">
        <v>1</v>
      </c>
      <c r="I427" s="0" t="s">
        <v>27</v>
      </c>
      <c r="J427" s="0" t="s">
        <v>633</v>
      </c>
      <c r="K427" s="0">
        <v>550</v>
      </c>
      <c r="L427" s="13">
        <v>3</v>
      </c>
      <c r="M427" s="0">
        <v>12</v>
      </c>
      <c r="N427" s="0">
        <v>4</v>
      </c>
      <c r="T427" s="0" t="str">
        <f>_xlfn.TEXTJOIN("_",TRUE,C427,"node_eff",D427,M427,N427)</f>
        <v>s1_node_eff_recruit_12_4</v>
      </c>
    </row>
    <row r="428" spans="1:20" x14ac:dyDescent="0.45">
      <c r="A428" s="0" t="str">
        <f>_xlfn.TEXTJOIN("_",TRUE,C428,"node",D428,M428,N428)</f>
        <v>s1_node_recruit_12_6</v>
      </c>
      <c r="B428" s="0" t="s">
        <v>0</v>
      </c>
      <c r="C428" s="0" t="s">
        <v>26</v>
      </c>
      <c r="D428" s="0" t="s">
        <v>104</v>
      </c>
      <c r="E428" s="0" t="str">
        <f>"s1_node_"&amp;D428&amp;"_name"</f>
        <v>s1_node_recruit_name</v>
      </c>
      <c r="F428" s="13" t="str">
        <f>"s1_node_"&amp;D428&amp;"_desc"</f>
        <v>s1_node_recruit_desc</v>
      </c>
      <c r="G428" s="0" t="s">
        <v>422</v>
      </c>
      <c r="H428" s="0">
        <v>1</v>
      </c>
      <c r="I428" s="0" t="s">
        <v>27</v>
      </c>
      <c r="J428" s="0" t="s">
        <v>633</v>
      </c>
      <c r="K428" s="0">
        <v>550</v>
      </c>
      <c r="L428" s="13">
        <v>3</v>
      </c>
      <c r="M428" s="0">
        <v>12</v>
      </c>
      <c r="N428" s="0">
        <v>6</v>
      </c>
      <c r="T428" s="0" t="str">
        <f>_xlfn.TEXTJOIN("_",TRUE,C428,"node_eff",D428,M428,N428)</f>
        <v>s1_node_eff_recruit_12_6</v>
      </c>
    </row>
    <row r="429" spans="1:20" x14ac:dyDescent="0.45">
      <c r="A429" s="0" t="str">
        <f>_xlfn.TEXTJOIN("_",TRUE,C429,"node",D429,M429,N429)</f>
        <v>s1_node_recruit_13_2</v>
      </c>
      <c r="B429" s="0" t="s">
        <v>0</v>
      </c>
      <c r="C429" s="0" t="s">
        <v>26</v>
      </c>
      <c r="D429" s="0" t="s">
        <v>104</v>
      </c>
      <c r="E429" s="0" t="str">
        <f>"s1_node_"&amp;D429&amp;"_name"</f>
        <v>s1_node_recruit_name</v>
      </c>
      <c r="F429" s="13" t="str">
        <f>"s1_node_"&amp;D429&amp;"_desc"</f>
        <v>s1_node_recruit_desc</v>
      </c>
      <c r="G429" s="0" t="s">
        <v>422</v>
      </c>
      <c r="H429" s="0">
        <v>1</v>
      </c>
      <c r="I429" s="0" t="s">
        <v>27</v>
      </c>
      <c r="J429" s="0" t="s">
        <v>634</v>
      </c>
      <c r="K429" s="0">
        <v>590</v>
      </c>
      <c r="L429" s="13">
        <v>3</v>
      </c>
      <c r="M429" s="0">
        <v>13</v>
      </c>
      <c r="N429" s="0">
        <v>2</v>
      </c>
      <c r="P429" s="0" t="s">
        <v>635</v>
      </c>
      <c r="T429" s="0" t="str">
        <f>_xlfn.TEXTJOIN("_",TRUE,C429,"node_eff",D429,M429,N429)</f>
        <v>s1_node_eff_recruit_13_2</v>
      </c>
    </row>
    <row r="430" spans="1:20" x14ac:dyDescent="0.45">
      <c r="A430" s="0" t="str">
        <f>_xlfn.TEXTJOIN("_",TRUE,C430,"node",D430,M430,N430)</f>
        <v>s1_node_recruit_13_6</v>
      </c>
      <c r="B430" s="0" t="s">
        <v>0</v>
      </c>
      <c r="C430" s="0" t="s">
        <v>26</v>
      </c>
      <c r="D430" s="0" t="s">
        <v>104</v>
      </c>
      <c r="E430" s="0" t="str">
        <f>"s1_node_"&amp;D430&amp;"_name"</f>
        <v>s1_node_recruit_name</v>
      </c>
      <c r="F430" s="13" t="str">
        <f>"s1_node_"&amp;D430&amp;"_desc"</f>
        <v>s1_node_recruit_desc</v>
      </c>
      <c r="G430" s="0" t="s">
        <v>422</v>
      </c>
      <c r="H430" s="0">
        <v>1</v>
      </c>
      <c r="I430" s="0" t="s">
        <v>27</v>
      </c>
      <c r="J430" s="0" t="s">
        <v>634</v>
      </c>
      <c r="K430" s="0">
        <v>590</v>
      </c>
      <c r="L430" s="13">
        <v>3</v>
      </c>
      <c r="M430" s="0">
        <v>13</v>
      </c>
      <c r="N430" s="0">
        <v>6</v>
      </c>
      <c r="P430" s="0" t="s">
        <v>636</v>
      </c>
      <c r="T430" s="0" t="str">
        <f>_xlfn.TEXTJOIN("_",TRUE,C430,"node_eff",D430,M430,N430)</f>
        <v>s1_node_eff_recruit_13_6</v>
      </c>
    </row>
    <row r="431" spans="1:20" x14ac:dyDescent="0.45">
      <c r="A431" s="0" t="str">
        <f>_xlfn.TEXTJOIN("_",TRUE,C431,"node",D431,M431,N431)</f>
        <v>s1_node_recruit_14_2</v>
      </c>
      <c r="B431" s="0" t="s">
        <v>0</v>
      </c>
      <c r="C431" s="0" t="s">
        <v>26</v>
      </c>
      <c r="D431" s="0" t="s">
        <v>104</v>
      </c>
      <c r="E431" s="0" t="str">
        <f>"s1_node_"&amp;D431&amp;"_name"</f>
        <v>s1_node_recruit_name</v>
      </c>
      <c r="F431" s="13" t="str">
        <f>"s1_node_"&amp;D431&amp;"_desc"</f>
        <v>s1_node_recruit_desc</v>
      </c>
      <c r="G431" s="0" t="s">
        <v>615</v>
      </c>
      <c r="H431" s="0">
        <v>1</v>
      </c>
      <c r="I431" s="0" t="s">
        <v>27</v>
      </c>
      <c r="J431" s="0" t="s">
        <v>637</v>
      </c>
      <c r="K431" s="0">
        <v>630</v>
      </c>
      <c r="L431" s="13">
        <v>3</v>
      </c>
      <c r="M431" s="0">
        <v>14</v>
      </c>
      <c r="N431" s="0">
        <v>2</v>
      </c>
      <c r="T431" s="0" t="str">
        <f>_xlfn.TEXTJOIN("_",TRUE,C431,"node_eff",D431,M431,N431)</f>
        <v>s1_node_eff_recruit_14_2</v>
      </c>
    </row>
    <row r="432" spans="1:20" x14ac:dyDescent="0.45">
      <c r="A432" s="0" t="str">
        <f>_xlfn.TEXTJOIN("_",TRUE,C432,"node",D432,M432,N432)</f>
        <v>s1_node_recruit_14_4</v>
      </c>
      <c r="B432" s="0" t="s">
        <v>0</v>
      </c>
      <c r="C432" s="0" t="s">
        <v>26</v>
      </c>
      <c r="D432" s="0" t="s">
        <v>104</v>
      </c>
      <c r="E432" s="0" t="str">
        <f>"s1_node_"&amp;D432&amp;"_name"</f>
        <v>s1_node_recruit_name</v>
      </c>
      <c r="F432" s="13" t="str">
        <f>"s1_node_"&amp;D432&amp;"_desc"</f>
        <v>s1_node_recruit_desc</v>
      </c>
      <c r="G432" s="0" t="s">
        <v>615</v>
      </c>
      <c r="H432" s="0">
        <v>1</v>
      </c>
      <c r="I432" s="0" t="s">
        <v>27</v>
      </c>
      <c r="J432" s="0" t="s">
        <v>637</v>
      </c>
      <c r="K432" s="0">
        <v>630</v>
      </c>
      <c r="L432" s="13">
        <v>3</v>
      </c>
      <c r="M432" s="0">
        <v>14</v>
      </c>
      <c r="N432" s="0">
        <v>4</v>
      </c>
      <c r="P432" s="0" t="s">
        <v>638</v>
      </c>
      <c r="T432" s="0" t="str">
        <f>_xlfn.TEXTJOIN("_",TRUE,C432,"node_eff",D432,M432,N432)</f>
        <v>s1_node_eff_recruit_14_4</v>
      </c>
    </row>
    <row r="433" spans="1:20" x14ac:dyDescent="0.45">
      <c r="A433" s="0" t="str">
        <f>_xlfn.TEXTJOIN("_",TRUE,C433,"node",D433,M433,N433)</f>
        <v>s1_node_recruit_14_6</v>
      </c>
      <c r="B433" s="0" t="s">
        <v>0</v>
      </c>
      <c r="C433" s="0" t="s">
        <v>26</v>
      </c>
      <c r="D433" s="0" t="s">
        <v>104</v>
      </c>
      <c r="E433" s="0" t="str">
        <f>"s1_node_"&amp;D433&amp;"_name"</f>
        <v>s1_node_recruit_name</v>
      </c>
      <c r="F433" s="13" t="str">
        <f>"s1_node_"&amp;D433&amp;"_desc"</f>
        <v>s1_node_recruit_desc</v>
      </c>
      <c r="G433" s="0" t="s">
        <v>615</v>
      </c>
      <c r="H433" s="0">
        <v>1</v>
      </c>
      <c r="I433" s="0" t="s">
        <v>27</v>
      </c>
      <c r="J433" s="0" t="s">
        <v>637</v>
      </c>
      <c r="K433" s="0">
        <v>630</v>
      </c>
      <c r="L433" s="13">
        <v>3</v>
      </c>
      <c r="M433" s="0">
        <v>14</v>
      </c>
      <c r="N433" s="0">
        <v>6</v>
      </c>
      <c r="T433" s="0" t="str">
        <f>_xlfn.TEXTJOIN("_",TRUE,C433,"node_eff",D433,M433,N433)</f>
        <v>s1_node_eff_recruit_14_6</v>
      </c>
    </row>
    <row r="434" spans="1:20" x14ac:dyDescent="0.45">
      <c r="A434" s="0" t="str">
        <f>_xlfn.TEXTJOIN("_",TRUE,C434,"node",D434,M434,N434)</f>
        <v>s1_node_recruit_15_2</v>
      </c>
      <c r="B434" s="0" t="s">
        <v>0</v>
      </c>
      <c r="C434" s="0" t="s">
        <v>26</v>
      </c>
      <c r="D434" s="0" t="s">
        <v>104</v>
      </c>
      <c r="E434" s="0" t="str">
        <f>"s1_node_"&amp;D434&amp;"_name"</f>
        <v>s1_node_recruit_name</v>
      </c>
      <c r="F434" s="13" t="str">
        <f>"s1_node_"&amp;D434&amp;"_desc"</f>
        <v>s1_node_recruit_desc</v>
      </c>
      <c r="G434" s="0" t="s">
        <v>615</v>
      </c>
      <c r="H434" s="0">
        <v>1</v>
      </c>
      <c r="I434" s="0" t="s">
        <v>27</v>
      </c>
      <c r="J434" s="0" t="s">
        <v>186</v>
      </c>
      <c r="K434" s="0">
        <v>670</v>
      </c>
      <c r="L434" s="13">
        <v>3</v>
      </c>
      <c r="M434" s="0">
        <v>15</v>
      </c>
      <c r="N434" s="0">
        <v>2</v>
      </c>
      <c r="P434" s="0" t="s">
        <v>639</v>
      </c>
      <c r="T434" s="0" t="str">
        <f>_xlfn.TEXTJOIN("_",TRUE,C434,"node_eff",D434,M434,N434)</f>
        <v>s1_node_eff_recruit_15_2</v>
      </c>
    </row>
    <row r="435" spans="1:20" x14ac:dyDescent="0.45">
      <c r="A435" s="0" t="str">
        <f>_xlfn.TEXTJOIN("_",TRUE,C435,"node",D435,M435,N435)</f>
        <v>s1_node_recruit_15_6</v>
      </c>
      <c r="B435" s="0" t="s">
        <v>0</v>
      </c>
      <c r="C435" s="0" t="s">
        <v>26</v>
      </c>
      <c r="D435" s="0" t="s">
        <v>104</v>
      </c>
      <c r="E435" s="0" t="str">
        <f>"s1_node_"&amp;D435&amp;"_name"</f>
        <v>s1_node_recruit_name</v>
      </c>
      <c r="F435" s="13" t="str">
        <f>"s1_node_"&amp;D435&amp;"_desc"</f>
        <v>s1_node_recruit_desc</v>
      </c>
      <c r="G435" s="0" t="s">
        <v>422</v>
      </c>
      <c r="H435" s="0">
        <v>1</v>
      </c>
      <c r="I435" s="0" t="s">
        <v>27</v>
      </c>
      <c r="J435" s="0" t="s">
        <v>186</v>
      </c>
      <c r="K435" s="0">
        <v>670</v>
      </c>
      <c r="L435" s="13">
        <v>3</v>
      </c>
      <c r="M435" s="0">
        <v>15</v>
      </c>
      <c r="N435" s="0">
        <v>6</v>
      </c>
      <c r="P435" s="0" t="s">
        <v>640</v>
      </c>
      <c r="T435" s="0" t="str">
        <f>_xlfn.TEXTJOIN("_",TRUE,C435,"node_eff",D435,M435,N435)</f>
        <v>s1_node_eff_recruit_15_6</v>
      </c>
    </row>
    <row r="436" spans="1:20" x14ac:dyDescent="0.45">
      <c r="A436" s="0" t="str">
        <f>_xlfn.TEXTJOIN("_",TRUE,C436,"node",D436,M436,N436)</f>
        <v>s1_node_recruit_16_4</v>
      </c>
      <c r="B436" s="0" t="s">
        <v>0</v>
      </c>
      <c r="C436" s="0" t="s">
        <v>26</v>
      </c>
      <c r="D436" s="0" t="s">
        <v>104</v>
      </c>
      <c r="E436" s="0" t="str">
        <f>"s1_node_"&amp;D436&amp;"_name"</f>
        <v>s1_node_recruit_name</v>
      </c>
      <c r="F436" s="13" t="str">
        <f>"s1_node_"&amp;D436&amp;"_desc"</f>
        <v>s1_node_recruit_desc</v>
      </c>
      <c r="G436" s="0" t="s">
        <v>422</v>
      </c>
      <c r="H436" s="0">
        <v>1</v>
      </c>
      <c r="I436" s="0" t="s">
        <v>27</v>
      </c>
      <c r="J436" s="0" t="s">
        <v>641</v>
      </c>
      <c r="K436" s="0">
        <v>700</v>
      </c>
      <c r="L436" s="13">
        <v>3</v>
      </c>
      <c r="M436" s="0">
        <v>16</v>
      </c>
      <c r="N436" s="0">
        <v>4</v>
      </c>
      <c r="P436" s="0" t="s">
        <v>642</v>
      </c>
      <c r="T436" s="0" t="str">
        <f>_xlfn.TEXTJOIN("_",TRUE,C436,"node_eff",D436,M436,N436)</f>
        <v>s1_node_eff_recruit_16_4</v>
      </c>
    </row>
    <row r="437" spans="1:20" x14ac:dyDescent="0.45">
      <c r="A437" s="0" t="str">
        <f>_xlfn.TEXTJOIN("_",TRUE,C437,"node",D437,M437,N437)</f>
        <v>s1_node_recruit_17_2</v>
      </c>
      <c r="B437" s="0" t="s">
        <v>0</v>
      </c>
      <c r="C437" s="0" t="s">
        <v>26</v>
      </c>
      <c r="D437" s="0" t="s">
        <v>104</v>
      </c>
      <c r="E437" s="0" t="str">
        <f>"s1_node_"&amp;D437&amp;"_name"</f>
        <v>s1_node_recruit_name</v>
      </c>
      <c r="F437" s="13" t="str">
        <f>"s1_node_"&amp;D437&amp;"_desc"</f>
        <v>s1_node_recruit_desc</v>
      </c>
      <c r="G437" s="0" t="s">
        <v>422</v>
      </c>
      <c r="H437" s="0">
        <v>1</v>
      </c>
      <c r="I437" s="0" t="s">
        <v>27</v>
      </c>
      <c r="J437" s="0" t="s">
        <v>192</v>
      </c>
      <c r="K437" s="0">
        <v>740</v>
      </c>
      <c r="L437" s="13">
        <v>3</v>
      </c>
      <c r="M437" s="0">
        <v>17</v>
      </c>
      <c r="N437" s="0">
        <v>2</v>
      </c>
      <c r="T437" s="0" t="str">
        <f>_xlfn.TEXTJOIN("_",TRUE,C437,"node_eff",D437,M437,N437)</f>
        <v>s1_node_eff_recruit_17_2</v>
      </c>
    </row>
    <row r="438" spans="1:20" x14ac:dyDescent="0.45">
      <c r="A438" s="0" t="str">
        <f>_xlfn.TEXTJOIN("_",TRUE,C438,"node",D438,M438,N438)</f>
        <v>s1_node_recruit_17_4</v>
      </c>
      <c r="B438" s="0" t="s">
        <v>0</v>
      </c>
      <c r="C438" s="0" t="s">
        <v>26</v>
      </c>
      <c r="D438" s="0" t="s">
        <v>104</v>
      </c>
      <c r="E438" s="0" t="str">
        <f>"s1_node_"&amp;D438&amp;"_name"</f>
        <v>s1_node_recruit_name</v>
      </c>
      <c r="F438" s="13" t="str">
        <f>"s1_node_"&amp;D438&amp;"_desc"</f>
        <v>s1_node_recruit_desc</v>
      </c>
      <c r="G438" s="0" t="s">
        <v>615</v>
      </c>
      <c r="H438" s="0">
        <v>1</v>
      </c>
      <c r="I438" s="0" t="s">
        <v>27</v>
      </c>
      <c r="J438" s="0" t="s">
        <v>192</v>
      </c>
      <c r="K438" s="0">
        <v>740</v>
      </c>
      <c r="L438" s="13">
        <v>3</v>
      </c>
      <c r="M438" s="0">
        <v>17</v>
      </c>
      <c r="N438" s="0">
        <v>4</v>
      </c>
      <c r="T438" s="0" t="str">
        <f>_xlfn.TEXTJOIN("_",TRUE,C438,"node_eff",D438,M438,N438)</f>
        <v>s1_node_eff_recruit_17_4</v>
      </c>
    </row>
    <row r="439" spans="1:20" x14ac:dyDescent="0.45">
      <c r="A439" s="0" t="str">
        <f>_xlfn.TEXTJOIN("_",TRUE,C439,"node",D439,M439,N439)</f>
        <v>s1_node_recruit_17_6</v>
      </c>
      <c r="B439" s="0" t="s">
        <v>0</v>
      </c>
      <c r="C439" s="0" t="s">
        <v>26</v>
      </c>
      <c r="D439" s="0" t="s">
        <v>104</v>
      </c>
      <c r="E439" s="0" t="str">
        <f>"s1_node_"&amp;D439&amp;"_name"</f>
        <v>s1_node_recruit_name</v>
      </c>
      <c r="F439" s="13" t="str">
        <f>"s1_node_"&amp;D439&amp;"_desc"</f>
        <v>s1_node_recruit_desc</v>
      </c>
      <c r="G439" s="0" t="s">
        <v>615</v>
      </c>
      <c r="H439" s="0">
        <v>1</v>
      </c>
      <c r="I439" s="0" t="s">
        <v>27</v>
      </c>
      <c r="J439" s="0" t="s">
        <v>192</v>
      </c>
      <c r="K439" s="0">
        <v>740</v>
      </c>
      <c r="L439" s="13">
        <v>3</v>
      </c>
      <c r="M439" s="0">
        <v>17</v>
      </c>
      <c r="N439" s="0">
        <v>6</v>
      </c>
      <c r="T439" s="0" t="str">
        <f>_xlfn.TEXTJOIN("_",TRUE,C439,"node_eff",D439,M439,N439)</f>
        <v>s1_node_eff_recruit_17_6</v>
      </c>
    </row>
    <row r="440" spans="1:20" x14ac:dyDescent="0.45">
      <c r="A440" s="0" t="str">
        <f>_xlfn.TEXTJOIN("_",TRUE,C440,"node",D440,M440,N440)</f>
        <v>s1_node_recruit_18_2</v>
      </c>
      <c r="B440" s="0" t="s">
        <v>0</v>
      </c>
      <c r="C440" s="0" t="s">
        <v>26</v>
      </c>
      <c r="D440" s="0" t="s">
        <v>104</v>
      </c>
      <c r="E440" s="0" t="str">
        <f>"s1_node_"&amp;D440&amp;"_name"</f>
        <v>s1_node_recruit_name</v>
      </c>
      <c r="F440" s="13" t="str">
        <f>"s1_node_"&amp;D440&amp;"_desc"</f>
        <v>s1_node_recruit_desc</v>
      </c>
      <c r="G440" s="0" t="s">
        <v>615</v>
      </c>
      <c r="H440" s="0">
        <v>1</v>
      </c>
      <c r="I440" s="0" t="s">
        <v>27</v>
      </c>
      <c r="J440" s="0" t="s">
        <v>195</v>
      </c>
      <c r="K440" s="0">
        <v>780</v>
      </c>
      <c r="L440" s="13">
        <v>3</v>
      </c>
      <c r="M440" s="0">
        <v>18</v>
      </c>
      <c r="N440" s="0">
        <v>2</v>
      </c>
      <c r="P440" s="0" t="s">
        <v>643</v>
      </c>
      <c r="T440" s="0" t="str">
        <f>_xlfn.TEXTJOIN("_",TRUE,C440,"node_eff",D440,M440,N440)</f>
        <v>s1_node_eff_recruit_18_2</v>
      </c>
    </row>
    <row r="441" spans="1:20" x14ac:dyDescent="0.45">
      <c r="A441" s="0" t="str">
        <f>_xlfn.TEXTJOIN("_",TRUE,C441,"node",D441,M441,N441)</f>
        <v>s1_node_recruit_18_6</v>
      </c>
      <c r="B441" s="0" t="s">
        <v>0</v>
      </c>
      <c r="C441" s="0" t="s">
        <v>26</v>
      </c>
      <c r="D441" s="0" t="s">
        <v>104</v>
      </c>
      <c r="E441" s="0" t="str">
        <f>"s1_node_"&amp;D441&amp;"_name"</f>
        <v>s1_node_recruit_name</v>
      </c>
      <c r="F441" s="13" t="str">
        <f>"s1_node_"&amp;D441&amp;"_desc"</f>
        <v>s1_node_recruit_desc</v>
      </c>
      <c r="G441" s="0" t="s">
        <v>615</v>
      </c>
      <c r="H441" s="0">
        <v>1</v>
      </c>
      <c r="I441" s="0" t="s">
        <v>27</v>
      </c>
      <c r="J441" s="0" t="s">
        <v>195</v>
      </c>
      <c r="K441" s="0">
        <v>780</v>
      </c>
      <c r="L441" s="13">
        <v>3</v>
      </c>
      <c r="M441" s="0">
        <v>18</v>
      </c>
      <c r="N441" s="0">
        <v>6</v>
      </c>
      <c r="P441" s="0" t="s">
        <v>644</v>
      </c>
      <c r="T441" s="0" t="str">
        <f>_xlfn.TEXTJOIN("_",TRUE,C441,"node_eff",D441,M441,N441)</f>
        <v>s1_node_eff_recruit_18_6</v>
      </c>
    </row>
    <row r="442" spans="1:20" x14ac:dyDescent="0.45">
      <c r="A442" s="0" t="str">
        <f>_xlfn.TEXTJOIN("_",TRUE,C442,"node",D442,M442,N442)</f>
        <v>s1_node_recruit_19_2</v>
      </c>
      <c r="B442" s="0" t="s">
        <v>0</v>
      </c>
      <c r="C442" s="0" t="s">
        <v>26</v>
      </c>
      <c r="D442" s="0" t="s">
        <v>104</v>
      </c>
      <c r="E442" s="0" t="str">
        <f>"s1_node_"&amp;D442&amp;"_name"</f>
        <v>s1_node_recruit_name</v>
      </c>
      <c r="F442" s="13" t="str">
        <f>"s1_node_"&amp;D442&amp;"_desc"</f>
        <v>s1_node_recruit_desc</v>
      </c>
      <c r="G442" s="0" t="s">
        <v>422</v>
      </c>
      <c r="H442" s="0">
        <v>1</v>
      </c>
      <c r="I442" s="0" t="s">
        <v>27</v>
      </c>
      <c r="J442" s="0" t="s">
        <v>645</v>
      </c>
      <c r="K442" s="0">
        <v>820</v>
      </c>
      <c r="L442" s="13">
        <v>3</v>
      </c>
      <c r="M442" s="0">
        <v>19</v>
      </c>
      <c r="N442" s="0">
        <v>2</v>
      </c>
      <c r="T442" s="0" t="str">
        <f>_xlfn.TEXTJOIN("_",TRUE,C442,"node_eff",D442,M442,N442)</f>
        <v>s1_node_eff_recruit_19_2</v>
      </c>
    </row>
    <row r="443" spans="1:20" x14ac:dyDescent="0.45">
      <c r="A443" s="0" t="str">
        <f>_xlfn.TEXTJOIN("_",TRUE,C443,"node",D443,M443,N443)</f>
        <v>s1_node_recruit_19_4</v>
      </c>
      <c r="B443" s="0" t="s">
        <v>0</v>
      </c>
      <c r="C443" s="0" t="s">
        <v>26</v>
      </c>
      <c r="D443" s="0" t="s">
        <v>104</v>
      </c>
      <c r="E443" s="0" t="str">
        <f>"s1_node_"&amp;D443&amp;"_name"</f>
        <v>s1_node_recruit_name</v>
      </c>
      <c r="F443" s="13" t="str">
        <f>"s1_node_"&amp;D443&amp;"_desc"</f>
        <v>s1_node_recruit_desc</v>
      </c>
      <c r="G443" s="0" t="s">
        <v>422</v>
      </c>
      <c r="H443" s="0">
        <v>1</v>
      </c>
      <c r="I443" s="0" t="s">
        <v>27</v>
      </c>
      <c r="J443" s="0" t="s">
        <v>645</v>
      </c>
      <c r="K443" s="0">
        <v>820</v>
      </c>
      <c r="L443" s="13">
        <v>3</v>
      </c>
      <c r="M443" s="0">
        <v>19</v>
      </c>
      <c r="N443" s="0">
        <v>4</v>
      </c>
      <c r="P443" s="0" t="s">
        <v>646</v>
      </c>
      <c r="T443" s="0" t="str">
        <f>_xlfn.TEXTJOIN("_",TRUE,C443,"node_eff",D443,M443,N443)</f>
        <v>s1_node_eff_recruit_19_4</v>
      </c>
    </row>
    <row r="444" spans="1:20" x14ac:dyDescent="0.45">
      <c r="A444" s="0" t="str">
        <f>_xlfn.TEXTJOIN("_",TRUE,C444,"node",D444,M444,N444)</f>
        <v>s1_node_recruit_19_6</v>
      </c>
      <c r="B444" s="0" t="s">
        <v>0</v>
      </c>
      <c r="C444" s="0" t="s">
        <v>26</v>
      </c>
      <c r="D444" s="0" t="s">
        <v>104</v>
      </c>
      <c r="E444" s="0" t="str">
        <f>"s1_node_"&amp;D444&amp;"_name"</f>
        <v>s1_node_recruit_name</v>
      </c>
      <c r="F444" s="13" t="str">
        <f>"s1_node_"&amp;D444&amp;"_desc"</f>
        <v>s1_node_recruit_desc</v>
      </c>
      <c r="G444" s="0" t="s">
        <v>422</v>
      </c>
      <c r="H444" s="0">
        <v>1</v>
      </c>
      <c r="I444" s="0" t="s">
        <v>27</v>
      </c>
      <c r="J444" s="0" t="s">
        <v>645</v>
      </c>
      <c r="K444" s="0">
        <v>820</v>
      </c>
      <c r="L444" s="13">
        <v>3</v>
      </c>
      <c r="M444" s="0">
        <v>19</v>
      </c>
      <c r="N444" s="0">
        <v>6</v>
      </c>
      <c r="T444" s="0" t="str">
        <f>_xlfn.TEXTJOIN("_",TRUE,C444,"node_eff",D444,M444,N444)</f>
        <v>s1_node_eff_recruit_19_6</v>
      </c>
    </row>
    <row r="445" spans="1:20" x14ac:dyDescent="0.45">
      <c r="A445" s="0" t="str">
        <f>_xlfn.TEXTJOIN("_",TRUE,C445,"node",D445,M445,N445)</f>
        <v>s1_node_recruit_20_2</v>
      </c>
      <c r="B445" s="0" t="s">
        <v>0</v>
      </c>
      <c r="C445" s="0" t="s">
        <v>26</v>
      </c>
      <c r="D445" s="0" t="s">
        <v>104</v>
      </c>
      <c r="E445" s="0" t="str">
        <f>"s1_node_"&amp;D445&amp;"_name"</f>
        <v>s1_node_recruit_name</v>
      </c>
      <c r="F445" s="13" t="str">
        <f>"s1_node_"&amp;D445&amp;"_desc"</f>
        <v>s1_node_recruit_desc</v>
      </c>
      <c r="G445" s="0" t="s">
        <v>615</v>
      </c>
      <c r="H445" s="0">
        <v>1</v>
      </c>
      <c r="I445" s="0" t="s">
        <v>27</v>
      </c>
      <c r="J445" s="0" t="s">
        <v>647</v>
      </c>
      <c r="K445" s="0">
        <v>850</v>
      </c>
      <c r="L445" s="13">
        <v>3</v>
      </c>
      <c r="M445" s="0">
        <v>20</v>
      </c>
      <c r="N445" s="0">
        <v>2</v>
      </c>
      <c r="P445" s="0" t="s">
        <v>648</v>
      </c>
      <c r="T445" s="0" t="str">
        <f>_xlfn.TEXTJOIN("_",TRUE,C445,"node_eff",D445,M445,N445)</f>
        <v>s1_node_eff_recruit_20_2</v>
      </c>
    </row>
    <row r="446" spans="1:20" x14ac:dyDescent="0.45">
      <c r="A446" s="0" t="str">
        <f>_xlfn.TEXTJOIN("_",TRUE,C446,"node",D446,M446,N446)</f>
        <v>s1_node_recruit_20_6</v>
      </c>
      <c r="B446" s="0" t="s">
        <v>0</v>
      </c>
      <c r="C446" s="0" t="s">
        <v>26</v>
      </c>
      <c r="D446" s="0" t="s">
        <v>104</v>
      </c>
      <c r="E446" s="0" t="str">
        <f>"s1_node_"&amp;D446&amp;"_name"</f>
        <v>s1_node_recruit_name</v>
      </c>
      <c r="F446" s="13" t="str">
        <f>"s1_node_"&amp;D446&amp;"_desc"</f>
        <v>s1_node_recruit_desc</v>
      </c>
      <c r="G446" s="0" t="s">
        <v>615</v>
      </c>
      <c r="H446" s="0">
        <v>1</v>
      </c>
      <c r="I446" s="0" t="s">
        <v>27</v>
      </c>
      <c r="J446" s="0" t="s">
        <v>647</v>
      </c>
      <c r="K446" s="0">
        <v>850</v>
      </c>
      <c r="L446" s="13">
        <v>3</v>
      </c>
      <c r="M446" s="0">
        <v>20</v>
      </c>
      <c r="N446" s="0">
        <v>6</v>
      </c>
      <c r="P446" s="0" t="s">
        <v>649</v>
      </c>
      <c r="T446" s="0" t="str">
        <f>_xlfn.TEXTJOIN("_",TRUE,C446,"node_eff",D446,M446,N446)</f>
        <v>s1_node_eff_recruit_20_6</v>
      </c>
    </row>
    <row r="447" spans="1:20" x14ac:dyDescent="0.45">
      <c r="A447" s="0" t="str">
        <f>_xlfn.TEXTJOIN("_",TRUE,C447,"node",D447,M447,N447)</f>
        <v>s1_node_recruit_21_4</v>
      </c>
      <c r="B447" s="0" t="s">
        <v>0</v>
      </c>
      <c r="C447" s="0" t="s">
        <v>26</v>
      </c>
      <c r="D447" s="0" t="s">
        <v>104</v>
      </c>
      <c r="E447" s="0" t="str">
        <f>"s1_node_"&amp;D447&amp;"_name"</f>
        <v>s1_node_recruit_name</v>
      </c>
      <c r="F447" s="13" t="str">
        <f>"s1_node_"&amp;D447&amp;"_desc"</f>
        <v>s1_node_recruit_desc</v>
      </c>
      <c r="G447" s="0" t="s">
        <v>615</v>
      </c>
      <c r="H447" s="0">
        <v>2</v>
      </c>
      <c r="I447" s="0" t="s">
        <v>27</v>
      </c>
      <c r="J447" s="0" t="s">
        <v>650</v>
      </c>
      <c r="K447" s="0">
        <v>890</v>
      </c>
      <c r="L447" s="13">
        <v>3</v>
      </c>
      <c r="M447" s="0">
        <v>21</v>
      </c>
      <c r="N447" s="0">
        <v>4</v>
      </c>
      <c r="P447" s="0" t="s">
        <v>651</v>
      </c>
      <c r="T447" s="0" t="str">
        <f>_xlfn.TEXTJOIN("_",TRUE,C447,"node_eff",D447,M447,N447)</f>
        <v>s1_node_eff_recruit_21_4</v>
      </c>
    </row>
    <row r="448" spans="1:20" x14ac:dyDescent="0.45">
      <c r="A448" s="0" t="str">
        <f>_xlfn.TEXTJOIN("_",TRUE,C448,"node",D448,M448,N448)</f>
        <v>s1_node_recruit_22_2</v>
      </c>
      <c r="B448" s="0" t="s">
        <v>0</v>
      </c>
      <c r="C448" s="0" t="s">
        <v>26</v>
      </c>
      <c r="D448" s="0" t="s">
        <v>104</v>
      </c>
      <c r="E448" s="0" t="str">
        <f>"s1_node_"&amp;D448&amp;"_name"</f>
        <v>s1_node_recruit_name</v>
      </c>
      <c r="F448" s="13" t="str">
        <f>"s1_node_"&amp;D448&amp;"_desc"</f>
        <v>s1_node_recruit_desc</v>
      </c>
      <c r="G448" s="0" t="s">
        <v>615</v>
      </c>
      <c r="H448" s="0">
        <v>2</v>
      </c>
      <c r="I448" s="0" t="s">
        <v>27</v>
      </c>
      <c r="J448" s="0" t="s">
        <v>462</v>
      </c>
      <c r="K448" s="0">
        <v>930</v>
      </c>
      <c r="L448" s="13">
        <v>3</v>
      </c>
      <c r="M448" s="0">
        <v>22</v>
      </c>
      <c r="N448" s="0">
        <v>2</v>
      </c>
      <c r="T448" s="0" t="str">
        <f>_xlfn.TEXTJOIN("_",TRUE,C448,"node_eff",D448,M448,N448)</f>
        <v>s1_node_eff_recruit_22_2</v>
      </c>
    </row>
    <row r="449" spans="1:20" x14ac:dyDescent="0.45">
      <c r="A449" s="0" t="str">
        <f>_xlfn.TEXTJOIN("_",TRUE,C449,"node",D449,M449,N449)</f>
        <v>s1_node_recruit_22_4</v>
      </c>
      <c r="B449" s="0" t="s">
        <v>0</v>
      </c>
      <c r="C449" s="0" t="s">
        <v>26</v>
      </c>
      <c r="D449" s="0" t="s">
        <v>104</v>
      </c>
      <c r="E449" s="0" t="str">
        <f>"s1_node_"&amp;D449&amp;"_name"</f>
        <v>s1_node_recruit_name</v>
      </c>
      <c r="F449" s="13" t="str">
        <f>"s1_node_"&amp;D449&amp;"_desc"</f>
        <v>s1_node_recruit_desc</v>
      </c>
      <c r="G449" s="0" t="s">
        <v>422</v>
      </c>
      <c r="H449" s="0">
        <v>2</v>
      </c>
      <c r="I449" s="0" t="s">
        <v>27</v>
      </c>
      <c r="J449" s="0" t="s">
        <v>462</v>
      </c>
      <c r="K449" s="0">
        <v>930</v>
      </c>
      <c r="L449" s="13">
        <v>3</v>
      </c>
      <c r="M449" s="0">
        <v>22</v>
      </c>
      <c r="N449" s="0">
        <v>4</v>
      </c>
      <c r="T449" s="0" t="str">
        <f>_xlfn.TEXTJOIN("_",TRUE,C449,"node_eff",D449,M449,N449)</f>
        <v>s1_node_eff_recruit_22_4</v>
      </c>
    </row>
    <row r="450" spans="1:20" x14ac:dyDescent="0.45">
      <c r="A450" s="0" t="str">
        <f>_xlfn.TEXTJOIN("_",TRUE,C450,"node",D450,M450,N450)</f>
        <v>s1_node_recruit_22_6</v>
      </c>
      <c r="B450" s="0" t="s">
        <v>0</v>
      </c>
      <c r="C450" s="0" t="s">
        <v>26</v>
      </c>
      <c r="D450" s="0" t="s">
        <v>104</v>
      </c>
      <c r="E450" s="0" t="str">
        <f>"s1_node_"&amp;D450&amp;"_name"</f>
        <v>s1_node_recruit_name</v>
      </c>
      <c r="F450" s="13" t="str">
        <f>"s1_node_"&amp;D450&amp;"_desc"</f>
        <v>s1_node_recruit_desc</v>
      </c>
      <c r="G450" s="0" t="s">
        <v>422</v>
      </c>
      <c r="H450" s="0">
        <v>2</v>
      </c>
      <c r="I450" s="0" t="s">
        <v>27</v>
      </c>
      <c r="J450" s="0" t="s">
        <v>462</v>
      </c>
      <c r="K450" s="0">
        <v>930</v>
      </c>
      <c r="L450" s="13">
        <v>3</v>
      </c>
      <c r="M450" s="0">
        <v>22</v>
      </c>
      <c r="N450" s="0">
        <v>6</v>
      </c>
      <c r="T450" s="0" t="str">
        <f>_xlfn.TEXTJOIN("_",TRUE,C450,"node_eff",D450,M450,N450)</f>
        <v>s1_node_eff_recruit_22_6</v>
      </c>
    </row>
    <row r="451" spans="1:20" x14ac:dyDescent="0.45">
      <c r="A451" s="0" t="str">
        <f>_xlfn.TEXTJOIN("_",TRUE,C451,"node",D451,M451,N451)</f>
        <v>s1_node_recruit_23_2</v>
      </c>
      <c r="B451" s="0" t="s">
        <v>0</v>
      </c>
      <c r="C451" s="0" t="s">
        <v>26</v>
      </c>
      <c r="D451" s="0" t="s">
        <v>104</v>
      </c>
      <c r="E451" s="0" t="str">
        <f>"s1_node_"&amp;D451&amp;"_name"</f>
        <v>s1_node_recruit_name</v>
      </c>
      <c r="F451" s="13" t="str">
        <f>"s1_node_"&amp;D451&amp;"_desc"</f>
        <v>s1_node_recruit_desc</v>
      </c>
      <c r="G451" s="0" t="s">
        <v>422</v>
      </c>
      <c r="H451" s="0">
        <v>2</v>
      </c>
      <c r="I451" s="0" t="s">
        <v>27</v>
      </c>
      <c r="J451" s="0" t="s">
        <v>652</v>
      </c>
      <c r="K451" s="0">
        <v>960</v>
      </c>
      <c r="L451" s="13">
        <v>3</v>
      </c>
      <c r="M451" s="0">
        <v>23</v>
      </c>
      <c r="N451" s="0">
        <v>2</v>
      </c>
      <c r="P451" s="0" t="s">
        <v>653</v>
      </c>
      <c r="T451" s="0" t="str">
        <f>_xlfn.TEXTJOIN("_",TRUE,C451,"node_eff",D451,M451,N451)</f>
        <v>s1_node_eff_recruit_23_2</v>
      </c>
    </row>
    <row r="452" spans="1:20" x14ac:dyDescent="0.45">
      <c r="A452" s="0" t="str">
        <f>_xlfn.TEXTJOIN("_",TRUE,C452,"node",D452,M452,N452)</f>
        <v>s1_node_recruit_23_6</v>
      </c>
      <c r="B452" s="0" t="s">
        <v>0</v>
      </c>
      <c r="C452" s="0" t="s">
        <v>26</v>
      </c>
      <c r="D452" s="0" t="s">
        <v>104</v>
      </c>
      <c r="E452" s="0" t="str">
        <f>"s1_node_"&amp;D452&amp;"_name"</f>
        <v>s1_node_recruit_name</v>
      </c>
      <c r="F452" s="13" t="str">
        <f>"s1_node_"&amp;D452&amp;"_desc"</f>
        <v>s1_node_recruit_desc</v>
      </c>
      <c r="G452" s="0" t="s">
        <v>615</v>
      </c>
      <c r="H452" s="0">
        <v>2</v>
      </c>
      <c r="I452" s="0" t="s">
        <v>27</v>
      </c>
      <c r="J452" s="0" t="s">
        <v>652</v>
      </c>
      <c r="K452" s="0">
        <v>960</v>
      </c>
      <c r="L452" s="13">
        <v>3</v>
      </c>
      <c r="M452" s="0">
        <v>23</v>
      </c>
      <c r="N452" s="0">
        <v>6</v>
      </c>
      <c r="P452" s="0" t="s">
        <v>654</v>
      </c>
      <c r="T452" s="0" t="str">
        <f>_xlfn.TEXTJOIN("_",TRUE,C452,"node_eff",D452,M452,N452)</f>
        <v>s1_node_eff_recruit_23_6</v>
      </c>
    </row>
    <row r="453" spans="1:20" x14ac:dyDescent="0.45">
      <c r="A453" s="0" t="str">
        <f>_xlfn.TEXTJOIN("_",TRUE,C453,"node",D453,M453,N453)</f>
        <v>s1_node_recruit_24_2</v>
      </c>
      <c r="B453" s="0" t="s">
        <v>0</v>
      </c>
      <c r="C453" s="0" t="s">
        <v>26</v>
      </c>
      <c r="D453" s="0" t="s">
        <v>104</v>
      </c>
      <c r="E453" s="0" t="str">
        <f>"s1_node_"&amp;D453&amp;"_name"</f>
        <v>s1_node_recruit_name</v>
      </c>
      <c r="F453" s="13" t="str">
        <f>"s1_node_"&amp;D453&amp;"_desc"</f>
        <v>s1_node_recruit_desc</v>
      </c>
      <c r="G453" s="0" t="s">
        <v>615</v>
      </c>
      <c r="H453" s="0">
        <v>2</v>
      </c>
      <c r="I453" s="0" t="s">
        <v>27</v>
      </c>
      <c r="J453" s="0" t="s">
        <v>467</v>
      </c>
      <c r="K453" s="0">
        <v>1000</v>
      </c>
      <c r="L453" s="13">
        <v>3</v>
      </c>
      <c r="M453" s="0">
        <v>24</v>
      </c>
      <c r="N453" s="0">
        <v>2</v>
      </c>
      <c r="T453" s="0" t="str">
        <f>_xlfn.TEXTJOIN("_",TRUE,C453,"node_eff",D453,M453,N453)</f>
        <v>s1_node_eff_recruit_24_2</v>
      </c>
    </row>
    <row r="454" spans="1:20" x14ac:dyDescent="0.45">
      <c r="A454" s="0" t="str">
        <f>_xlfn.TEXTJOIN("_",TRUE,C454,"node",D454,M454,N454)</f>
        <v>s1_node_recruit_24_4</v>
      </c>
      <c r="B454" s="0" t="s">
        <v>0</v>
      </c>
      <c r="C454" s="0" t="s">
        <v>26</v>
      </c>
      <c r="D454" s="0" t="s">
        <v>104</v>
      </c>
      <c r="E454" s="0" t="str">
        <f>"s1_node_"&amp;D454&amp;"_name"</f>
        <v>s1_node_recruit_name</v>
      </c>
      <c r="F454" s="13" t="str">
        <f>"s1_node_"&amp;D454&amp;"_desc"</f>
        <v>s1_node_recruit_desc</v>
      </c>
      <c r="G454" s="0" t="s">
        <v>615</v>
      </c>
      <c r="H454" s="0">
        <v>2</v>
      </c>
      <c r="I454" s="0" t="s">
        <v>27</v>
      </c>
      <c r="J454" s="0" t="s">
        <v>467</v>
      </c>
      <c r="K454" s="0">
        <v>1000</v>
      </c>
      <c r="L454" s="13">
        <v>3</v>
      </c>
      <c r="M454" s="0">
        <v>24</v>
      </c>
      <c r="N454" s="0">
        <v>4</v>
      </c>
      <c r="P454" s="0" t="s">
        <v>655</v>
      </c>
      <c r="T454" s="0" t="str">
        <f>_xlfn.TEXTJOIN("_",TRUE,C454,"node_eff",D454,M454,N454)</f>
        <v>s1_node_eff_recruit_24_4</v>
      </c>
    </row>
    <row r="455" spans="1:20" x14ac:dyDescent="0.45">
      <c r="A455" s="0" t="str">
        <f>_xlfn.TEXTJOIN("_",TRUE,C455,"node",D455,M455,N455)</f>
        <v>s1_node_recruit_24_6</v>
      </c>
      <c r="B455" s="0" t="s">
        <v>0</v>
      </c>
      <c r="C455" s="0" t="s">
        <v>26</v>
      </c>
      <c r="D455" s="0" t="s">
        <v>104</v>
      </c>
      <c r="E455" s="0" t="str">
        <f>"s1_node_"&amp;D455&amp;"_name"</f>
        <v>s1_node_recruit_name</v>
      </c>
      <c r="F455" s="13" t="str">
        <f>"s1_node_"&amp;D455&amp;"_desc"</f>
        <v>s1_node_recruit_desc</v>
      </c>
      <c r="G455" s="0" t="s">
        <v>615</v>
      </c>
      <c r="H455" s="0">
        <v>2</v>
      </c>
      <c r="I455" s="0" t="s">
        <v>27</v>
      </c>
      <c r="J455" s="0" t="s">
        <v>467</v>
      </c>
      <c r="K455" s="0">
        <v>1000</v>
      </c>
      <c r="L455" s="13">
        <v>3</v>
      </c>
      <c r="M455" s="0">
        <v>24</v>
      </c>
      <c r="N455" s="0">
        <v>6</v>
      </c>
      <c r="T455" s="0" t="str">
        <f>_xlfn.TEXTJOIN("_",TRUE,C455,"node_eff",D455,M455,N455)</f>
        <v>s1_node_eff_recruit_24_6</v>
      </c>
    </row>
    <row r="456" spans="1:20" x14ac:dyDescent="0.45">
      <c r="A456" s="0" t="str">
        <f>_xlfn.TEXTJOIN("_",TRUE,C456,"node",D456,M456,N456)</f>
        <v>s1_node_recruit_25_2</v>
      </c>
      <c r="B456" s="0" t="s">
        <v>0</v>
      </c>
      <c r="C456" s="0" t="s">
        <v>26</v>
      </c>
      <c r="D456" s="0" t="s">
        <v>104</v>
      </c>
      <c r="E456" s="0" t="str">
        <f>"s1_node_"&amp;D456&amp;"_name"</f>
        <v>s1_node_recruit_name</v>
      </c>
      <c r="F456" s="13" t="str">
        <f>"s1_node_"&amp;D456&amp;"_desc"</f>
        <v>s1_node_recruit_desc</v>
      </c>
      <c r="G456" s="0" t="s">
        <v>422</v>
      </c>
      <c r="H456" s="0">
        <v>2</v>
      </c>
      <c r="I456" s="0" t="s">
        <v>27</v>
      </c>
      <c r="J456" s="0" t="s">
        <v>469</v>
      </c>
      <c r="K456" s="0">
        <v>1040</v>
      </c>
      <c r="L456" s="13">
        <v>3</v>
      </c>
      <c r="M456" s="0">
        <v>25</v>
      </c>
      <c r="N456" s="0">
        <v>2</v>
      </c>
      <c r="P456" s="0" t="s">
        <v>656</v>
      </c>
      <c r="T456" s="0" t="str">
        <f>_xlfn.TEXTJOIN("_",TRUE,C456,"node_eff",D456,M456,N456)</f>
        <v>s1_node_eff_recruit_25_2</v>
      </c>
    </row>
    <row r="457" spans="1:20" x14ac:dyDescent="0.45">
      <c r="A457" s="0" t="str">
        <f>_xlfn.TEXTJOIN("_",TRUE,C457,"node",D457,M457,N457)</f>
        <v>s1_node_recruit_25_6</v>
      </c>
      <c r="B457" s="0" t="s">
        <v>0</v>
      </c>
      <c r="C457" s="0" t="s">
        <v>26</v>
      </c>
      <c r="D457" s="0" t="s">
        <v>104</v>
      </c>
      <c r="E457" s="0" t="str">
        <f>"s1_node_"&amp;D457&amp;"_name"</f>
        <v>s1_node_recruit_name</v>
      </c>
      <c r="F457" s="13" t="str">
        <f>"s1_node_"&amp;D457&amp;"_desc"</f>
        <v>s1_node_recruit_desc</v>
      </c>
      <c r="G457" s="0" t="s">
        <v>422</v>
      </c>
      <c r="H457" s="0">
        <v>2</v>
      </c>
      <c r="I457" s="0" t="s">
        <v>27</v>
      </c>
      <c r="J457" s="0" t="s">
        <v>469</v>
      </c>
      <c r="K457" s="0">
        <v>1040</v>
      </c>
      <c r="L457" s="13">
        <v>3</v>
      </c>
      <c r="M457" s="0">
        <v>25</v>
      </c>
      <c r="N457" s="0">
        <v>6</v>
      </c>
      <c r="P457" s="0" t="s">
        <v>657</v>
      </c>
      <c r="T457" s="0" t="str">
        <f>_xlfn.TEXTJOIN("_",TRUE,C457,"node_eff",D457,M457,N457)</f>
        <v>s1_node_eff_recruit_25_6</v>
      </c>
    </row>
    <row r="458" spans="1:20" x14ac:dyDescent="0.45">
      <c r="A458" s="0" t="str">
        <f>_xlfn.TEXTJOIN("_",TRUE,C458,"node",D458,M458,N458)</f>
        <v>s1_node_recruit_26_4</v>
      </c>
      <c r="B458" s="0" t="s">
        <v>0</v>
      </c>
      <c r="C458" s="0" t="s">
        <v>26</v>
      </c>
      <c r="D458" s="0" t="s">
        <v>104</v>
      </c>
      <c r="E458" s="0" t="str">
        <f>"s1_node_"&amp;D458&amp;"_name"</f>
        <v>s1_node_recruit_name</v>
      </c>
      <c r="F458" s="13" t="str">
        <f>"s1_node_"&amp;D458&amp;"_desc"</f>
        <v>s1_node_recruit_desc</v>
      </c>
      <c r="G458" s="0" t="s">
        <v>422</v>
      </c>
      <c r="H458" s="0">
        <v>2</v>
      </c>
      <c r="I458" s="0" t="s">
        <v>27</v>
      </c>
      <c r="J458" s="0" t="s">
        <v>470</v>
      </c>
      <c r="K458" s="0">
        <v>1080</v>
      </c>
      <c r="L458" s="13">
        <v>3</v>
      </c>
      <c r="M458" s="0">
        <v>26</v>
      </c>
      <c r="N458" s="0">
        <v>4</v>
      </c>
      <c r="P458" s="0" t="s">
        <v>658</v>
      </c>
      <c r="T458" s="0" t="str">
        <f>_xlfn.TEXTJOIN("_",TRUE,C458,"node_eff",D458,M458,N458)</f>
        <v>s1_node_eff_recruit_26_4</v>
      </c>
    </row>
    <row r="459" spans="1:20" x14ac:dyDescent="0.45">
      <c r="A459" s="0" t="str">
        <f>_xlfn.TEXTJOIN("_",TRUE,C459,"node",D459,M459,N459)</f>
        <v>s1_node_recruit_27_2</v>
      </c>
      <c r="B459" s="0" t="s">
        <v>0</v>
      </c>
      <c r="C459" s="0" t="s">
        <v>26</v>
      </c>
      <c r="D459" s="0" t="s">
        <v>104</v>
      </c>
      <c r="E459" s="0" t="str">
        <f>"s1_node_"&amp;D459&amp;"_name"</f>
        <v>s1_node_recruit_name</v>
      </c>
      <c r="F459" s="13" t="str">
        <f>"s1_node_"&amp;D459&amp;"_desc"</f>
        <v>s1_node_recruit_desc</v>
      </c>
      <c r="G459" s="0" t="s">
        <v>615</v>
      </c>
      <c r="H459" s="0">
        <v>2</v>
      </c>
      <c r="I459" s="0" t="s">
        <v>27</v>
      </c>
      <c r="J459" s="0" t="s">
        <v>473</v>
      </c>
      <c r="K459" s="0">
        <v>1110</v>
      </c>
      <c r="L459" s="13">
        <v>3</v>
      </c>
      <c r="M459" s="0">
        <v>27</v>
      </c>
      <c r="N459" s="0">
        <v>2</v>
      </c>
      <c r="T459" s="0" t="str">
        <f>_xlfn.TEXTJOIN("_",TRUE,C459,"node_eff",D459,M459,N459)</f>
        <v>s1_node_eff_recruit_27_2</v>
      </c>
    </row>
    <row r="460" spans="1:20" x14ac:dyDescent="0.45">
      <c r="A460" s="0" t="str">
        <f>_xlfn.TEXTJOIN("_",TRUE,C460,"node",D460,M460,N460)</f>
        <v>s1_node_recruit_27_4</v>
      </c>
      <c r="B460" s="0" t="s">
        <v>0</v>
      </c>
      <c r="C460" s="0" t="s">
        <v>26</v>
      </c>
      <c r="D460" s="0" t="s">
        <v>104</v>
      </c>
      <c r="E460" s="0" t="str">
        <f>"s1_node_"&amp;D460&amp;"_name"</f>
        <v>s1_node_recruit_name</v>
      </c>
      <c r="F460" s="13" t="str">
        <f>"s1_node_"&amp;D460&amp;"_desc"</f>
        <v>s1_node_recruit_desc</v>
      </c>
      <c r="G460" s="0" t="s">
        <v>615</v>
      </c>
      <c r="H460" s="0">
        <v>2</v>
      </c>
      <c r="I460" s="0" t="s">
        <v>27</v>
      </c>
      <c r="J460" s="0" t="s">
        <v>473</v>
      </c>
      <c r="K460" s="0">
        <v>1110</v>
      </c>
      <c r="L460" s="13">
        <v>3</v>
      </c>
      <c r="M460" s="0">
        <v>27</v>
      </c>
      <c r="N460" s="0">
        <v>4</v>
      </c>
      <c r="T460" s="0" t="str">
        <f>_xlfn.TEXTJOIN("_",TRUE,C460,"node_eff",D460,M460,N460)</f>
        <v>s1_node_eff_recruit_27_4</v>
      </c>
    </row>
    <row r="461" spans="1:20" x14ac:dyDescent="0.45">
      <c r="A461" s="0" t="str">
        <f>_xlfn.TEXTJOIN("_",TRUE,C461,"node",D461,M461,N461)</f>
        <v>s1_node_recruit_27_6</v>
      </c>
      <c r="B461" s="0" t="s">
        <v>0</v>
      </c>
      <c r="C461" s="0" t="s">
        <v>26</v>
      </c>
      <c r="D461" s="0" t="s">
        <v>104</v>
      </c>
      <c r="E461" s="0" t="str">
        <f>"s1_node_"&amp;D461&amp;"_name"</f>
        <v>s1_node_recruit_name</v>
      </c>
      <c r="F461" s="13" t="str">
        <f>"s1_node_"&amp;D461&amp;"_desc"</f>
        <v>s1_node_recruit_desc</v>
      </c>
      <c r="G461" s="0" t="s">
        <v>615</v>
      </c>
      <c r="H461" s="0">
        <v>2</v>
      </c>
      <c r="I461" s="0" t="s">
        <v>27</v>
      </c>
      <c r="J461" s="0" t="s">
        <v>473</v>
      </c>
      <c r="K461" s="0">
        <v>1110</v>
      </c>
      <c r="L461" s="13">
        <v>3</v>
      </c>
      <c r="M461" s="0">
        <v>27</v>
      </c>
      <c r="N461" s="0">
        <v>6</v>
      </c>
      <c r="T461" s="0" t="str">
        <f>_xlfn.TEXTJOIN("_",TRUE,C461,"node_eff",D461,M461,N461)</f>
        <v>s1_node_eff_recruit_27_6</v>
      </c>
    </row>
    <row r="462" spans="1:20" x14ac:dyDescent="0.45">
      <c r="A462" s="0" t="str">
        <f>_xlfn.TEXTJOIN("_",TRUE,C462,"node",D462,M462,N462)</f>
        <v>s1_node_recruit_28_2</v>
      </c>
      <c r="B462" s="0" t="s">
        <v>0</v>
      </c>
      <c r="C462" s="0" t="s">
        <v>26</v>
      </c>
      <c r="D462" s="0" t="s">
        <v>104</v>
      </c>
      <c r="E462" s="0" t="str">
        <f>"s1_node_"&amp;D462&amp;"_name"</f>
        <v>s1_node_recruit_name</v>
      </c>
      <c r="F462" s="13" t="str">
        <f>"s1_node_"&amp;D462&amp;"_desc"</f>
        <v>s1_node_recruit_desc</v>
      </c>
      <c r="G462" s="0" t="s">
        <v>615</v>
      </c>
      <c r="H462" s="0">
        <v>2</v>
      </c>
      <c r="I462" s="0" t="s">
        <v>27</v>
      </c>
      <c r="J462" s="0" t="s">
        <v>475</v>
      </c>
      <c r="K462" s="0">
        <v>1150</v>
      </c>
      <c r="L462" s="13">
        <v>3</v>
      </c>
      <c r="M462" s="0">
        <v>28</v>
      </c>
      <c r="N462" s="0">
        <v>2</v>
      </c>
      <c r="P462" s="0" t="s">
        <v>659</v>
      </c>
      <c r="T462" s="0" t="str">
        <f>_xlfn.TEXTJOIN("_",TRUE,C462,"node_eff",D462,M462,N462)</f>
        <v>s1_node_eff_recruit_28_2</v>
      </c>
    </row>
    <row r="463" spans="1:20" x14ac:dyDescent="0.45">
      <c r="A463" s="0" t="str">
        <f>_xlfn.TEXTJOIN("_",TRUE,C463,"node",D463,M463,N463)</f>
        <v>s1_node_recruit_28_6</v>
      </c>
      <c r="B463" s="0" t="s">
        <v>0</v>
      </c>
      <c r="C463" s="0" t="s">
        <v>26</v>
      </c>
      <c r="D463" s="0" t="s">
        <v>104</v>
      </c>
      <c r="E463" s="0" t="str">
        <f>"s1_node_"&amp;D463&amp;"_name"</f>
        <v>s1_node_recruit_name</v>
      </c>
      <c r="F463" s="13" t="str">
        <f>"s1_node_"&amp;D463&amp;"_desc"</f>
        <v>s1_node_recruit_desc</v>
      </c>
      <c r="G463" s="0" t="s">
        <v>422</v>
      </c>
      <c r="H463" s="0">
        <v>2</v>
      </c>
      <c r="I463" s="0" t="s">
        <v>27</v>
      </c>
      <c r="J463" s="0" t="s">
        <v>475</v>
      </c>
      <c r="K463" s="0">
        <v>1150</v>
      </c>
      <c r="L463" s="13">
        <v>3</v>
      </c>
      <c r="M463" s="0">
        <v>28</v>
      </c>
      <c r="N463" s="0">
        <v>6</v>
      </c>
      <c r="P463" s="0" t="s">
        <v>660</v>
      </c>
      <c r="T463" s="0" t="str">
        <f>_xlfn.TEXTJOIN("_",TRUE,C463,"node_eff",D463,M463,N463)</f>
        <v>s1_node_eff_recruit_28_6</v>
      </c>
    </row>
    <row r="464" spans="1:20" x14ac:dyDescent="0.45">
      <c r="A464" s="0" t="str">
        <f>_xlfn.TEXTJOIN("_",TRUE,C464,"node",D464,M464,N464)</f>
        <v>s1_node_recruit_29_2</v>
      </c>
      <c r="B464" s="0" t="s">
        <v>0</v>
      </c>
      <c r="C464" s="0" t="s">
        <v>26</v>
      </c>
      <c r="D464" s="0" t="s">
        <v>104</v>
      </c>
      <c r="E464" s="0" t="str">
        <f>"s1_node_"&amp;D464&amp;"_name"</f>
        <v>s1_node_recruit_name</v>
      </c>
      <c r="F464" s="13" t="str">
        <f>"s1_node_"&amp;D464&amp;"_desc"</f>
        <v>s1_node_recruit_desc</v>
      </c>
      <c r="G464" s="0" t="s">
        <v>422</v>
      </c>
      <c r="H464" s="0">
        <v>2</v>
      </c>
      <c r="I464" s="0" t="s">
        <v>27</v>
      </c>
      <c r="J464" s="0" t="s">
        <v>228</v>
      </c>
      <c r="K464" s="0">
        <v>1190</v>
      </c>
      <c r="L464" s="13">
        <v>3</v>
      </c>
      <c r="M464" s="0">
        <v>29</v>
      </c>
      <c r="N464" s="0">
        <v>2</v>
      </c>
      <c r="T464" s="0" t="str">
        <f>_xlfn.TEXTJOIN("_",TRUE,C464,"node_eff",D464,M464,N464)</f>
        <v>s1_node_eff_recruit_29_2</v>
      </c>
    </row>
    <row r="465" spans="1:20" x14ac:dyDescent="0.45">
      <c r="A465" s="0" t="str">
        <f>_xlfn.TEXTJOIN("_",TRUE,C465,"node",D465,M465,N465)</f>
        <v>s1_node_recruit_29_4</v>
      </c>
      <c r="B465" s="0" t="s">
        <v>0</v>
      </c>
      <c r="C465" s="0" t="s">
        <v>26</v>
      </c>
      <c r="D465" s="0" t="s">
        <v>104</v>
      </c>
      <c r="E465" s="0" t="str">
        <f>"s1_node_"&amp;D465&amp;"_name"</f>
        <v>s1_node_recruit_name</v>
      </c>
      <c r="F465" s="13" t="str">
        <f>"s1_node_"&amp;D465&amp;"_desc"</f>
        <v>s1_node_recruit_desc</v>
      </c>
      <c r="G465" s="0" t="s">
        <v>422</v>
      </c>
      <c r="H465" s="0">
        <v>2</v>
      </c>
      <c r="I465" s="0" t="s">
        <v>27</v>
      </c>
      <c r="J465" s="0" t="s">
        <v>228</v>
      </c>
      <c r="K465" s="0">
        <v>1190</v>
      </c>
      <c r="L465" s="13">
        <v>3</v>
      </c>
      <c r="M465" s="0">
        <v>29</v>
      </c>
      <c r="N465" s="0">
        <v>4</v>
      </c>
      <c r="P465" s="0" t="s">
        <v>661</v>
      </c>
      <c r="T465" s="0" t="str">
        <f>_xlfn.TEXTJOIN("_",TRUE,C465,"node_eff",D465,M465,N465)</f>
        <v>s1_node_eff_recruit_29_4</v>
      </c>
    </row>
    <row r="466" spans="1:20" x14ac:dyDescent="0.45">
      <c r="A466" s="0" t="str">
        <f>_xlfn.TEXTJOIN("_",TRUE,C466,"node",D466,M466,N466)</f>
        <v>s1_node_recruit_29_6</v>
      </c>
      <c r="B466" s="0" t="s">
        <v>0</v>
      </c>
      <c r="C466" s="0" t="s">
        <v>26</v>
      </c>
      <c r="D466" s="0" t="s">
        <v>104</v>
      </c>
      <c r="E466" s="0" t="str">
        <f>"s1_node_"&amp;D466&amp;"_name"</f>
        <v>s1_node_recruit_name</v>
      </c>
      <c r="F466" s="13" t="str">
        <f>"s1_node_"&amp;D466&amp;"_desc"</f>
        <v>s1_node_recruit_desc</v>
      </c>
      <c r="G466" s="0" t="s">
        <v>615</v>
      </c>
      <c r="H466" s="0">
        <v>2</v>
      </c>
      <c r="I466" s="0" t="s">
        <v>27</v>
      </c>
      <c r="J466" s="0" t="s">
        <v>228</v>
      </c>
      <c r="K466" s="0">
        <v>1190</v>
      </c>
      <c r="L466" s="13">
        <v>3</v>
      </c>
      <c r="M466" s="0">
        <v>29</v>
      </c>
      <c r="N466" s="0">
        <v>6</v>
      </c>
      <c r="T466" s="0" t="str">
        <f>_xlfn.TEXTJOIN("_",TRUE,C466,"node_eff",D466,M466,N466)</f>
        <v>s1_node_eff_recruit_29_6</v>
      </c>
    </row>
    <row r="467" spans="1:20" x14ac:dyDescent="0.45">
      <c r="A467" s="0" t="str">
        <f>_xlfn.TEXTJOIN("_",TRUE,C467,"node",D467,M467,N467)</f>
        <v>s1_node_recruit_30_2</v>
      </c>
      <c r="B467" s="0" t="s">
        <v>0</v>
      </c>
      <c r="C467" s="0" t="s">
        <v>26</v>
      </c>
      <c r="D467" s="0" t="s">
        <v>104</v>
      </c>
      <c r="E467" s="0" t="str">
        <f>"s1_node_"&amp;D467&amp;"_name"</f>
        <v>s1_node_recruit_name</v>
      </c>
      <c r="F467" s="13" t="str">
        <f>"s1_node_"&amp;D467&amp;"_desc"</f>
        <v>s1_node_recruit_desc</v>
      </c>
      <c r="G467" s="0" t="s">
        <v>615</v>
      </c>
      <c r="H467" s="0">
        <v>2</v>
      </c>
      <c r="I467" s="0" t="s">
        <v>27</v>
      </c>
      <c r="J467" s="0" t="s">
        <v>231</v>
      </c>
      <c r="K467" s="0">
        <v>1230</v>
      </c>
      <c r="L467" s="13">
        <v>3</v>
      </c>
      <c r="M467" s="0">
        <v>30</v>
      </c>
      <c r="N467" s="0">
        <v>2</v>
      </c>
      <c r="P467" s="0" t="s">
        <v>662</v>
      </c>
      <c r="T467" s="0" t="str">
        <f>_xlfn.TEXTJOIN("_",TRUE,C467,"node_eff",D467,M467,N467)</f>
        <v>s1_node_eff_recruit_30_2</v>
      </c>
    </row>
    <row r="468" spans="1:20" x14ac:dyDescent="0.45">
      <c r="A468" s="0" t="str">
        <f>_xlfn.TEXTJOIN("_",TRUE,C468,"node",D468,M468,N468)</f>
        <v>s1_node_recruit_30_6</v>
      </c>
      <c r="B468" s="0" t="s">
        <v>0</v>
      </c>
      <c r="C468" s="0" t="s">
        <v>26</v>
      </c>
      <c r="D468" s="0" t="s">
        <v>104</v>
      </c>
      <c r="E468" s="0" t="str">
        <f>"s1_node_"&amp;D468&amp;"_name"</f>
        <v>s1_node_recruit_name</v>
      </c>
      <c r="F468" s="13" t="str">
        <f>"s1_node_"&amp;D468&amp;"_desc"</f>
        <v>s1_node_recruit_desc</v>
      </c>
      <c r="G468" s="0" t="s">
        <v>615</v>
      </c>
      <c r="H468" s="0">
        <v>2</v>
      </c>
      <c r="I468" s="0" t="s">
        <v>27</v>
      </c>
      <c r="J468" s="0" t="s">
        <v>231</v>
      </c>
      <c r="K468" s="0">
        <v>1230</v>
      </c>
      <c r="L468" s="13">
        <v>3</v>
      </c>
      <c r="M468" s="0">
        <v>30</v>
      </c>
      <c r="N468" s="0">
        <v>6</v>
      </c>
      <c r="P468" s="0" t="s">
        <v>663</v>
      </c>
      <c r="T468" s="0" t="str">
        <f>_xlfn.TEXTJOIN("_",TRUE,C468,"node_eff",D468,M468,N468)</f>
        <v>s1_node_eff_recruit_30_6</v>
      </c>
    </row>
    <row r="469" spans="1:20" x14ac:dyDescent="0.45">
      <c r="A469" s="0" t="str">
        <f>_xlfn.TEXTJOIN("_",TRUE,C469,"node",D469,M469,N469)</f>
        <v>s1_node_recruit_31_4</v>
      </c>
      <c r="B469" s="0" t="s">
        <v>0</v>
      </c>
      <c r="C469" s="0" t="s">
        <v>26</v>
      </c>
      <c r="D469" s="0" t="s">
        <v>104</v>
      </c>
      <c r="E469" s="0" t="str">
        <f>"s1_node_"&amp;D469&amp;"_name"</f>
        <v>s1_node_recruit_name</v>
      </c>
      <c r="F469" s="13" t="str">
        <f>"s1_node_"&amp;D469&amp;"_desc"</f>
        <v>s1_node_recruit_desc</v>
      </c>
      <c r="G469" s="0" t="s">
        <v>615</v>
      </c>
      <c r="H469" s="0">
        <v>2</v>
      </c>
      <c r="I469" s="0" t="s">
        <v>27</v>
      </c>
      <c r="J469" s="0" t="s">
        <v>234</v>
      </c>
      <c r="K469" s="0">
        <v>1260</v>
      </c>
      <c r="L469" s="13">
        <v>3</v>
      </c>
      <c r="M469" s="0">
        <v>31</v>
      </c>
      <c r="N469" s="0">
        <v>4</v>
      </c>
      <c r="P469" s="0" t="s">
        <v>664</v>
      </c>
      <c r="T469" s="0" t="str">
        <f>_xlfn.TEXTJOIN("_",TRUE,C469,"node_eff",D469,M469,N469)</f>
        <v>s1_node_eff_recruit_31_4</v>
      </c>
    </row>
    <row r="470" spans="1:20" x14ac:dyDescent="0.45">
      <c r="A470" s="0" t="str">
        <f>_xlfn.TEXTJOIN("_",TRUE,C470,"node",D470,M470,N470)</f>
        <v>s1_node_recruit_32_2</v>
      </c>
      <c r="B470" s="0" t="s">
        <v>0</v>
      </c>
      <c r="C470" s="0" t="s">
        <v>26</v>
      </c>
      <c r="D470" s="0" t="s">
        <v>104</v>
      </c>
      <c r="E470" s="0" t="str">
        <f>"s1_node_"&amp;D470&amp;"_name"</f>
        <v>s1_node_recruit_name</v>
      </c>
      <c r="F470" s="13" t="str">
        <f>"s1_node_"&amp;D470&amp;"_desc"</f>
        <v>s1_node_recruit_desc</v>
      </c>
      <c r="G470" s="0" t="s">
        <v>422</v>
      </c>
      <c r="H470" s="0">
        <v>2</v>
      </c>
      <c r="I470" s="0" t="s">
        <v>27</v>
      </c>
      <c r="J470" s="0" t="s">
        <v>237</v>
      </c>
      <c r="K470" s="0">
        <v>1300</v>
      </c>
      <c r="L470" s="13">
        <v>3</v>
      </c>
      <c r="M470" s="0">
        <v>32</v>
      </c>
      <c r="N470" s="0">
        <v>2</v>
      </c>
      <c r="T470" s="0" t="str">
        <f>_xlfn.TEXTJOIN("_",TRUE,C470,"node_eff",D470,M470,N470)</f>
        <v>s1_node_eff_recruit_32_2</v>
      </c>
    </row>
    <row r="471" spans="1:20" x14ac:dyDescent="0.45">
      <c r="A471" s="0" t="str">
        <f>_xlfn.TEXTJOIN("_",TRUE,C471,"node",D471,M471,N471)</f>
        <v>s1_node_recruit_32_4</v>
      </c>
      <c r="B471" s="0" t="s">
        <v>0</v>
      </c>
      <c r="C471" s="0" t="s">
        <v>26</v>
      </c>
      <c r="D471" s="0" t="s">
        <v>104</v>
      </c>
      <c r="E471" s="0" t="str">
        <f>"s1_node_"&amp;D471&amp;"_name"</f>
        <v>s1_node_recruit_name</v>
      </c>
      <c r="F471" s="13" t="str">
        <f>"s1_node_"&amp;D471&amp;"_desc"</f>
        <v>s1_node_recruit_desc</v>
      </c>
      <c r="G471" s="0" t="s">
        <v>422</v>
      </c>
      <c r="H471" s="0">
        <v>2</v>
      </c>
      <c r="I471" s="0" t="s">
        <v>27</v>
      </c>
      <c r="J471" s="0" t="s">
        <v>237</v>
      </c>
      <c r="K471" s="0">
        <v>1300</v>
      </c>
      <c r="L471" s="13">
        <v>3</v>
      </c>
      <c r="M471" s="0">
        <v>32</v>
      </c>
      <c r="N471" s="0">
        <v>4</v>
      </c>
      <c r="T471" s="0" t="str">
        <f>_xlfn.TEXTJOIN("_",TRUE,C471,"node_eff",D471,M471,N471)</f>
        <v>s1_node_eff_recruit_32_4</v>
      </c>
    </row>
    <row r="472" spans="1:20" x14ac:dyDescent="0.45">
      <c r="A472" s="0" t="str">
        <f>_xlfn.TEXTJOIN("_",TRUE,C472,"node",D472,M472,N472)</f>
        <v>s1_node_recruit_32_6</v>
      </c>
      <c r="B472" s="0" t="s">
        <v>0</v>
      </c>
      <c r="C472" s="0" t="s">
        <v>26</v>
      </c>
      <c r="D472" s="0" t="s">
        <v>104</v>
      </c>
      <c r="E472" s="0" t="str">
        <f>"s1_node_"&amp;D472&amp;"_name"</f>
        <v>s1_node_recruit_name</v>
      </c>
      <c r="F472" s="13" t="str">
        <f>"s1_node_"&amp;D472&amp;"_desc"</f>
        <v>s1_node_recruit_desc</v>
      </c>
      <c r="G472" s="0" t="s">
        <v>422</v>
      </c>
      <c r="H472" s="0">
        <v>2</v>
      </c>
      <c r="I472" s="0" t="s">
        <v>27</v>
      </c>
      <c r="J472" s="0" t="s">
        <v>237</v>
      </c>
      <c r="K472" s="0">
        <v>1300</v>
      </c>
      <c r="L472" s="13">
        <v>3</v>
      </c>
      <c r="M472" s="0">
        <v>32</v>
      </c>
      <c r="N472" s="0">
        <v>6</v>
      </c>
      <c r="T472" s="0" t="str">
        <f>_xlfn.TEXTJOIN("_",TRUE,C472,"node_eff",D472,M472,N472)</f>
        <v>s1_node_eff_recruit_32_6</v>
      </c>
    </row>
    <row r="473" spans="1:20" x14ac:dyDescent="0.45">
      <c r="A473" s="0" t="str">
        <f>_xlfn.TEXTJOIN("_",TRUE,C473,"node",D473,M473,N473)</f>
        <v>s1_node_recruit_33_2</v>
      </c>
      <c r="B473" s="0" t="s">
        <v>0</v>
      </c>
      <c r="C473" s="0" t="s">
        <v>26</v>
      </c>
      <c r="D473" s="0" t="s">
        <v>104</v>
      </c>
      <c r="E473" s="0" t="str">
        <f>"s1_node_"&amp;D473&amp;"_name"</f>
        <v>s1_node_recruit_name</v>
      </c>
      <c r="F473" s="13" t="str">
        <f>"s1_node_"&amp;D473&amp;"_desc"</f>
        <v>s1_node_recruit_desc</v>
      </c>
      <c r="G473" s="0" t="s">
        <v>615</v>
      </c>
      <c r="H473" s="0">
        <v>2</v>
      </c>
      <c r="I473" s="0" t="s">
        <v>27</v>
      </c>
      <c r="J473" s="0" t="s">
        <v>665</v>
      </c>
      <c r="K473" s="0">
        <v>1340</v>
      </c>
      <c r="L473" s="13">
        <v>3</v>
      </c>
      <c r="M473" s="0">
        <v>33</v>
      </c>
      <c r="N473" s="0">
        <v>2</v>
      </c>
      <c r="P473" s="0" t="s">
        <v>666</v>
      </c>
      <c r="T473" s="0" t="str">
        <f>_xlfn.TEXTJOIN("_",TRUE,C473,"node_eff",D473,M473,N473)</f>
        <v>s1_node_eff_recruit_33_2</v>
      </c>
    </row>
    <row r="474" spans="1:20" x14ac:dyDescent="0.45">
      <c r="A474" s="0" t="str">
        <f>_xlfn.TEXTJOIN("_",TRUE,C474,"node",D474,M474,N474)</f>
        <v>s1_node_recruit_33_6</v>
      </c>
      <c r="B474" s="0" t="s">
        <v>0</v>
      </c>
      <c r="C474" s="0" t="s">
        <v>26</v>
      </c>
      <c r="D474" s="0" t="s">
        <v>104</v>
      </c>
      <c r="E474" s="0" t="str">
        <f>"s1_node_"&amp;D474&amp;"_name"</f>
        <v>s1_node_recruit_name</v>
      </c>
      <c r="F474" s="13" t="str">
        <f>"s1_node_"&amp;D474&amp;"_desc"</f>
        <v>s1_node_recruit_desc</v>
      </c>
      <c r="G474" s="0" t="s">
        <v>615</v>
      </c>
      <c r="H474" s="0">
        <v>2</v>
      </c>
      <c r="I474" s="0" t="s">
        <v>27</v>
      </c>
      <c r="J474" s="0" t="s">
        <v>665</v>
      </c>
      <c r="K474" s="0">
        <v>1340</v>
      </c>
      <c r="L474" s="13">
        <v>3</v>
      </c>
      <c r="M474" s="0">
        <v>33</v>
      </c>
      <c r="N474" s="0">
        <v>6</v>
      </c>
      <c r="P474" s="0" t="s">
        <v>667</v>
      </c>
      <c r="T474" s="0" t="str">
        <f>_xlfn.TEXTJOIN("_",TRUE,C474,"node_eff",D474,M474,N474)</f>
        <v>s1_node_eff_recruit_33_6</v>
      </c>
    </row>
    <row r="475" spans="1:20" x14ac:dyDescent="0.45">
      <c r="A475" s="0" t="str">
        <f>_xlfn.TEXTJOIN("_",TRUE,C475,"node",D475,M475,N475)</f>
        <v>s1_node_recruit_34_2</v>
      </c>
      <c r="B475" s="0" t="s">
        <v>0</v>
      </c>
      <c r="C475" s="0" t="s">
        <v>26</v>
      </c>
      <c r="D475" s="0" t="s">
        <v>104</v>
      </c>
      <c r="E475" s="0" t="str">
        <f>"s1_node_"&amp;D475&amp;"_name"</f>
        <v>s1_node_recruit_name</v>
      </c>
      <c r="F475" s="13" t="str">
        <f>"s1_node_"&amp;D475&amp;"_desc"</f>
        <v>s1_node_recruit_desc</v>
      </c>
      <c r="G475" s="0" t="s">
        <v>615</v>
      </c>
      <c r="H475" s="0">
        <v>2</v>
      </c>
      <c r="I475" s="0" t="s">
        <v>27</v>
      </c>
      <c r="J475" s="0" t="s">
        <v>668</v>
      </c>
      <c r="K475" s="0">
        <v>1380</v>
      </c>
      <c r="L475" s="13">
        <v>3</v>
      </c>
      <c r="M475" s="0">
        <v>34</v>
      </c>
      <c r="N475" s="0">
        <v>2</v>
      </c>
      <c r="T475" s="0" t="str">
        <f>_xlfn.TEXTJOIN("_",TRUE,C475,"node_eff",D475,M475,N475)</f>
        <v>s1_node_eff_recruit_34_2</v>
      </c>
    </row>
    <row r="476" spans="1:20" x14ac:dyDescent="0.45">
      <c r="A476" s="0" t="str">
        <f>_xlfn.TEXTJOIN("_",TRUE,C476,"node",D476,M476,N476)</f>
        <v>s1_node_recruit_34_4</v>
      </c>
      <c r="B476" s="0" t="s">
        <v>0</v>
      </c>
      <c r="C476" s="0" t="s">
        <v>26</v>
      </c>
      <c r="D476" s="0" t="s">
        <v>104</v>
      </c>
      <c r="E476" s="0" t="str">
        <f>"s1_node_"&amp;D476&amp;"_name"</f>
        <v>s1_node_recruit_name</v>
      </c>
      <c r="F476" s="13" t="str">
        <f>"s1_node_"&amp;D476&amp;"_desc"</f>
        <v>s1_node_recruit_desc</v>
      </c>
      <c r="G476" s="0" t="s">
        <v>615</v>
      </c>
      <c r="H476" s="0">
        <v>2</v>
      </c>
      <c r="I476" s="0" t="s">
        <v>27</v>
      </c>
      <c r="J476" s="0" t="s">
        <v>668</v>
      </c>
      <c r="K476" s="0">
        <v>1380</v>
      </c>
      <c r="L476" s="13">
        <v>3</v>
      </c>
      <c r="M476" s="0">
        <v>34</v>
      </c>
      <c r="N476" s="0">
        <v>4</v>
      </c>
      <c r="P476" s="0" t="s">
        <v>669</v>
      </c>
      <c r="T476" s="0" t="str">
        <f>_xlfn.TEXTJOIN("_",TRUE,C476,"node_eff",D476,M476,N476)</f>
        <v>s1_node_eff_recruit_34_4</v>
      </c>
    </row>
    <row r="477" spans="1:20" x14ac:dyDescent="0.45">
      <c r="A477" s="0" t="str">
        <f>_xlfn.TEXTJOIN("_",TRUE,C477,"node",D477,M477,N477)</f>
        <v>s1_node_recruit_34_6</v>
      </c>
      <c r="B477" s="0" t="s">
        <v>0</v>
      </c>
      <c r="C477" s="0" t="s">
        <v>26</v>
      </c>
      <c r="D477" s="0" t="s">
        <v>104</v>
      </c>
      <c r="E477" s="0" t="str">
        <f>"s1_node_"&amp;D477&amp;"_name"</f>
        <v>s1_node_recruit_name</v>
      </c>
      <c r="F477" s="13" t="str">
        <f>"s1_node_"&amp;D477&amp;"_desc"</f>
        <v>s1_node_recruit_desc</v>
      </c>
      <c r="G477" s="0" t="s">
        <v>422</v>
      </c>
      <c r="H477" s="0">
        <v>2</v>
      </c>
      <c r="I477" s="0" t="s">
        <v>27</v>
      </c>
      <c r="J477" s="0" t="s">
        <v>668</v>
      </c>
      <c r="K477" s="0">
        <v>1380</v>
      </c>
      <c r="L477" s="13">
        <v>3</v>
      </c>
      <c r="M477" s="0">
        <v>34</v>
      </c>
      <c r="N477" s="0">
        <v>6</v>
      </c>
      <c r="T477" s="0" t="str">
        <f>_xlfn.TEXTJOIN("_",TRUE,C477,"node_eff",D477,M477,N477)</f>
        <v>s1_node_eff_recruit_34_6</v>
      </c>
    </row>
    <row r="478" spans="1:20" x14ac:dyDescent="0.45">
      <c r="A478" s="0" t="str">
        <f>_xlfn.TEXTJOIN("_",TRUE,C478,"node",D478,M478,N478)</f>
        <v>s1_node_recruit_35_2</v>
      </c>
      <c r="B478" s="0" t="s">
        <v>0</v>
      </c>
      <c r="C478" s="0" t="s">
        <v>26</v>
      </c>
      <c r="D478" s="0" t="s">
        <v>104</v>
      </c>
      <c r="E478" s="0" t="str">
        <f>"s1_node_"&amp;D478&amp;"_name"</f>
        <v>s1_node_recruit_name</v>
      </c>
      <c r="F478" s="13" t="str">
        <f>"s1_node_"&amp;D478&amp;"_desc"</f>
        <v>s1_node_recruit_desc</v>
      </c>
      <c r="G478" s="0" t="s">
        <v>422</v>
      </c>
      <c r="H478" s="0">
        <v>2</v>
      </c>
      <c r="I478" s="0" t="s">
        <v>27</v>
      </c>
      <c r="J478" s="0" t="s">
        <v>670</v>
      </c>
      <c r="K478" s="0">
        <v>1410</v>
      </c>
      <c r="L478" s="13">
        <v>3</v>
      </c>
      <c r="M478" s="0">
        <v>35</v>
      </c>
      <c r="N478" s="0">
        <v>2</v>
      </c>
      <c r="P478" s="0" t="s">
        <v>671</v>
      </c>
      <c r="T478" s="0" t="str">
        <f>_xlfn.TEXTJOIN("_",TRUE,C478,"node_eff",D478,M478,N478)</f>
        <v>s1_node_eff_recruit_35_2</v>
      </c>
    </row>
    <row r="479" spans="1:20" x14ac:dyDescent="0.45">
      <c r="A479" s="0" t="str">
        <f>_xlfn.TEXTJOIN("_",TRUE,C479,"node",D479,M479,N479)</f>
        <v>s1_node_recruit_35_6</v>
      </c>
      <c r="B479" s="0" t="s">
        <v>0</v>
      </c>
      <c r="C479" s="0" t="s">
        <v>26</v>
      </c>
      <c r="D479" s="0" t="s">
        <v>104</v>
      </c>
      <c r="E479" s="0" t="str">
        <f>"s1_node_"&amp;D479&amp;"_name"</f>
        <v>s1_node_recruit_name</v>
      </c>
      <c r="F479" s="13" t="str">
        <f>"s1_node_"&amp;D479&amp;"_desc"</f>
        <v>s1_node_recruit_desc</v>
      </c>
      <c r="G479" s="0" t="s">
        <v>422</v>
      </c>
      <c r="H479" s="0">
        <v>2</v>
      </c>
      <c r="I479" s="0" t="s">
        <v>27</v>
      </c>
      <c r="J479" s="0" t="s">
        <v>670</v>
      </c>
      <c r="K479" s="0">
        <v>1410</v>
      </c>
      <c r="L479" s="13">
        <v>3</v>
      </c>
      <c r="M479" s="0">
        <v>35</v>
      </c>
      <c r="N479" s="0">
        <v>6</v>
      </c>
      <c r="P479" s="0" t="s">
        <v>672</v>
      </c>
      <c r="T479" s="0" t="str">
        <f>_xlfn.TEXTJOIN("_",TRUE,C479,"node_eff",D479,M479,N479)</f>
        <v>s1_node_eff_recruit_35_6</v>
      </c>
    </row>
    <row r="480" spans="1:20" x14ac:dyDescent="0.45">
      <c r="A480" s="0" t="str">
        <f>_xlfn.TEXTJOIN("_",TRUE,C480,"node",D480,M480,N480)</f>
        <v>s1_node_recruit_36_4</v>
      </c>
      <c r="B480" s="0" t="s">
        <v>0</v>
      </c>
      <c r="C480" s="0" t="s">
        <v>26</v>
      </c>
      <c r="D480" s="0" t="s">
        <v>104</v>
      </c>
      <c r="E480" s="0" t="str">
        <f>"s1_node_"&amp;D480&amp;"_name"</f>
        <v>s1_node_recruit_name</v>
      </c>
      <c r="F480" s="13" t="str">
        <f>"s1_node_"&amp;D480&amp;"_desc"</f>
        <v>s1_node_recruit_desc</v>
      </c>
      <c r="G480" s="0" t="s">
        <v>615</v>
      </c>
      <c r="H480" s="0">
        <v>2</v>
      </c>
      <c r="I480" s="0" t="s">
        <v>27</v>
      </c>
      <c r="J480" s="0" t="s">
        <v>673</v>
      </c>
      <c r="K480" s="0">
        <v>1450</v>
      </c>
      <c r="L480" s="13">
        <v>3</v>
      </c>
      <c r="M480" s="0">
        <v>36</v>
      </c>
      <c r="N480" s="0">
        <v>4</v>
      </c>
      <c r="P480" s="0" t="s">
        <v>674</v>
      </c>
      <c r="T480" s="0" t="str">
        <f>_xlfn.TEXTJOIN("_",TRUE,C480,"node_eff",D480,M480,N480)</f>
        <v>s1_node_eff_recruit_36_4</v>
      </c>
    </row>
    <row r="481" spans="1:20" x14ac:dyDescent="0.45">
      <c r="A481" s="0" t="str">
        <f>_xlfn.TEXTJOIN("_",TRUE,C481,"node",D481,M481,N481)</f>
        <v>s1_node_recruit_37_2</v>
      </c>
      <c r="B481" s="0" t="s">
        <v>0</v>
      </c>
      <c r="C481" s="0" t="s">
        <v>26</v>
      </c>
      <c r="D481" s="0" t="s">
        <v>104</v>
      </c>
      <c r="E481" s="0" t="str">
        <f>"s1_node_"&amp;D481&amp;"_name"</f>
        <v>s1_node_recruit_name</v>
      </c>
      <c r="F481" s="13" t="str">
        <f>"s1_node_"&amp;D481&amp;"_desc"</f>
        <v>s1_node_recruit_desc</v>
      </c>
      <c r="G481" s="0" t="s">
        <v>615</v>
      </c>
      <c r="H481" s="0">
        <v>2</v>
      </c>
      <c r="I481" s="0" t="s">
        <v>27</v>
      </c>
      <c r="J481" s="0" t="s">
        <v>675</v>
      </c>
      <c r="K481" s="0">
        <v>1490</v>
      </c>
      <c r="L481" s="13">
        <v>3</v>
      </c>
      <c r="M481" s="0">
        <v>37</v>
      </c>
      <c r="N481" s="0">
        <v>2</v>
      </c>
      <c r="T481" s="0" t="str">
        <f>_xlfn.TEXTJOIN("_",TRUE,C481,"node_eff",D481,M481,N481)</f>
        <v>s1_node_eff_recruit_37_2</v>
      </c>
    </row>
    <row r="482" spans="1:20" x14ac:dyDescent="0.45">
      <c r="A482" s="0" t="str">
        <f>_xlfn.TEXTJOIN("_",TRUE,C482,"node",D482,M482,N482)</f>
        <v>s1_node_recruit_37_4</v>
      </c>
      <c r="B482" s="0" t="s">
        <v>0</v>
      </c>
      <c r="C482" s="0" t="s">
        <v>26</v>
      </c>
      <c r="D482" s="0" t="s">
        <v>104</v>
      </c>
      <c r="E482" s="0" t="str">
        <f>"s1_node_"&amp;D482&amp;"_name"</f>
        <v>s1_node_recruit_name</v>
      </c>
      <c r="F482" s="13" t="str">
        <f>"s1_node_"&amp;D482&amp;"_desc"</f>
        <v>s1_node_recruit_desc</v>
      </c>
      <c r="G482" s="0" t="s">
        <v>615</v>
      </c>
      <c r="H482" s="0">
        <v>2</v>
      </c>
      <c r="I482" s="0" t="s">
        <v>27</v>
      </c>
      <c r="J482" s="0" t="s">
        <v>675</v>
      </c>
      <c r="K482" s="0">
        <v>1490</v>
      </c>
      <c r="L482" s="13">
        <v>3</v>
      </c>
      <c r="M482" s="0">
        <v>37</v>
      </c>
      <c r="N482" s="0">
        <v>4</v>
      </c>
      <c r="T482" s="0" t="str">
        <f>_xlfn.TEXTJOIN("_",TRUE,C482,"node_eff",D482,M482,N482)</f>
        <v>s1_node_eff_recruit_37_4</v>
      </c>
    </row>
    <row r="483" spans="1:20" x14ac:dyDescent="0.45">
      <c r="A483" s="0" t="str">
        <f>_xlfn.TEXTJOIN("_",TRUE,C483,"node",D483,M483,N483)</f>
        <v>s1_node_recruit_37_6</v>
      </c>
      <c r="B483" s="0" t="s">
        <v>0</v>
      </c>
      <c r="C483" s="0" t="s">
        <v>26</v>
      </c>
      <c r="D483" s="0" t="s">
        <v>104</v>
      </c>
      <c r="E483" s="0" t="str">
        <f>"s1_node_"&amp;D483&amp;"_name"</f>
        <v>s1_node_recruit_name</v>
      </c>
      <c r="F483" s="13" t="str">
        <f>"s1_node_"&amp;D483&amp;"_desc"</f>
        <v>s1_node_recruit_desc</v>
      </c>
      <c r="G483" s="0" t="s">
        <v>615</v>
      </c>
      <c r="H483" s="0">
        <v>2</v>
      </c>
      <c r="I483" s="0" t="s">
        <v>27</v>
      </c>
      <c r="J483" s="0" t="s">
        <v>675</v>
      </c>
      <c r="K483" s="0">
        <v>1490</v>
      </c>
      <c r="L483" s="13">
        <v>3</v>
      </c>
      <c r="M483" s="0">
        <v>37</v>
      </c>
      <c r="N483" s="0">
        <v>6</v>
      </c>
      <c r="T483" s="0" t="str">
        <f>_xlfn.TEXTJOIN("_",TRUE,C483,"node_eff",D483,M483,N483)</f>
        <v>s1_node_eff_recruit_37_6</v>
      </c>
    </row>
    <row r="484" spans="1:20" x14ac:dyDescent="0.45">
      <c r="A484" s="0" t="str">
        <f>_xlfn.TEXTJOIN("_",TRUE,C484,"node",D484,M484,N484)</f>
        <v>s1_node_recruit_38_2</v>
      </c>
      <c r="B484" s="0" t="s">
        <v>0</v>
      </c>
      <c r="C484" s="0" t="s">
        <v>26</v>
      </c>
      <c r="D484" s="0" t="s">
        <v>104</v>
      </c>
      <c r="E484" s="0" t="str">
        <f>"s1_node_"&amp;D484&amp;"_name"</f>
        <v>s1_node_recruit_name</v>
      </c>
      <c r="F484" s="13" t="str">
        <f>"s1_node_"&amp;D484&amp;"_desc"</f>
        <v>s1_node_recruit_desc</v>
      </c>
      <c r="G484" s="0" t="s">
        <v>422</v>
      </c>
      <c r="H484" s="0">
        <v>2</v>
      </c>
      <c r="I484" s="0" t="s">
        <v>27</v>
      </c>
      <c r="J484" s="0" t="s">
        <v>676</v>
      </c>
      <c r="K484" s="0">
        <v>1530</v>
      </c>
      <c r="L484" s="13">
        <v>3</v>
      </c>
      <c r="M484" s="0">
        <v>38</v>
      </c>
      <c r="N484" s="0">
        <v>2</v>
      </c>
      <c r="P484" s="0" t="s">
        <v>677</v>
      </c>
      <c r="T484" s="0" t="str">
        <f>_xlfn.TEXTJOIN("_",TRUE,C484,"node_eff",D484,M484,N484)</f>
        <v>s1_node_eff_recruit_38_2</v>
      </c>
    </row>
    <row r="485" spans="1:20" x14ac:dyDescent="0.45">
      <c r="A485" s="0" t="str">
        <f>_xlfn.TEXTJOIN("_",TRUE,C485,"node",D485,M485,N485)</f>
        <v>s1_node_recruit_38_6</v>
      </c>
      <c r="B485" s="0" t="s">
        <v>0</v>
      </c>
      <c r="C485" s="0" t="s">
        <v>26</v>
      </c>
      <c r="D485" s="0" t="s">
        <v>104</v>
      </c>
      <c r="E485" s="0" t="str">
        <f>"s1_node_"&amp;D485&amp;"_name"</f>
        <v>s1_node_recruit_name</v>
      </c>
      <c r="F485" s="13" t="str">
        <f>"s1_node_"&amp;D485&amp;"_desc"</f>
        <v>s1_node_recruit_desc</v>
      </c>
      <c r="G485" s="0" t="s">
        <v>422</v>
      </c>
      <c r="H485" s="0">
        <v>2</v>
      </c>
      <c r="I485" s="0" t="s">
        <v>27</v>
      </c>
      <c r="J485" s="0" t="s">
        <v>676</v>
      </c>
      <c r="K485" s="0">
        <v>1530</v>
      </c>
      <c r="L485" s="13">
        <v>3</v>
      </c>
      <c r="M485" s="0">
        <v>38</v>
      </c>
      <c r="N485" s="0">
        <v>6</v>
      </c>
      <c r="P485" s="0" t="s">
        <v>678</v>
      </c>
      <c r="T485" s="0" t="str">
        <f>_xlfn.TEXTJOIN("_",TRUE,C485,"node_eff",D485,M485,N485)</f>
        <v>s1_node_eff_recruit_38_6</v>
      </c>
    </row>
    <row r="486" spans="1:20" x14ac:dyDescent="0.45">
      <c r="A486" s="0" t="str">
        <f>_xlfn.TEXTJOIN("_",TRUE,C486,"node",D486,M486,N486)</f>
        <v>s1_node_recruit_39_2</v>
      </c>
      <c r="B486" s="0" t="s">
        <v>0</v>
      </c>
      <c r="C486" s="0" t="s">
        <v>26</v>
      </c>
      <c r="D486" s="0" t="s">
        <v>104</v>
      </c>
      <c r="E486" s="0" t="str">
        <f>"s1_node_"&amp;D486&amp;"_name"</f>
        <v>s1_node_recruit_name</v>
      </c>
      <c r="F486" s="13" t="str">
        <f>"s1_node_"&amp;D486&amp;"_desc"</f>
        <v>s1_node_recruit_desc</v>
      </c>
      <c r="G486" s="0" t="s">
        <v>422</v>
      </c>
      <c r="H486" s="0">
        <v>2</v>
      </c>
      <c r="I486" s="0" t="s">
        <v>27</v>
      </c>
      <c r="J486" s="0" t="s">
        <v>679</v>
      </c>
      <c r="K486" s="0">
        <v>1560</v>
      </c>
      <c r="L486" s="13">
        <v>3</v>
      </c>
      <c r="M486" s="0">
        <v>39</v>
      </c>
      <c r="N486" s="0">
        <v>2</v>
      </c>
      <c r="T486" s="0" t="str">
        <f>_xlfn.TEXTJOIN("_",TRUE,C486,"node_eff",D486,M486,N486)</f>
        <v>s1_node_eff_recruit_39_2</v>
      </c>
    </row>
    <row r="487" spans="1:20" x14ac:dyDescent="0.45">
      <c r="A487" s="0" t="str">
        <f>_xlfn.TEXTJOIN("_",TRUE,C487,"node",D487,M487,N487)</f>
        <v>s1_node_recruit_39_4</v>
      </c>
      <c r="B487" s="0" t="s">
        <v>0</v>
      </c>
      <c r="C487" s="0" t="s">
        <v>26</v>
      </c>
      <c r="D487" s="0" t="s">
        <v>104</v>
      </c>
      <c r="E487" s="0" t="str">
        <f>"s1_node_"&amp;D487&amp;"_name"</f>
        <v>s1_node_recruit_name</v>
      </c>
      <c r="F487" s="13" t="str">
        <f>"s1_node_"&amp;D487&amp;"_desc"</f>
        <v>s1_node_recruit_desc</v>
      </c>
      <c r="G487" s="0" t="s">
        <v>615</v>
      </c>
      <c r="H487" s="0">
        <v>2</v>
      </c>
      <c r="I487" s="0" t="s">
        <v>27</v>
      </c>
      <c r="J487" s="0" t="s">
        <v>679</v>
      </c>
      <c r="K487" s="0">
        <v>1560</v>
      </c>
      <c r="L487" s="13">
        <v>3</v>
      </c>
      <c r="M487" s="0">
        <v>39</v>
      </c>
      <c r="N487" s="0">
        <v>4</v>
      </c>
      <c r="P487" s="0" t="s">
        <v>680</v>
      </c>
      <c r="T487" s="0" t="str">
        <f>_xlfn.TEXTJOIN("_",TRUE,C487,"node_eff",D487,M487,N487)</f>
        <v>s1_node_eff_recruit_39_4</v>
      </c>
    </row>
    <row r="488" spans="1:20" x14ac:dyDescent="0.45">
      <c r="A488" s="0" t="str">
        <f>_xlfn.TEXTJOIN("_",TRUE,C488,"node",D488,M488,N488)</f>
        <v>s1_node_recruit_39_6</v>
      </c>
      <c r="B488" s="0" t="s">
        <v>0</v>
      </c>
      <c r="C488" s="0" t="s">
        <v>26</v>
      </c>
      <c r="D488" s="0" t="s">
        <v>104</v>
      </c>
      <c r="E488" s="0" t="str">
        <f>"s1_node_"&amp;D488&amp;"_name"</f>
        <v>s1_node_recruit_name</v>
      </c>
      <c r="F488" s="13" t="str">
        <f>"s1_node_"&amp;D488&amp;"_desc"</f>
        <v>s1_node_recruit_desc</v>
      </c>
      <c r="G488" s="0" t="s">
        <v>615</v>
      </c>
      <c r="H488" s="0">
        <v>2</v>
      </c>
      <c r="I488" s="0" t="s">
        <v>27</v>
      </c>
      <c r="J488" s="0" t="s">
        <v>679</v>
      </c>
      <c r="K488" s="0">
        <v>1560</v>
      </c>
      <c r="L488" s="13">
        <v>3</v>
      </c>
      <c r="M488" s="0">
        <v>39</v>
      </c>
      <c r="N488" s="0">
        <v>6</v>
      </c>
      <c r="T488" s="0" t="str">
        <f>_xlfn.TEXTJOIN("_",TRUE,C488,"node_eff",D488,M488,N488)</f>
        <v>s1_node_eff_recruit_39_6</v>
      </c>
    </row>
    <row r="489" spans="1:20" x14ac:dyDescent="0.45">
      <c r="A489" s="0" t="str">
        <f>_xlfn.TEXTJOIN("_",TRUE,C489,"node",D489,M489,N489)</f>
        <v>s1_node_recruit_40_2</v>
      </c>
      <c r="B489" s="0" t="s">
        <v>0</v>
      </c>
      <c r="C489" s="0" t="s">
        <v>26</v>
      </c>
      <c r="D489" s="0" t="s">
        <v>104</v>
      </c>
      <c r="E489" s="0" t="str">
        <f>"s1_node_"&amp;D489&amp;"_name"</f>
        <v>s1_node_recruit_name</v>
      </c>
      <c r="F489" s="13" t="str">
        <f>"s1_node_"&amp;D489&amp;"_desc"</f>
        <v>s1_node_recruit_desc</v>
      </c>
      <c r="G489" s="0" t="s">
        <v>615</v>
      </c>
      <c r="H489" s="0">
        <v>2</v>
      </c>
      <c r="I489" s="0" t="s">
        <v>27</v>
      </c>
      <c r="J489" s="0" t="s">
        <v>681</v>
      </c>
      <c r="K489" s="0">
        <v>1600</v>
      </c>
      <c r="L489" s="13">
        <v>3</v>
      </c>
      <c r="M489" s="0">
        <v>40</v>
      </c>
      <c r="N489" s="0">
        <v>2</v>
      </c>
      <c r="P489" s="0" t="s">
        <v>682</v>
      </c>
      <c r="T489" s="0" t="str">
        <f>_xlfn.TEXTJOIN("_",TRUE,C489,"node_eff",D489,M489,N489)</f>
        <v>s1_node_eff_recruit_40_2</v>
      </c>
    </row>
    <row r="490" spans="1:20" x14ac:dyDescent="0.45">
      <c r="A490" s="0" t="str">
        <f>_xlfn.TEXTJOIN("_",TRUE,C490,"node",D490,M490,N490)</f>
        <v>s1_node_recruit_40_6</v>
      </c>
      <c r="B490" s="0" t="s">
        <v>0</v>
      </c>
      <c r="C490" s="0" t="s">
        <v>26</v>
      </c>
      <c r="D490" s="0" t="s">
        <v>104</v>
      </c>
      <c r="E490" s="0" t="str">
        <f>"s1_node_"&amp;D490&amp;"_name"</f>
        <v>s1_node_recruit_name</v>
      </c>
      <c r="F490" s="13" t="str">
        <f>"s1_node_"&amp;D490&amp;"_desc"</f>
        <v>s1_node_recruit_desc</v>
      </c>
      <c r="G490" s="0" t="s">
        <v>615</v>
      </c>
      <c r="H490" s="0">
        <v>2</v>
      </c>
      <c r="I490" s="0" t="s">
        <v>27</v>
      </c>
      <c r="J490" s="0" t="s">
        <v>681</v>
      </c>
      <c r="K490" s="0">
        <v>1600</v>
      </c>
      <c r="L490" s="13">
        <v>3</v>
      </c>
      <c r="M490" s="0">
        <v>40</v>
      </c>
      <c r="N490" s="0">
        <v>6</v>
      </c>
      <c r="P490" s="0" t="s">
        <v>683</v>
      </c>
      <c r="T490" s="0" t="str">
        <f>_xlfn.TEXTJOIN("_",TRUE,C490,"node_eff",D490,M490,N490)</f>
        <v>s1_node_eff_recruit_40_6</v>
      </c>
    </row>
    <row r="491" spans="1:20" x14ac:dyDescent="0.45">
      <c r="A491" s="0" t="str">
        <f>_xlfn.TEXTJOIN("_",TRUE,C491,"node",D491,M491,N491)</f>
        <v>s1_node_recruit_41_4</v>
      </c>
      <c r="B491" s="0" t="s">
        <v>0</v>
      </c>
      <c r="C491" s="0" t="s">
        <v>26</v>
      </c>
      <c r="D491" s="0" t="s">
        <v>104</v>
      </c>
      <c r="E491" s="0" t="str">
        <f>"s1_node_"&amp;D491&amp;"_name"</f>
        <v>s1_node_recruit_name</v>
      </c>
      <c r="F491" s="13" t="str">
        <f>"s1_node_"&amp;D491&amp;"_desc"</f>
        <v>s1_node_recruit_desc</v>
      </c>
      <c r="G491" s="0" t="s">
        <v>422</v>
      </c>
      <c r="H491" s="0">
        <v>3</v>
      </c>
      <c r="I491" s="0" t="s">
        <v>27</v>
      </c>
      <c r="J491" s="0" t="s">
        <v>265</v>
      </c>
      <c r="K491" s="0">
        <v>1640</v>
      </c>
      <c r="L491" s="13">
        <v>3</v>
      </c>
      <c r="M491" s="0">
        <v>41</v>
      </c>
      <c r="N491" s="0">
        <v>4</v>
      </c>
      <c r="P491" s="0" t="s">
        <v>684</v>
      </c>
      <c r="T491" s="0" t="str">
        <f>_xlfn.TEXTJOIN("_",TRUE,C491,"node_eff",D491,M491,N491)</f>
        <v>s1_node_eff_recruit_41_4</v>
      </c>
    </row>
    <row r="492" spans="1:20" x14ac:dyDescent="0.45">
      <c r="A492" s="0" t="str">
        <f>_xlfn.TEXTJOIN("_",TRUE,C492,"node",D492,M492,N492)</f>
        <v>s1_node_recruit_42_2</v>
      </c>
      <c r="B492" s="0" t="s">
        <v>0</v>
      </c>
      <c r="C492" s="0" t="s">
        <v>26</v>
      </c>
      <c r="D492" s="0" t="s">
        <v>104</v>
      </c>
      <c r="E492" s="0" t="str">
        <f>"s1_node_"&amp;D492&amp;"_name"</f>
        <v>s1_node_recruit_name</v>
      </c>
      <c r="F492" s="13" t="str">
        <f>"s1_node_"&amp;D492&amp;"_desc"</f>
        <v>s1_node_recruit_desc</v>
      </c>
      <c r="G492" s="0" t="s">
        <v>422</v>
      </c>
      <c r="H492" s="0">
        <v>3</v>
      </c>
      <c r="I492" s="0" t="s">
        <v>27</v>
      </c>
      <c r="J492" s="0" t="s">
        <v>268</v>
      </c>
      <c r="K492" s="0">
        <v>1680</v>
      </c>
      <c r="L492" s="13">
        <v>3</v>
      </c>
      <c r="M492" s="0">
        <v>42</v>
      </c>
      <c r="N492" s="0">
        <v>2</v>
      </c>
      <c r="T492" s="0" t="str">
        <f>_xlfn.TEXTJOIN("_",TRUE,C492,"node_eff",D492,M492,N492)</f>
        <v>s1_node_eff_recruit_42_2</v>
      </c>
    </row>
    <row r="493" spans="1:20" x14ac:dyDescent="0.45">
      <c r="A493" s="0" t="str">
        <f>_xlfn.TEXTJOIN("_",TRUE,C493,"node",D493,M493,N493)</f>
        <v>s1_node_recruit_42_4</v>
      </c>
      <c r="B493" s="0" t="s">
        <v>0</v>
      </c>
      <c r="C493" s="0" t="s">
        <v>26</v>
      </c>
      <c r="D493" s="0" t="s">
        <v>104</v>
      </c>
      <c r="E493" s="0" t="str">
        <f>"s1_node_"&amp;D493&amp;"_name"</f>
        <v>s1_node_recruit_name</v>
      </c>
      <c r="F493" s="13" t="str">
        <f>"s1_node_"&amp;D493&amp;"_desc"</f>
        <v>s1_node_recruit_desc</v>
      </c>
      <c r="G493" s="0" t="s">
        <v>422</v>
      </c>
      <c r="H493" s="0">
        <v>3</v>
      </c>
      <c r="I493" s="0" t="s">
        <v>27</v>
      </c>
      <c r="J493" s="0" t="s">
        <v>268</v>
      </c>
      <c r="K493" s="0">
        <v>1680</v>
      </c>
      <c r="L493" s="13">
        <v>3</v>
      </c>
      <c r="M493" s="0">
        <v>42</v>
      </c>
      <c r="N493" s="0">
        <v>4</v>
      </c>
      <c r="T493" s="0" t="str">
        <f>_xlfn.TEXTJOIN("_",TRUE,C493,"node_eff",D493,M493,N493)</f>
        <v>s1_node_eff_recruit_42_4</v>
      </c>
    </row>
    <row r="494" spans="1:20" x14ac:dyDescent="0.45">
      <c r="A494" s="0" t="str">
        <f>_xlfn.TEXTJOIN("_",TRUE,C494,"node",D494,M494,N494)</f>
        <v>s1_node_recruit_42_6</v>
      </c>
      <c r="B494" s="0" t="s">
        <v>0</v>
      </c>
      <c r="C494" s="0" t="s">
        <v>26</v>
      </c>
      <c r="D494" s="0" t="s">
        <v>104</v>
      </c>
      <c r="E494" s="0" t="str">
        <f>"s1_node_"&amp;D494&amp;"_name"</f>
        <v>s1_node_recruit_name</v>
      </c>
      <c r="F494" s="13" t="str">
        <f>"s1_node_"&amp;D494&amp;"_desc"</f>
        <v>s1_node_recruit_desc</v>
      </c>
      <c r="G494" s="0" t="s">
        <v>615</v>
      </c>
      <c r="H494" s="0">
        <v>3</v>
      </c>
      <c r="I494" s="0" t="s">
        <v>27</v>
      </c>
      <c r="J494" s="0" t="s">
        <v>268</v>
      </c>
      <c r="K494" s="0">
        <v>1680</v>
      </c>
      <c r="L494" s="13">
        <v>3</v>
      </c>
      <c r="M494" s="0">
        <v>42</v>
      </c>
      <c r="N494" s="0">
        <v>6</v>
      </c>
      <c r="T494" s="0" t="str">
        <f>_xlfn.TEXTJOIN("_",TRUE,C494,"node_eff",D494,M494,N494)</f>
        <v>s1_node_eff_recruit_42_6</v>
      </c>
    </row>
    <row r="495" spans="1:20" x14ac:dyDescent="0.45">
      <c r="A495" s="0" t="str">
        <f>_xlfn.TEXTJOIN("_",TRUE,C495,"node",D495,M495,N495)</f>
        <v>s1_node_recruit_43_2</v>
      </c>
      <c r="B495" s="0" t="s">
        <v>0</v>
      </c>
      <c r="C495" s="0" t="s">
        <v>26</v>
      </c>
      <c r="D495" s="0" t="s">
        <v>104</v>
      </c>
      <c r="E495" s="0" t="str">
        <f>"s1_node_"&amp;D495&amp;"_name"</f>
        <v>s1_node_recruit_name</v>
      </c>
      <c r="F495" s="13" t="str">
        <f>"s1_node_"&amp;D495&amp;"_desc"</f>
        <v>s1_node_recruit_desc</v>
      </c>
      <c r="G495" s="0" t="s">
        <v>615</v>
      </c>
      <c r="H495" s="0">
        <v>3</v>
      </c>
      <c r="I495" s="0" t="s">
        <v>27</v>
      </c>
      <c r="J495" s="0" t="s">
        <v>270</v>
      </c>
      <c r="K495" s="0">
        <v>1710</v>
      </c>
      <c r="L495" s="13">
        <v>3</v>
      </c>
      <c r="M495" s="0">
        <v>43</v>
      </c>
      <c r="N495" s="0">
        <v>2</v>
      </c>
      <c r="P495" s="0" t="s">
        <v>685</v>
      </c>
      <c r="T495" s="0" t="str">
        <f>_xlfn.TEXTJOIN("_",TRUE,C495,"node_eff",D495,M495,N495)</f>
        <v>s1_node_eff_recruit_43_2</v>
      </c>
    </row>
    <row r="496" spans="1:20" x14ac:dyDescent="0.45">
      <c r="A496" s="0" t="str">
        <f>_xlfn.TEXTJOIN("_",TRUE,C496,"node",D496,M496,N496)</f>
        <v>s1_node_recruit_43_6</v>
      </c>
      <c r="B496" s="0" t="s">
        <v>0</v>
      </c>
      <c r="C496" s="0" t="s">
        <v>26</v>
      </c>
      <c r="D496" s="0" t="s">
        <v>104</v>
      </c>
      <c r="E496" s="0" t="str">
        <f>"s1_node_"&amp;D496&amp;"_name"</f>
        <v>s1_node_recruit_name</v>
      </c>
      <c r="F496" s="13" t="str">
        <f>"s1_node_"&amp;D496&amp;"_desc"</f>
        <v>s1_node_recruit_desc</v>
      </c>
      <c r="G496" s="0" t="s">
        <v>615</v>
      </c>
      <c r="H496" s="0">
        <v>3</v>
      </c>
      <c r="I496" s="0" t="s">
        <v>27</v>
      </c>
      <c r="J496" s="0" t="s">
        <v>270</v>
      </c>
      <c r="K496" s="0">
        <v>1710</v>
      </c>
      <c r="L496" s="13">
        <v>3</v>
      </c>
      <c r="M496" s="0">
        <v>43</v>
      </c>
      <c r="N496" s="0">
        <v>6</v>
      </c>
      <c r="P496" s="0" t="s">
        <v>686</v>
      </c>
      <c r="T496" s="0" t="str">
        <f>_xlfn.TEXTJOIN("_",TRUE,C496,"node_eff",D496,M496,N496)</f>
        <v>s1_node_eff_recruit_43_6</v>
      </c>
    </row>
    <row r="497" spans="1:20" x14ac:dyDescent="0.45">
      <c r="A497" s="0" t="str">
        <f>_xlfn.TEXTJOIN("_",TRUE,C497,"node",D497,M497,N497)</f>
        <v>s1_node_recruit_44_2</v>
      </c>
      <c r="B497" s="0" t="s">
        <v>0</v>
      </c>
      <c r="C497" s="0" t="s">
        <v>26</v>
      </c>
      <c r="D497" s="0" t="s">
        <v>104</v>
      </c>
      <c r="E497" s="0" t="str">
        <f>"s1_node_"&amp;D497&amp;"_name"</f>
        <v>s1_node_recruit_name</v>
      </c>
      <c r="F497" s="13" t="str">
        <f>"s1_node_"&amp;D497&amp;"_desc"</f>
        <v>s1_node_recruit_desc</v>
      </c>
      <c r="G497" s="0" t="s">
        <v>615</v>
      </c>
      <c r="H497" s="0">
        <v>3</v>
      </c>
      <c r="I497" s="0" t="s">
        <v>27</v>
      </c>
      <c r="J497" s="0" t="s">
        <v>273</v>
      </c>
      <c r="K497" s="0">
        <v>1750</v>
      </c>
      <c r="L497" s="13">
        <v>3</v>
      </c>
      <c r="M497" s="0">
        <v>44</v>
      </c>
      <c r="N497" s="0">
        <v>2</v>
      </c>
      <c r="T497" s="0" t="str">
        <f>_xlfn.TEXTJOIN("_",TRUE,C497,"node_eff",D497,M497,N497)</f>
        <v>s1_node_eff_recruit_44_2</v>
      </c>
    </row>
    <row r="498" spans="1:20" x14ac:dyDescent="0.45">
      <c r="A498" s="0" t="str">
        <f>_xlfn.TEXTJOIN("_",TRUE,C498,"node",D498,M498,N498)</f>
        <v>s1_node_recruit_44_4</v>
      </c>
      <c r="B498" s="0" t="s">
        <v>0</v>
      </c>
      <c r="C498" s="0" t="s">
        <v>26</v>
      </c>
      <c r="D498" s="0" t="s">
        <v>104</v>
      </c>
      <c r="E498" s="0" t="str">
        <f>"s1_node_"&amp;D498&amp;"_name"</f>
        <v>s1_node_recruit_name</v>
      </c>
      <c r="F498" s="13" t="str">
        <f>"s1_node_"&amp;D498&amp;"_desc"</f>
        <v>s1_node_recruit_desc</v>
      </c>
      <c r="G498" s="0" t="s">
        <v>422</v>
      </c>
      <c r="H498" s="0">
        <v>3</v>
      </c>
      <c r="I498" s="0" t="s">
        <v>27</v>
      </c>
      <c r="J498" s="0" t="s">
        <v>273</v>
      </c>
      <c r="K498" s="0">
        <v>1750</v>
      </c>
      <c r="L498" s="13">
        <v>3</v>
      </c>
      <c r="M498" s="0">
        <v>44</v>
      </c>
      <c r="N498" s="0">
        <v>4</v>
      </c>
      <c r="P498" s="0" t="s">
        <v>687</v>
      </c>
      <c r="T498" s="0" t="str">
        <f>_xlfn.TEXTJOIN("_",TRUE,C498,"node_eff",D498,M498,N498)</f>
        <v>s1_node_eff_recruit_44_4</v>
      </c>
    </row>
    <row r="499" spans="1:20" x14ac:dyDescent="0.45">
      <c r="A499" s="0" t="str">
        <f>_xlfn.TEXTJOIN("_",TRUE,C499,"node",D499,M499,N499)</f>
        <v>s1_node_recruit_44_6</v>
      </c>
      <c r="B499" s="0" t="s">
        <v>0</v>
      </c>
      <c r="C499" s="0" t="s">
        <v>26</v>
      </c>
      <c r="D499" s="0" t="s">
        <v>104</v>
      </c>
      <c r="E499" s="0" t="str">
        <f>"s1_node_"&amp;D499&amp;"_name"</f>
        <v>s1_node_recruit_name</v>
      </c>
      <c r="F499" s="13" t="str">
        <f>"s1_node_"&amp;D499&amp;"_desc"</f>
        <v>s1_node_recruit_desc</v>
      </c>
      <c r="G499" s="0" t="s">
        <v>422</v>
      </c>
      <c r="H499" s="0">
        <v>3</v>
      </c>
      <c r="I499" s="0" t="s">
        <v>27</v>
      </c>
      <c r="J499" s="0" t="s">
        <v>273</v>
      </c>
      <c r="K499" s="0">
        <v>1750</v>
      </c>
      <c r="L499" s="13">
        <v>3</v>
      </c>
      <c r="M499" s="0">
        <v>44</v>
      </c>
      <c r="N499" s="0">
        <v>6</v>
      </c>
      <c r="T499" s="0" t="str">
        <f>_xlfn.TEXTJOIN("_",TRUE,C499,"node_eff",D499,M499,N499)</f>
        <v>s1_node_eff_recruit_44_6</v>
      </c>
    </row>
    <row r="500" spans="1:20" x14ac:dyDescent="0.45">
      <c r="A500" s="0" t="str">
        <f>_xlfn.TEXTJOIN("_",TRUE,C500,"node",D500,M500,N500)</f>
        <v>s1_node_recruit_45_2</v>
      </c>
      <c r="B500" s="0" t="s">
        <v>0</v>
      </c>
      <c r="C500" s="0" t="s">
        <v>26</v>
      </c>
      <c r="D500" s="0" t="s">
        <v>104</v>
      </c>
      <c r="E500" s="0" t="str">
        <f>"s1_node_"&amp;D500&amp;"_name"</f>
        <v>s1_node_recruit_name</v>
      </c>
      <c r="F500" s="13" t="str">
        <f>"s1_node_"&amp;D500&amp;"_desc"</f>
        <v>s1_node_recruit_desc</v>
      </c>
      <c r="G500" s="0" t="s">
        <v>422</v>
      </c>
      <c r="H500" s="0">
        <v>3</v>
      </c>
      <c r="I500" s="0" t="s">
        <v>27</v>
      </c>
      <c r="J500" s="0" t="s">
        <v>507</v>
      </c>
      <c r="K500" s="0">
        <v>1790</v>
      </c>
      <c r="L500" s="13">
        <v>3</v>
      </c>
      <c r="M500" s="0">
        <v>45</v>
      </c>
      <c r="N500" s="0">
        <v>2</v>
      </c>
      <c r="P500" s="0" t="s">
        <v>688</v>
      </c>
      <c r="T500" s="0" t="str">
        <f>_xlfn.TEXTJOIN("_",TRUE,C500,"node_eff",D500,M500,N500)</f>
        <v>s1_node_eff_recruit_45_2</v>
      </c>
    </row>
    <row r="501" spans="1:20" x14ac:dyDescent="0.45">
      <c r="A501" s="0" t="str">
        <f>_xlfn.TEXTJOIN("_",TRUE,C501,"node",D501,M501,N501)</f>
        <v>s1_node_recruit_45_6</v>
      </c>
      <c r="B501" s="0" t="s">
        <v>0</v>
      </c>
      <c r="C501" s="0" t="s">
        <v>26</v>
      </c>
      <c r="D501" s="0" t="s">
        <v>104</v>
      </c>
      <c r="E501" s="0" t="str">
        <f>"s1_node_"&amp;D501&amp;"_name"</f>
        <v>s1_node_recruit_name</v>
      </c>
      <c r="F501" s="13" t="str">
        <f>"s1_node_"&amp;D501&amp;"_desc"</f>
        <v>s1_node_recruit_desc</v>
      </c>
      <c r="G501" s="0" t="s">
        <v>615</v>
      </c>
      <c r="H501" s="0">
        <v>3</v>
      </c>
      <c r="I501" s="0" t="s">
        <v>27</v>
      </c>
      <c r="J501" s="0" t="s">
        <v>507</v>
      </c>
      <c r="K501" s="0">
        <v>1790</v>
      </c>
      <c r="L501" s="13">
        <v>3</v>
      </c>
      <c r="M501" s="0">
        <v>45</v>
      </c>
      <c r="N501" s="0">
        <v>6</v>
      </c>
      <c r="P501" s="0" t="s">
        <v>689</v>
      </c>
      <c r="T501" s="0" t="str">
        <f>_xlfn.TEXTJOIN("_",TRUE,C501,"node_eff",D501,M501,N501)</f>
        <v>s1_node_eff_recruit_45_6</v>
      </c>
    </row>
    <row r="502" spans="1:20" x14ac:dyDescent="0.45">
      <c r="A502" s="0" t="str">
        <f>_xlfn.TEXTJOIN("_",TRUE,C502,"node",D502,M502,N502)</f>
        <v>s1_node_recruit_46_4</v>
      </c>
      <c r="B502" s="0" t="s">
        <v>0</v>
      </c>
      <c r="C502" s="0" t="s">
        <v>26</v>
      </c>
      <c r="D502" s="0" t="s">
        <v>104</v>
      </c>
      <c r="E502" s="0" t="str">
        <f>"s1_node_"&amp;D502&amp;"_name"</f>
        <v>s1_node_recruit_name</v>
      </c>
      <c r="F502" s="13" t="str">
        <f>"s1_node_"&amp;D502&amp;"_desc"</f>
        <v>s1_node_recruit_desc</v>
      </c>
      <c r="G502" s="0" t="s">
        <v>615</v>
      </c>
      <c r="H502" s="0">
        <v>3</v>
      </c>
      <c r="I502" s="0" t="s">
        <v>27</v>
      </c>
      <c r="J502" s="0" t="s">
        <v>510</v>
      </c>
      <c r="K502" s="0">
        <v>1830</v>
      </c>
      <c r="L502" s="13">
        <v>3</v>
      </c>
      <c r="M502" s="0">
        <v>46</v>
      </c>
      <c r="N502" s="0">
        <v>4</v>
      </c>
      <c r="P502" s="0" t="s">
        <v>690</v>
      </c>
      <c r="T502" s="0" t="str">
        <f>_xlfn.TEXTJOIN("_",TRUE,C502,"node_eff",D502,M502,N502)</f>
        <v>s1_node_eff_recruit_46_4</v>
      </c>
    </row>
    <row r="503" spans="1:20" x14ac:dyDescent="0.45">
      <c r="A503" s="0" t="str">
        <f>_xlfn.TEXTJOIN("_",TRUE,C503,"node",D503,M503,N503)</f>
        <v>s1_node_recruit_47_2</v>
      </c>
      <c r="B503" s="0" t="s">
        <v>0</v>
      </c>
      <c r="C503" s="0" t="s">
        <v>26</v>
      </c>
      <c r="D503" s="0" t="s">
        <v>104</v>
      </c>
      <c r="E503" s="0" t="str">
        <f>"s1_node_"&amp;D503&amp;"_name"</f>
        <v>s1_node_recruit_name</v>
      </c>
      <c r="F503" s="13" t="str">
        <f>"s1_node_"&amp;D503&amp;"_desc"</f>
        <v>s1_node_recruit_desc</v>
      </c>
      <c r="G503" s="0" t="s">
        <v>615</v>
      </c>
      <c r="H503" s="0">
        <v>3</v>
      </c>
      <c r="I503" s="0" t="s">
        <v>27</v>
      </c>
      <c r="J503" s="0" t="s">
        <v>512</v>
      </c>
      <c r="K503" s="0">
        <v>1860</v>
      </c>
      <c r="L503" s="13">
        <v>3</v>
      </c>
      <c r="M503" s="0">
        <v>47</v>
      </c>
      <c r="N503" s="0">
        <v>2</v>
      </c>
      <c r="T503" s="0" t="str">
        <f>_xlfn.TEXTJOIN("_",TRUE,C503,"node_eff",D503,M503,N503)</f>
        <v>s1_node_eff_recruit_47_2</v>
      </c>
    </row>
    <row r="504" spans="1:20" x14ac:dyDescent="0.45">
      <c r="A504" s="0" t="str">
        <f>_xlfn.TEXTJOIN("_",TRUE,C504,"node",D504,M504,N504)</f>
        <v>s1_node_recruit_47_4</v>
      </c>
      <c r="B504" s="0" t="s">
        <v>0</v>
      </c>
      <c r="C504" s="0" t="s">
        <v>26</v>
      </c>
      <c r="D504" s="0" t="s">
        <v>104</v>
      </c>
      <c r="E504" s="0" t="str">
        <f>"s1_node_"&amp;D504&amp;"_name"</f>
        <v>s1_node_recruit_name</v>
      </c>
      <c r="F504" s="13" t="str">
        <f>"s1_node_"&amp;D504&amp;"_desc"</f>
        <v>s1_node_recruit_desc</v>
      </c>
      <c r="G504" s="0" t="s">
        <v>615</v>
      </c>
      <c r="H504" s="0">
        <v>3</v>
      </c>
      <c r="I504" s="0" t="s">
        <v>27</v>
      </c>
      <c r="J504" s="0" t="s">
        <v>512</v>
      </c>
      <c r="K504" s="0">
        <v>1860</v>
      </c>
      <c r="L504" s="13">
        <v>3</v>
      </c>
      <c r="M504" s="0">
        <v>47</v>
      </c>
      <c r="N504" s="0">
        <v>4</v>
      </c>
      <c r="T504" s="0" t="str">
        <f>_xlfn.TEXTJOIN("_",TRUE,C504,"node_eff",D504,M504,N504)</f>
        <v>s1_node_eff_recruit_47_4</v>
      </c>
    </row>
    <row r="505" spans="1:20" x14ac:dyDescent="0.45">
      <c r="A505" s="0" t="str">
        <f>_xlfn.TEXTJOIN("_",TRUE,C505,"node",D505,M505,N505)</f>
        <v>s1_node_recruit_47_6</v>
      </c>
      <c r="B505" s="0" t="s">
        <v>0</v>
      </c>
      <c r="C505" s="0" t="s">
        <v>26</v>
      </c>
      <c r="D505" s="0" t="s">
        <v>104</v>
      </c>
      <c r="E505" s="0" t="str">
        <f>"s1_node_"&amp;D505&amp;"_name"</f>
        <v>s1_node_recruit_name</v>
      </c>
      <c r="F505" s="13" t="str">
        <f>"s1_node_"&amp;D505&amp;"_desc"</f>
        <v>s1_node_recruit_desc</v>
      </c>
      <c r="G505" s="0" t="s">
        <v>422</v>
      </c>
      <c r="H505" s="0">
        <v>3</v>
      </c>
      <c r="I505" s="0" t="s">
        <v>27</v>
      </c>
      <c r="J505" s="0" t="s">
        <v>512</v>
      </c>
      <c r="K505" s="0">
        <v>1860</v>
      </c>
      <c r="L505" s="13">
        <v>3</v>
      </c>
      <c r="M505" s="0">
        <v>47</v>
      </c>
      <c r="N505" s="0">
        <v>6</v>
      </c>
      <c r="T505" s="0" t="str">
        <f>_xlfn.TEXTJOIN("_",TRUE,C505,"node_eff",D505,M505,N505)</f>
        <v>s1_node_eff_recruit_47_6</v>
      </c>
    </row>
    <row r="506" spans="1:20" x14ac:dyDescent="0.45">
      <c r="A506" s="0" t="str">
        <f>_xlfn.TEXTJOIN("_",TRUE,C506,"node",D506,M506,N506)</f>
        <v>s1_node_recruit_48_2</v>
      </c>
      <c r="B506" s="0" t="s">
        <v>0</v>
      </c>
      <c r="C506" s="0" t="s">
        <v>26</v>
      </c>
      <c r="D506" s="0" t="s">
        <v>104</v>
      </c>
      <c r="E506" s="0" t="str">
        <f>"s1_node_"&amp;D506&amp;"_name"</f>
        <v>s1_node_recruit_name</v>
      </c>
      <c r="F506" s="13" t="str">
        <f>"s1_node_"&amp;D506&amp;"_desc"</f>
        <v>s1_node_recruit_desc</v>
      </c>
      <c r="G506" s="0" t="s">
        <v>422</v>
      </c>
      <c r="H506" s="0">
        <v>3</v>
      </c>
      <c r="I506" s="0" t="s">
        <v>27</v>
      </c>
      <c r="J506" s="0" t="s">
        <v>515</v>
      </c>
      <c r="K506" s="0">
        <v>1900</v>
      </c>
      <c r="L506" s="13">
        <v>3</v>
      </c>
      <c r="M506" s="0">
        <v>48</v>
      </c>
      <c r="N506" s="0">
        <v>2</v>
      </c>
      <c r="P506" s="0" t="s">
        <v>691</v>
      </c>
      <c r="T506" s="0" t="str">
        <f>_xlfn.TEXTJOIN("_",TRUE,C506,"node_eff",D506,M506,N506)</f>
        <v>s1_node_eff_recruit_48_2</v>
      </c>
    </row>
    <row r="507" spans="1:20" x14ac:dyDescent="0.45">
      <c r="A507" s="0" t="str">
        <f>_xlfn.TEXTJOIN("_",TRUE,C507,"node",D507,M507,N507)</f>
        <v>s1_node_recruit_48_6</v>
      </c>
      <c r="B507" s="0" t="s">
        <v>0</v>
      </c>
      <c r="C507" s="0" t="s">
        <v>26</v>
      </c>
      <c r="D507" s="0" t="s">
        <v>104</v>
      </c>
      <c r="E507" s="0" t="str">
        <f>"s1_node_"&amp;D507&amp;"_name"</f>
        <v>s1_node_recruit_name</v>
      </c>
      <c r="F507" s="13" t="str">
        <f>"s1_node_"&amp;D507&amp;"_desc"</f>
        <v>s1_node_recruit_desc</v>
      </c>
      <c r="G507" s="0" t="s">
        <v>422</v>
      </c>
      <c r="H507" s="0">
        <v>3</v>
      </c>
      <c r="I507" s="0" t="s">
        <v>27</v>
      </c>
      <c r="J507" s="0" t="s">
        <v>515</v>
      </c>
      <c r="K507" s="0">
        <v>1900</v>
      </c>
      <c r="L507" s="13">
        <v>3</v>
      </c>
      <c r="M507" s="0">
        <v>48</v>
      </c>
      <c r="N507" s="0">
        <v>6</v>
      </c>
      <c r="P507" s="0" t="s">
        <v>692</v>
      </c>
      <c r="T507" s="0" t="str">
        <f>_xlfn.TEXTJOIN("_",TRUE,C507,"node_eff",D507,M507,N507)</f>
        <v>s1_node_eff_recruit_48_6</v>
      </c>
    </row>
    <row r="508" spans="1:20" x14ac:dyDescent="0.45">
      <c r="A508" s="0" t="str">
        <f>_xlfn.TEXTJOIN("_",TRUE,C508,"node",D508,M508,N508)</f>
        <v>s1_node_recruit_49_2</v>
      </c>
      <c r="B508" s="0" t="s">
        <v>0</v>
      </c>
      <c r="C508" s="0" t="s">
        <v>26</v>
      </c>
      <c r="D508" s="0" t="s">
        <v>104</v>
      </c>
      <c r="E508" s="0" t="str">
        <f>"s1_node_"&amp;D508&amp;"_name"</f>
        <v>s1_node_recruit_name</v>
      </c>
      <c r="F508" s="13" t="str">
        <f>"s1_node_"&amp;D508&amp;"_desc"</f>
        <v>s1_node_recruit_desc</v>
      </c>
      <c r="G508" s="0" t="s">
        <v>615</v>
      </c>
      <c r="H508" s="0">
        <v>3</v>
      </c>
      <c r="I508" s="0" t="s">
        <v>27</v>
      </c>
      <c r="J508" s="0" t="s">
        <v>693</v>
      </c>
      <c r="K508" s="0">
        <v>1940</v>
      </c>
      <c r="L508" s="13">
        <v>3</v>
      </c>
      <c r="M508" s="0">
        <v>49</v>
      </c>
      <c r="N508" s="0">
        <v>2</v>
      </c>
      <c r="T508" s="0" t="str">
        <f>_xlfn.TEXTJOIN("_",TRUE,C508,"node_eff",D508,M508,N508)</f>
        <v>s1_node_eff_recruit_49_2</v>
      </c>
    </row>
    <row r="509" spans="1:20" x14ac:dyDescent="0.45">
      <c r="A509" s="0" t="str">
        <f>_xlfn.TEXTJOIN("_",TRUE,C509,"node",D509,M509,N509)</f>
        <v>s1_node_recruit_49_4</v>
      </c>
      <c r="B509" s="0" t="s">
        <v>0</v>
      </c>
      <c r="C509" s="0" t="s">
        <v>26</v>
      </c>
      <c r="D509" s="0" t="s">
        <v>104</v>
      </c>
      <c r="E509" s="0" t="str">
        <f>"s1_node_"&amp;D509&amp;"_name"</f>
        <v>s1_node_recruit_name</v>
      </c>
      <c r="F509" s="13" t="str">
        <f>"s1_node_"&amp;D509&amp;"_desc"</f>
        <v>s1_node_recruit_desc</v>
      </c>
      <c r="G509" s="0" t="s">
        <v>615</v>
      </c>
      <c r="H509" s="0">
        <v>3</v>
      </c>
      <c r="I509" s="0" t="s">
        <v>27</v>
      </c>
      <c r="J509" s="0" t="s">
        <v>693</v>
      </c>
      <c r="K509" s="0">
        <v>1940</v>
      </c>
      <c r="L509" s="13">
        <v>3</v>
      </c>
      <c r="M509" s="0">
        <v>49</v>
      </c>
      <c r="N509" s="0">
        <v>4</v>
      </c>
      <c r="P509" s="0" t="s">
        <v>694</v>
      </c>
      <c r="T509" s="0" t="str">
        <f>_xlfn.TEXTJOIN("_",TRUE,C509,"node_eff",D509,M509,N509)</f>
        <v>s1_node_eff_recruit_49_4</v>
      </c>
    </row>
    <row r="510" spans="1:20" x14ac:dyDescent="0.45">
      <c r="A510" s="0" t="str">
        <f>_xlfn.TEXTJOIN("_",TRUE,C510,"node",D510,M510,N510)</f>
        <v>s1_node_recruit_49_6</v>
      </c>
      <c r="B510" s="0" t="s">
        <v>0</v>
      </c>
      <c r="C510" s="0" t="s">
        <v>26</v>
      </c>
      <c r="D510" s="0" t="s">
        <v>104</v>
      </c>
      <c r="E510" s="0" t="str">
        <f>"s1_node_"&amp;D510&amp;"_name"</f>
        <v>s1_node_recruit_name</v>
      </c>
      <c r="F510" s="13" t="str">
        <f>"s1_node_"&amp;D510&amp;"_desc"</f>
        <v>s1_node_recruit_desc</v>
      </c>
      <c r="G510" s="0" t="s">
        <v>615</v>
      </c>
      <c r="H510" s="0">
        <v>3</v>
      </c>
      <c r="I510" s="0" t="s">
        <v>27</v>
      </c>
      <c r="J510" s="0" t="s">
        <v>693</v>
      </c>
      <c r="K510" s="0">
        <v>1940</v>
      </c>
      <c r="L510" s="13">
        <v>3</v>
      </c>
      <c r="M510" s="0">
        <v>49</v>
      </c>
      <c r="N510" s="0">
        <v>6</v>
      </c>
      <c r="T510" s="0" t="str">
        <f>_xlfn.TEXTJOIN("_",TRUE,C510,"node_eff",D510,M510,N510)</f>
        <v>s1_node_eff_recruit_49_6</v>
      </c>
    </row>
    <row r="511" spans="1:20" x14ac:dyDescent="0.45">
      <c r="A511" s="0" t="str">
        <f>_xlfn.TEXTJOIN("_",TRUE,C511,"node",D511,M511,N511)</f>
        <v>s1_node_recruit_50_2</v>
      </c>
      <c r="B511" s="0" t="s">
        <v>0</v>
      </c>
      <c r="C511" s="0" t="s">
        <v>26</v>
      </c>
      <c r="D511" s="0" t="s">
        <v>104</v>
      </c>
      <c r="E511" s="0" t="str">
        <f>"s1_node_"&amp;D511&amp;"_name"</f>
        <v>s1_node_recruit_name</v>
      </c>
      <c r="F511" s="13" t="str">
        <f>"s1_node_"&amp;D511&amp;"_desc"</f>
        <v>s1_node_recruit_desc</v>
      </c>
      <c r="G511" s="0" t="s">
        <v>615</v>
      </c>
      <c r="H511" s="0">
        <v>3</v>
      </c>
      <c r="I511" s="0" t="s">
        <v>27</v>
      </c>
      <c r="J511" s="0" t="s">
        <v>695</v>
      </c>
      <c r="K511" s="0">
        <v>1980</v>
      </c>
      <c r="L511" s="13">
        <v>3</v>
      </c>
      <c r="M511" s="0">
        <v>50</v>
      </c>
      <c r="N511" s="0">
        <v>2</v>
      </c>
      <c r="P511" s="0" t="s">
        <v>696</v>
      </c>
      <c r="T511" s="0" t="str">
        <f>_xlfn.TEXTJOIN("_",TRUE,C511,"node_eff",D511,M511,N511)</f>
        <v>s1_node_eff_recruit_50_2</v>
      </c>
    </row>
    <row r="512" spans="1:20" x14ac:dyDescent="0.45">
      <c r="A512" s="0" t="str">
        <f>_xlfn.TEXTJOIN("_",TRUE,C512,"node",D512,M512,N512)</f>
        <v>s1_node_recruit_50_6</v>
      </c>
      <c r="B512" s="0" t="s">
        <v>0</v>
      </c>
      <c r="C512" s="0" t="s">
        <v>26</v>
      </c>
      <c r="D512" s="0" t="s">
        <v>104</v>
      </c>
      <c r="E512" s="0" t="str">
        <f>"s1_node_"&amp;D512&amp;"_name"</f>
        <v>s1_node_recruit_name</v>
      </c>
      <c r="F512" s="13" t="str">
        <f>"s1_node_"&amp;D512&amp;"_desc"</f>
        <v>s1_node_recruit_desc</v>
      </c>
      <c r="G512" s="0" t="s">
        <v>422</v>
      </c>
      <c r="H512" s="0">
        <v>3</v>
      </c>
      <c r="I512" s="0" t="s">
        <v>27</v>
      </c>
      <c r="J512" s="0" t="s">
        <v>695</v>
      </c>
      <c r="K512" s="0">
        <v>1980</v>
      </c>
      <c r="L512" s="13">
        <v>3</v>
      </c>
      <c r="M512" s="0">
        <v>50</v>
      </c>
      <c r="N512" s="0">
        <v>6</v>
      </c>
      <c r="P512" s="0" t="s">
        <v>697</v>
      </c>
      <c r="T512" s="0" t="str">
        <f>_xlfn.TEXTJOIN("_",TRUE,C512,"node_eff",D512,M512,N512)</f>
        <v>s1_node_eff_recruit_50_6</v>
      </c>
    </row>
    <row r="513" spans="1:20" x14ac:dyDescent="0.45">
      <c r="A513" s="0" t="str">
        <f>_xlfn.TEXTJOIN("_",TRUE,C513,"node",D513,M513,N513)</f>
        <v>s1_node_recruit_51_4</v>
      </c>
      <c r="B513" s="0" t="s">
        <v>0</v>
      </c>
      <c r="C513" s="0" t="s">
        <v>26</v>
      </c>
      <c r="D513" s="0" t="s">
        <v>104</v>
      </c>
      <c r="E513" s="0" t="str">
        <f>"s1_node_"&amp;D513&amp;"_name"</f>
        <v>s1_node_recruit_name</v>
      </c>
      <c r="F513" s="13" t="str">
        <f>"s1_node_"&amp;D513&amp;"_desc"</f>
        <v>s1_node_recruit_desc</v>
      </c>
      <c r="G513" s="0" t="s">
        <v>422</v>
      </c>
      <c r="H513" s="0">
        <v>3</v>
      </c>
      <c r="I513" s="0" t="s">
        <v>27</v>
      </c>
      <c r="J513" s="0" t="s">
        <v>521</v>
      </c>
      <c r="K513" s="0">
        <v>2010</v>
      </c>
      <c r="L513" s="13">
        <v>3</v>
      </c>
      <c r="M513" s="0">
        <v>51</v>
      </c>
      <c r="N513" s="0">
        <v>4</v>
      </c>
      <c r="P513" s="0" t="s">
        <v>698</v>
      </c>
      <c r="T513" s="0" t="str">
        <f>_xlfn.TEXTJOIN("_",TRUE,C513,"node_eff",D513,M513,N513)</f>
        <v>s1_node_eff_recruit_51_4</v>
      </c>
    </row>
    <row r="514" spans="1:20" x14ac:dyDescent="0.45">
      <c r="A514" s="0" t="str">
        <f>_xlfn.TEXTJOIN("_",TRUE,C514,"node",D514,M514,N514)</f>
        <v>s1_node_recruit_52_2</v>
      </c>
      <c r="B514" s="0" t="s">
        <v>0</v>
      </c>
      <c r="C514" s="0" t="s">
        <v>26</v>
      </c>
      <c r="D514" s="0" t="s">
        <v>104</v>
      </c>
      <c r="E514" s="0" t="str">
        <f>"s1_node_"&amp;D514&amp;"_name"</f>
        <v>s1_node_recruit_name</v>
      </c>
      <c r="F514" s="13" t="str">
        <f>"s1_node_"&amp;D514&amp;"_desc"</f>
        <v>s1_node_recruit_desc</v>
      </c>
      <c r="G514" s="0" t="s">
        <v>422</v>
      </c>
      <c r="H514" s="0">
        <v>3</v>
      </c>
      <c r="I514" s="0" t="s">
        <v>27</v>
      </c>
      <c r="J514" s="0" t="s">
        <v>699</v>
      </c>
      <c r="K514" s="0">
        <v>2050</v>
      </c>
      <c r="L514" s="13">
        <v>3</v>
      </c>
      <c r="M514" s="0">
        <v>52</v>
      </c>
      <c r="N514" s="0">
        <v>2</v>
      </c>
      <c r="T514" s="0" t="str">
        <f>_xlfn.TEXTJOIN("_",TRUE,C514,"node_eff",D514,M514,N514)</f>
        <v>s1_node_eff_recruit_52_2</v>
      </c>
    </row>
    <row r="515" spans="1:20" x14ac:dyDescent="0.45">
      <c r="A515" s="0" t="str">
        <f>_xlfn.TEXTJOIN("_",TRUE,C515,"node",D515,M515,N515)</f>
        <v>s1_node_recruit_52_4</v>
      </c>
      <c r="B515" s="0" t="s">
        <v>0</v>
      </c>
      <c r="C515" s="0" t="s">
        <v>26</v>
      </c>
      <c r="D515" s="0" t="s">
        <v>104</v>
      </c>
      <c r="E515" s="0" t="str">
        <f>"s1_node_"&amp;D515&amp;"_name"</f>
        <v>s1_node_recruit_name</v>
      </c>
      <c r="F515" s="13" t="str">
        <f>"s1_node_"&amp;D515&amp;"_desc"</f>
        <v>s1_node_recruit_desc</v>
      </c>
      <c r="G515" s="0" t="s">
        <v>615</v>
      </c>
      <c r="H515" s="0">
        <v>3</v>
      </c>
      <c r="I515" s="0" t="s">
        <v>27</v>
      </c>
      <c r="J515" s="0" t="s">
        <v>699</v>
      </c>
      <c r="K515" s="0">
        <v>2050</v>
      </c>
      <c r="L515" s="13">
        <v>3</v>
      </c>
      <c r="M515" s="0">
        <v>52</v>
      </c>
      <c r="N515" s="0">
        <v>4</v>
      </c>
      <c r="T515" s="0" t="str">
        <f>_xlfn.TEXTJOIN("_",TRUE,C515,"node_eff",D515,M515,N515)</f>
        <v>s1_node_eff_recruit_52_4</v>
      </c>
    </row>
    <row r="516" spans="1:20" x14ac:dyDescent="0.45">
      <c r="A516" s="0" t="str">
        <f>_xlfn.TEXTJOIN("_",TRUE,C516,"node",D516,M516,N516)</f>
        <v>s1_node_recruit_52_6</v>
      </c>
      <c r="B516" s="0" t="s">
        <v>0</v>
      </c>
      <c r="C516" s="0" t="s">
        <v>26</v>
      </c>
      <c r="D516" s="0" t="s">
        <v>104</v>
      </c>
      <c r="E516" s="0" t="str">
        <f>"s1_node_"&amp;D516&amp;"_name"</f>
        <v>s1_node_recruit_name</v>
      </c>
      <c r="F516" s="13" t="str">
        <f>"s1_node_"&amp;D516&amp;"_desc"</f>
        <v>s1_node_recruit_desc</v>
      </c>
      <c r="G516" s="0" t="s">
        <v>615</v>
      </c>
      <c r="H516" s="0">
        <v>3</v>
      </c>
      <c r="I516" s="0" t="s">
        <v>27</v>
      </c>
      <c r="J516" s="0" t="s">
        <v>699</v>
      </c>
      <c r="K516" s="0">
        <v>2050</v>
      </c>
      <c r="L516" s="13">
        <v>3</v>
      </c>
      <c r="M516" s="0">
        <v>52</v>
      </c>
      <c r="N516" s="0">
        <v>6</v>
      </c>
      <c r="T516" s="0" t="str">
        <f>_xlfn.TEXTJOIN("_",TRUE,C516,"node_eff",D516,M516,N516)</f>
        <v>s1_node_eff_recruit_52_6</v>
      </c>
    </row>
    <row r="517" spans="1:20" x14ac:dyDescent="0.45">
      <c r="A517" s="0" t="str">
        <f>_xlfn.TEXTJOIN("_",TRUE,C517,"node",D517,M517,N517)</f>
        <v>s1_node_recruit_53_2</v>
      </c>
      <c r="B517" s="0" t="s">
        <v>0</v>
      </c>
      <c r="C517" s="0" t="s">
        <v>26</v>
      </c>
      <c r="D517" s="0" t="s">
        <v>104</v>
      </c>
      <c r="E517" s="0" t="str">
        <f>"s1_node_"&amp;D517&amp;"_name"</f>
        <v>s1_node_recruit_name</v>
      </c>
      <c r="F517" s="13" t="str">
        <f>"s1_node_"&amp;D517&amp;"_desc"</f>
        <v>s1_node_recruit_desc</v>
      </c>
      <c r="G517" s="0" t="s">
        <v>615</v>
      </c>
      <c r="H517" s="0">
        <v>3</v>
      </c>
      <c r="I517" s="0" t="s">
        <v>27</v>
      </c>
      <c r="J517" s="0" t="s">
        <v>700</v>
      </c>
      <c r="K517" s="0">
        <v>2090</v>
      </c>
      <c r="L517" s="13">
        <v>3</v>
      </c>
      <c r="M517" s="0">
        <v>53</v>
      </c>
      <c r="N517" s="0">
        <v>2</v>
      </c>
      <c r="P517" s="0" t="s">
        <v>701</v>
      </c>
      <c r="T517" s="0" t="str">
        <f>_xlfn.TEXTJOIN("_",TRUE,C517,"node_eff",D517,M517,N517)</f>
        <v>s1_node_eff_recruit_53_2</v>
      </c>
    </row>
    <row r="518" spans="1:20" x14ac:dyDescent="0.45">
      <c r="A518" s="0" t="str">
        <f>_xlfn.TEXTJOIN("_",TRUE,C518,"node",D518,M518,N518)</f>
        <v>s1_node_recruit_53_6</v>
      </c>
      <c r="B518" s="0" t="s">
        <v>0</v>
      </c>
      <c r="C518" s="0" t="s">
        <v>26</v>
      </c>
      <c r="D518" s="0" t="s">
        <v>104</v>
      </c>
      <c r="E518" s="0" t="str">
        <f>"s1_node_"&amp;D518&amp;"_name"</f>
        <v>s1_node_recruit_name</v>
      </c>
      <c r="F518" s="13" t="str">
        <f>"s1_node_"&amp;D518&amp;"_desc"</f>
        <v>s1_node_recruit_desc</v>
      </c>
      <c r="G518" s="0" t="s">
        <v>615</v>
      </c>
      <c r="H518" s="0">
        <v>3</v>
      </c>
      <c r="I518" s="0" t="s">
        <v>27</v>
      </c>
      <c r="J518" s="0" t="s">
        <v>700</v>
      </c>
      <c r="K518" s="0">
        <v>2090</v>
      </c>
      <c r="L518" s="13">
        <v>3</v>
      </c>
      <c r="M518" s="0">
        <v>53</v>
      </c>
      <c r="N518" s="0">
        <v>6</v>
      </c>
      <c r="P518" s="0" t="s">
        <v>702</v>
      </c>
      <c r="T518" s="0" t="str">
        <f>_xlfn.TEXTJOIN("_",TRUE,C518,"node_eff",D518,M518,N518)</f>
        <v>s1_node_eff_recruit_53_6</v>
      </c>
    </row>
    <row r="519" spans="1:20" x14ac:dyDescent="0.45">
      <c r="A519" s="0" t="str">
        <f>_xlfn.TEXTJOIN("_",TRUE,C519,"node",D519,M519,N519)</f>
        <v>s1_node_recruit_54_2</v>
      </c>
      <c r="B519" s="0" t="s">
        <v>0</v>
      </c>
      <c r="C519" s="0" t="s">
        <v>26</v>
      </c>
      <c r="D519" s="0" t="s">
        <v>104</v>
      </c>
      <c r="E519" s="0" t="str">
        <f>"s1_node_"&amp;D519&amp;"_name"</f>
        <v>s1_node_recruit_name</v>
      </c>
      <c r="F519" s="13" t="str">
        <f>"s1_node_"&amp;D519&amp;"_desc"</f>
        <v>s1_node_recruit_desc</v>
      </c>
      <c r="G519" s="0" t="s">
        <v>422</v>
      </c>
      <c r="H519" s="0">
        <v>3</v>
      </c>
      <c r="I519" s="0" t="s">
        <v>27</v>
      </c>
      <c r="J519" s="0" t="s">
        <v>304</v>
      </c>
      <c r="K519" s="0">
        <v>2130</v>
      </c>
      <c r="L519" s="13">
        <v>3</v>
      </c>
      <c r="M519" s="0">
        <v>54</v>
      </c>
      <c r="N519" s="0">
        <v>2</v>
      </c>
      <c r="T519" s="0" t="str">
        <f>_xlfn.TEXTJOIN("_",TRUE,C519,"node_eff",D519,M519,N519)</f>
        <v>s1_node_eff_recruit_54_2</v>
      </c>
    </row>
    <row r="520" spans="1:20" x14ac:dyDescent="0.45">
      <c r="A520" s="0" t="str">
        <f>_xlfn.TEXTJOIN("_",TRUE,C520,"node",D520,M520,N520)</f>
        <v>s1_node_recruit_54_4</v>
      </c>
      <c r="B520" s="0" t="s">
        <v>0</v>
      </c>
      <c r="C520" s="0" t="s">
        <v>26</v>
      </c>
      <c r="D520" s="0" t="s">
        <v>104</v>
      </c>
      <c r="E520" s="0" t="str">
        <f>"s1_node_"&amp;D520&amp;"_name"</f>
        <v>s1_node_recruit_name</v>
      </c>
      <c r="F520" s="13" t="str">
        <f>"s1_node_"&amp;D520&amp;"_desc"</f>
        <v>s1_node_recruit_desc</v>
      </c>
      <c r="G520" s="0" t="s">
        <v>422</v>
      </c>
      <c r="H520" s="0">
        <v>3</v>
      </c>
      <c r="I520" s="0" t="s">
        <v>27</v>
      </c>
      <c r="J520" s="0" t="s">
        <v>304</v>
      </c>
      <c r="K520" s="0">
        <v>2130</v>
      </c>
      <c r="L520" s="13">
        <v>3</v>
      </c>
      <c r="M520" s="0">
        <v>54</v>
      </c>
      <c r="N520" s="0">
        <v>4</v>
      </c>
      <c r="P520" s="0" t="s">
        <v>703</v>
      </c>
      <c r="T520" s="0" t="str">
        <f>_xlfn.TEXTJOIN("_",TRUE,C520,"node_eff",D520,M520,N520)</f>
        <v>s1_node_eff_recruit_54_4</v>
      </c>
    </row>
    <row r="521" spans="1:20" x14ac:dyDescent="0.45">
      <c r="A521" s="0" t="str">
        <f>_xlfn.TEXTJOIN("_",TRUE,C521,"node",D521,M521,N521)</f>
        <v>s1_node_recruit_54_6</v>
      </c>
      <c r="B521" s="0" t="s">
        <v>0</v>
      </c>
      <c r="C521" s="0" t="s">
        <v>26</v>
      </c>
      <c r="D521" s="0" t="s">
        <v>104</v>
      </c>
      <c r="E521" s="0" t="str">
        <f>"s1_node_"&amp;D521&amp;"_name"</f>
        <v>s1_node_recruit_name</v>
      </c>
      <c r="F521" s="13" t="str">
        <f>"s1_node_"&amp;D521&amp;"_desc"</f>
        <v>s1_node_recruit_desc</v>
      </c>
      <c r="G521" s="0" t="s">
        <v>422</v>
      </c>
      <c r="H521" s="0">
        <v>3</v>
      </c>
      <c r="I521" s="0" t="s">
        <v>27</v>
      </c>
      <c r="J521" s="0" t="s">
        <v>304</v>
      </c>
      <c r="K521" s="0">
        <v>2130</v>
      </c>
      <c r="L521" s="13">
        <v>3</v>
      </c>
      <c r="M521" s="0">
        <v>54</v>
      </c>
      <c r="N521" s="0">
        <v>6</v>
      </c>
      <c r="T521" s="0" t="str">
        <f>_xlfn.TEXTJOIN("_",TRUE,C521,"node_eff",D521,M521,N521)</f>
        <v>s1_node_eff_recruit_54_6</v>
      </c>
    </row>
    <row r="522" spans="1:20" x14ac:dyDescent="0.45">
      <c r="A522" s="0" t="str">
        <f>_xlfn.TEXTJOIN("_",TRUE,C522,"node",D522,M522,N522)</f>
        <v>s1_node_recruit_55_2</v>
      </c>
      <c r="B522" s="0" t="s">
        <v>0</v>
      </c>
      <c r="C522" s="0" t="s">
        <v>26</v>
      </c>
      <c r="D522" s="0" t="s">
        <v>104</v>
      </c>
      <c r="E522" s="0" t="str">
        <f>"s1_node_"&amp;D522&amp;"_name"</f>
        <v>s1_node_recruit_name</v>
      </c>
      <c r="F522" s="13" t="str">
        <f>"s1_node_"&amp;D522&amp;"_desc"</f>
        <v>s1_node_recruit_desc</v>
      </c>
      <c r="G522" s="0" t="s">
        <v>615</v>
      </c>
      <c r="H522" s="0">
        <v>3</v>
      </c>
      <c r="I522" s="0" t="s">
        <v>27</v>
      </c>
      <c r="J522" s="0" t="s">
        <v>704</v>
      </c>
      <c r="K522" s="0">
        <v>2160</v>
      </c>
      <c r="L522" s="13">
        <v>3</v>
      </c>
      <c r="M522" s="0">
        <v>55</v>
      </c>
      <c r="N522" s="0">
        <v>2</v>
      </c>
      <c r="P522" s="0" t="s">
        <v>705</v>
      </c>
      <c r="T522" s="0" t="str">
        <f>_xlfn.TEXTJOIN("_",TRUE,C522,"node_eff",D522,M522,N522)</f>
        <v>s1_node_eff_recruit_55_2</v>
      </c>
    </row>
    <row r="523" spans="1:20" x14ac:dyDescent="0.45">
      <c r="A523" s="0" t="str">
        <f>_xlfn.TEXTJOIN("_",TRUE,C523,"node",D523,M523,N523)</f>
        <v>s1_node_recruit_55_6</v>
      </c>
      <c r="B523" s="0" t="s">
        <v>0</v>
      </c>
      <c r="C523" s="0" t="s">
        <v>26</v>
      </c>
      <c r="D523" s="0" t="s">
        <v>104</v>
      </c>
      <c r="E523" s="0" t="str">
        <f>"s1_node_"&amp;D523&amp;"_name"</f>
        <v>s1_node_recruit_name</v>
      </c>
      <c r="F523" s="13" t="str">
        <f>"s1_node_"&amp;D523&amp;"_desc"</f>
        <v>s1_node_recruit_desc</v>
      </c>
      <c r="G523" s="0" t="s">
        <v>615</v>
      </c>
      <c r="H523" s="0">
        <v>3</v>
      </c>
      <c r="I523" s="0" t="s">
        <v>27</v>
      </c>
      <c r="J523" s="0" t="s">
        <v>704</v>
      </c>
      <c r="K523" s="0">
        <v>2160</v>
      </c>
      <c r="L523" s="13">
        <v>3</v>
      </c>
      <c r="M523" s="0">
        <v>55</v>
      </c>
      <c r="N523" s="0">
        <v>6</v>
      </c>
      <c r="P523" s="0" t="s">
        <v>706</v>
      </c>
      <c r="T523" s="0" t="str">
        <f>_xlfn.TEXTJOIN("_",TRUE,C523,"node_eff",D523,M523,N523)</f>
        <v>s1_node_eff_recruit_55_6</v>
      </c>
    </row>
    <row r="524" spans="1:20" x14ac:dyDescent="0.45">
      <c r="A524" s="0" t="str">
        <f>_xlfn.TEXTJOIN("_",TRUE,C524,"node",D524,M524,N524)</f>
        <v>s1_node_recruit_56_4</v>
      </c>
      <c r="B524" s="0" t="s">
        <v>0</v>
      </c>
      <c r="C524" s="0" t="s">
        <v>26</v>
      </c>
      <c r="D524" s="0" t="s">
        <v>104</v>
      </c>
      <c r="E524" s="0" t="str">
        <f>"s1_node_"&amp;D524&amp;"_name"</f>
        <v>s1_node_recruit_name</v>
      </c>
      <c r="F524" s="13" t="str">
        <f>"s1_node_"&amp;D524&amp;"_desc"</f>
        <v>s1_node_recruit_desc</v>
      </c>
      <c r="G524" s="0" t="s">
        <v>615</v>
      </c>
      <c r="H524" s="0">
        <v>3</v>
      </c>
      <c r="I524" s="0" t="s">
        <v>27</v>
      </c>
      <c r="J524" s="0" t="s">
        <v>310</v>
      </c>
      <c r="K524" s="0">
        <v>2200</v>
      </c>
      <c r="L524" s="13">
        <v>3</v>
      </c>
      <c r="M524" s="0">
        <v>56</v>
      </c>
      <c r="N524" s="0">
        <v>4</v>
      </c>
      <c r="P524" s="0" t="s">
        <v>707</v>
      </c>
      <c r="T524" s="0" t="str">
        <f>_xlfn.TEXTJOIN("_",TRUE,C524,"node_eff",D524,M524,N524)</f>
        <v>s1_node_eff_recruit_56_4</v>
      </c>
    </row>
    <row r="525" spans="1:20" x14ac:dyDescent="0.45">
      <c r="A525" s="0" t="str">
        <f>_xlfn.TEXTJOIN("_",TRUE,C525,"node",D525,M525,N525)</f>
        <v>s1_node_recruit_57_2</v>
      </c>
      <c r="B525" s="0" t="s">
        <v>0</v>
      </c>
      <c r="C525" s="0" t="s">
        <v>26</v>
      </c>
      <c r="D525" s="0" t="s">
        <v>104</v>
      </c>
      <c r="E525" s="0" t="str">
        <f>"s1_node_"&amp;D525&amp;"_name"</f>
        <v>s1_node_recruit_name</v>
      </c>
      <c r="F525" s="13" t="str">
        <f>"s1_node_"&amp;D525&amp;"_desc"</f>
        <v>s1_node_recruit_desc</v>
      </c>
      <c r="G525" s="0" t="s">
        <v>615</v>
      </c>
      <c r="H525" s="0">
        <v>3</v>
      </c>
      <c r="I525" s="0" t="s">
        <v>27</v>
      </c>
      <c r="J525" s="0" t="s">
        <v>708</v>
      </c>
      <c r="K525" s="0">
        <v>2240</v>
      </c>
      <c r="L525" s="13">
        <v>3</v>
      </c>
      <c r="M525" s="0">
        <v>57</v>
      </c>
      <c r="N525" s="0">
        <v>2</v>
      </c>
      <c r="T525" s="0" t="str">
        <f>_xlfn.TEXTJOIN("_",TRUE,C525,"node_eff",D525,M525,N525)</f>
        <v>s1_node_eff_recruit_57_2</v>
      </c>
    </row>
    <row r="526" spans="1:20" x14ac:dyDescent="0.45">
      <c r="A526" s="0" t="str">
        <f>_xlfn.TEXTJOIN("_",TRUE,C526,"node",D526,M526,N526)</f>
        <v>s1_node_recruit_57_4</v>
      </c>
      <c r="B526" s="0" t="s">
        <v>0</v>
      </c>
      <c r="C526" s="0" t="s">
        <v>26</v>
      </c>
      <c r="D526" s="0" t="s">
        <v>104</v>
      </c>
      <c r="E526" s="0" t="str">
        <f>"s1_node_"&amp;D526&amp;"_name"</f>
        <v>s1_node_recruit_name</v>
      </c>
      <c r="F526" s="13" t="str">
        <f>"s1_node_"&amp;D526&amp;"_desc"</f>
        <v>s1_node_recruit_desc</v>
      </c>
      <c r="G526" s="0" t="s">
        <v>422</v>
      </c>
      <c r="H526" s="0">
        <v>3</v>
      </c>
      <c r="I526" s="0" t="s">
        <v>27</v>
      </c>
      <c r="J526" s="0" t="s">
        <v>708</v>
      </c>
      <c r="K526" s="0">
        <v>2240</v>
      </c>
      <c r="L526" s="13">
        <v>3</v>
      </c>
      <c r="M526" s="0">
        <v>57</v>
      </c>
      <c r="N526" s="0">
        <v>4</v>
      </c>
      <c r="T526" s="0" t="str">
        <f>_xlfn.TEXTJOIN("_",TRUE,C526,"node_eff",D526,M526,N526)</f>
        <v>s1_node_eff_recruit_57_4</v>
      </c>
    </row>
    <row r="527" spans="1:20" x14ac:dyDescent="0.45">
      <c r="A527" s="0" t="str">
        <f>_xlfn.TEXTJOIN("_",TRUE,C527,"node",D527,M527,N527)</f>
        <v>s1_node_recruit_57_6</v>
      </c>
      <c r="B527" s="0" t="s">
        <v>0</v>
      </c>
      <c r="C527" s="0" t="s">
        <v>26</v>
      </c>
      <c r="D527" s="0" t="s">
        <v>104</v>
      </c>
      <c r="E527" s="0" t="str">
        <f>"s1_node_"&amp;D527&amp;"_name"</f>
        <v>s1_node_recruit_name</v>
      </c>
      <c r="F527" s="13" t="str">
        <f>"s1_node_"&amp;D527&amp;"_desc"</f>
        <v>s1_node_recruit_desc</v>
      </c>
      <c r="G527" s="0" t="s">
        <v>422</v>
      </c>
      <c r="H527" s="0">
        <v>3</v>
      </c>
      <c r="I527" s="0" t="s">
        <v>27</v>
      </c>
      <c r="J527" s="0" t="s">
        <v>708</v>
      </c>
      <c r="K527" s="0">
        <v>2240</v>
      </c>
      <c r="L527" s="13">
        <v>3</v>
      </c>
      <c r="M527" s="0">
        <v>57</v>
      </c>
      <c r="N527" s="0">
        <v>6</v>
      </c>
      <c r="T527" s="0" t="str">
        <f>_xlfn.TEXTJOIN("_",TRUE,C527,"node_eff",D527,M527,N527)</f>
        <v>s1_node_eff_recruit_57_6</v>
      </c>
    </row>
    <row r="528" spans="1:20" x14ac:dyDescent="0.45">
      <c r="A528" s="0" t="str">
        <f>_xlfn.TEXTJOIN("_",TRUE,C528,"node",D528,M528,N528)</f>
        <v>s1_node_recruit_58_2</v>
      </c>
      <c r="B528" s="0" t="s">
        <v>0</v>
      </c>
      <c r="C528" s="0" t="s">
        <v>26</v>
      </c>
      <c r="D528" s="0" t="s">
        <v>104</v>
      </c>
      <c r="E528" s="0" t="str">
        <f>"s1_node_"&amp;D528&amp;"_name"</f>
        <v>s1_node_recruit_name</v>
      </c>
      <c r="F528" s="13" t="str">
        <f>"s1_node_"&amp;D528&amp;"_desc"</f>
        <v>s1_node_recruit_desc</v>
      </c>
      <c r="G528" s="0" t="s">
        <v>422</v>
      </c>
      <c r="H528" s="0">
        <v>3</v>
      </c>
      <c r="I528" s="0" t="s">
        <v>27</v>
      </c>
      <c r="J528" s="0" t="s">
        <v>709</v>
      </c>
      <c r="K528" s="0">
        <v>2280</v>
      </c>
      <c r="L528" s="13">
        <v>3</v>
      </c>
      <c r="M528" s="0">
        <v>58</v>
      </c>
      <c r="N528" s="0">
        <v>2</v>
      </c>
      <c r="P528" s="0" t="s">
        <v>710</v>
      </c>
      <c r="T528" s="0" t="str">
        <f>_xlfn.TEXTJOIN("_",TRUE,C528,"node_eff",D528,M528,N528)</f>
        <v>s1_node_eff_recruit_58_2</v>
      </c>
    </row>
    <row r="529" spans="1:20" x14ac:dyDescent="0.45">
      <c r="A529" s="0" t="str">
        <f>_xlfn.TEXTJOIN("_",TRUE,C529,"node",D529,M529,N529)</f>
        <v>s1_node_recruit_58_6</v>
      </c>
      <c r="B529" s="0" t="s">
        <v>0</v>
      </c>
      <c r="C529" s="0" t="s">
        <v>26</v>
      </c>
      <c r="D529" s="0" t="s">
        <v>104</v>
      </c>
      <c r="E529" s="0" t="str">
        <f>"s1_node_"&amp;D529&amp;"_name"</f>
        <v>s1_node_recruit_name</v>
      </c>
      <c r="F529" s="13" t="str">
        <f>"s1_node_"&amp;D529&amp;"_desc"</f>
        <v>s1_node_recruit_desc</v>
      </c>
      <c r="G529" s="0" t="s">
        <v>615</v>
      </c>
      <c r="H529" s="0">
        <v>3</v>
      </c>
      <c r="I529" s="0" t="s">
        <v>27</v>
      </c>
      <c r="J529" s="0" t="s">
        <v>709</v>
      </c>
      <c r="K529" s="0">
        <v>2280</v>
      </c>
      <c r="L529" s="13">
        <v>3</v>
      </c>
      <c r="M529" s="0">
        <v>58</v>
      </c>
      <c r="N529" s="0">
        <v>6</v>
      </c>
      <c r="P529" s="0" t="s">
        <v>711</v>
      </c>
      <c r="T529" s="0" t="str">
        <f>_xlfn.TEXTJOIN("_",TRUE,C529,"node_eff",D529,M529,N529)</f>
        <v>s1_node_eff_recruit_58_6</v>
      </c>
    </row>
    <row r="530" spans="1:20" x14ac:dyDescent="0.45">
      <c r="A530" s="0" t="str">
        <f>_xlfn.TEXTJOIN("_",TRUE,C530,"node",D530,M530,N530)</f>
        <v>s1_node_recruit_59_2</v>
      </c>
      <c r="B530" s="0" t="s">
        <v>0</v>
      </c>
      <c r="C530" s="0" t="s">
        <v>26</v>
      </c>
      <c r="D530" s="0" t="s">
        <v>104</v>
      </c>
      <c r="E530" s="0" t="str">
        <f>"s1_node_"&amp;D530&amp;"_name"</f>
        <v>s1_node_recruit_name</v>
      </c>
      <c r="F530" s="13" t="str">
        <f>"s1_node_"&amp;D530&amp;"_desc"</f>
        <v>s1_node_recruit_desc</v>
      </c>
      <c r="G530" s="0" t="s">
        <v>615</v>
      </c>
      <c r="H530" s="0">
        <v>3</v>
      </c>
      <c r="I530" s="0" t="s">
        <v>27</v>
      </c>
      <c r="J530" s="0" t="s">
        <v>712</v>
      </c>
      <c r="K530" s="0">
        <v>2310</v>
      </c>
      <c r="L530" s="13">
        <v>3</v>
      </c>
      <c r="M530" s="0">
        <v>59</v>
      </c>
      <c r="N530" s="0">
        <v>2</v>
      </c>
      <c r="T530" s="0" t="str">
        <f>_xlfn.TEXTJOIN("_",TRUE,C530,"node_eff",D530,M530,N530)</f>
        <v>s1_node_eff_recruit_59_2</v>
      </c>
    </row>
    <row r="531" spans="1:20" x14ac:dyDescent="0.45">
      <c r="A531" s="0" t="str">
        <f>_xlfn.TEXTJOIN("_",TRUE,C531,"node",D531,M531,N531)</f>
        <v>s1_node_recruit_59_4</v>
      </c>
      <c r="B531" s="0" t="s">
        <v>0</v>
      </c>
      <c r="C531" s="0" t="s">
        <v>26</v>
      </c>
      <c r="D531" s="0" t="s">
        <v>104</v>
      </c>
      <c r="E531" s="0" t="str">
        <f>"s1_node_"&amp;D531&amp;"_name"</f>
        <v>s1_node_recruit_name</v>
      </c>
      <c r="F531" s="13" t="str">
        <f>"s1_node_"&amp;D531&amp;"_desc"</f>
        <v>s1_node_recruit_desc</v>
      </c>
      <c r="G531" s="0" t="s">
        <v>615</v>
      </c>
      <c r="H531" s="0">
        <v>3</v>
      </c>
      <c r="I531" s="0" t="s">
        <v>27</v>
      </c>
      <c r="J531" s="0" t="s">
        <v>712</v>
      </c>
      <c r="K531" s="0">
        <v>2310</v>
      </c>
      <c r="L531" s="13">
        <v>3</v>
      </c>
      <c r="M531" s="0">
        <v>59</v>
      </c>
      <c r="N531" s="0">
        <v>4</v>
      </c>
      <c r="P531" s="0" t="s">
        <v>713</v>
      </c>
      <c r="T531" s="0" t="str">
        <f>_xlfn.TEXTJOIN("_",TRUE,C531,"node_eff",D531,M531,N531)</f>
        <v>s1_node_eff_recruit_59_4</v>
      </c>
    </row>
    <row r="532" spans="1:20" x14ac:dyDescent="0.45">
      <c r="A532" s="0" t="str">
        <f>_xlfn.TEXTJOIN("_",TRUE,C532,"node",D532,M532,N532)</f>
        <v>s1_node_recruit_59_6</v>
      </c>
      <c r="B532" s="0" t="s">
        <v>0</v>
      </c>
      <c r="C532" s="0" t="s">
        <v>26</v>
      </c>
      <c r="D532" s="0" t="s">
        <v>104</v>
      </c>
      <c r="E532" s="0" t="str">
        <f>"s1_node_"&amp;D532&amp;"_name"</f>
        <v>s1_node_recruit_name</v>
      </c>
      <c r="F532" s="13" t="str">
        <f>"s1_node_"&amp;D532&amp;"_desc"</f>
        <v>s1_node_recruit_desc</v>
      </c>
      <c r="G532" s="0" t="s">
        <v>615</v>
      </c>
      <c r="H532" s="0">
        <v>3</v>
      </c>
      <c r="I532" s="0" t="s">
        <v>27</v>
      </c>
      <c r="J532" s="0" t="s">
        <v>712</v>
      </c>
      <c r="K532" s="0">
        <v>2310</v>
      </c>
      <c r="L532" s="13">
        <v>3</v>
      </c>
      <c r="M532" s="0">
        <v>59</v>
      </c>
      <c r="N532" s="0">
        <v>6</v>
      </c>
      <c r="T532" s="0" t="str">
        <f>_xlfn.TEXTJOIN("_",TRUE,C532,"node_eff",D532,M532,N532)</f>
        <v>s1_node_eff_recruit_59_6</v>
      </c>
    </row>
    <row r="533" spans="1:20" x14ac:dyDescent="0.45">
      <c r="A533" s="0" t="str">
        <f>_xlfn.TEXTJOIN("_",TRUE,C533,"node",D533,M533,N533)</f>
        <v>s1_node_recruit_60_2</v>
      </c>
      <c r="B533" s="0" t="s">
        <v>0</v>
      </c>
      <c r="C533" s="0" t="s">
        <v>26</v>
      </c>
      <c r="D533" s="0" t="s">
        <v>104</v>
      </c>
      <c r="E533" s="0" t="str">
        <f>"s1_node_"&amp;D533&amp;"_name"</f>
        <v>s1_node_recruit_name</v>
      </c>
      <c r="F533" s="13" t="str">
        <f>"s1_node_"&amp;D533&amp;"_desc"</f>
        <v>s1_node_recruit_desc</v>
      </c>
      <c r="G533" s="0" t="s">
        <v>422</v>
      </c>
      <c r="H533" s="0">
        <v>3</v>
      </c>
      <c r="I533" s="0" t="s">
        <v>27</v>
      </c>
      <c r="J533" s="0" t="s">
        <v>714</v>
      </c>
      <c r="K533" s="0">
        <v>2350</v>
      </c>
      <c r="L533" s="13">
        <v>3</v>
      </c>
      <c r="M533" s="0">
        <v>60</v>
      </c>
      <c r="N533" s="0">
        <v>2</v>
      </c>
      <c r="P533" s="0" t="s">
        <v>715</v>
      </c>
      <c r="T533" s="0" t="str">
        <f>_xlfn.TEXTJOIN("_",TRUE,C533,"node_eff",D533,M533,N533)</f>
        <v>s1_node_eff_recruit_60_2</v>
      </c>
    </row>
    <row r="534" spans="1:20" x14ac:dyDescent="0.45">
      <c r="A534" s="0" t="str">
        <f>_xlfn.TEXTJOIN("_",TRUE,C534,"node",D534,M534,N534)</f>
        <v>s1_node_recruit_60_6</v>
      </c>
      <c r="B534" s="0" t="s">
        <v>0</v>
      </c>
      <c r="C534" s="0" t="s">
        <v>26</v>
      </c>
      <c r="D534" s="0" t="s">
        <v>104</v>
      </c>
      <c r="E534" s="0" t="str">
        <f>"s1_node_"&amp;D534&amp;"_name"</f>
        <v>s1_node_recruit_name</v>
      </c>
      <c r="F534" s="13" t="str">
        <f>"s1_node_"&amp;D534&amp;"_desc"</f>
        <v>s1_node_recruit_desc</v>
      </c>
      <c r="G534" s="0" t="s">
        <v>422</v>
      </c>
      <c r="H534" s="0">
        <v>3</v>
      </c>
      <c r="I534" s="0" t="s">
        <v>27</v>
      </c>
      <c r="J534" s="0" t="s">
        <v>714</v>
      </c>
      <c r="K534" s="0">
        <v>2350</v>
      </c>
      <c r="L534" s="13">
        <v>3</v>
      </c>
      <c r="M534" s="0">
        <v>60</v>
      </c>
      <c r="N534" s="0">
        <v>6</v>
      </c>
      <c r="P534" s="0" t="s">
        <v>716</v>
      </c>
      <c r="T534" s="0" t="str">
        <f>_xlfn.TEXTJOIN("_",TRUE,C534,"node_eff",D534,M534,N534)</f>
        <v>s1_node_eff_recruit_60_6</v>
      </c>
    </row>
    <row r="535" spans="1:20" x14ac:dyDescent="0.45">
      <c r="A535" s="0" t="str">
        <f>_xlfn.TEXTJOIN("_",TRUE,C535,"node",D535,M535,N535)</f>
        <v>s1_node_recruit_61_4</v>
      </c>
      <c r="B535" s="0" t="s">
        <v>0</v>
      </c>
      <c r="C535" s="0" t="s">
        <v>26</v>
      </c>
      <c r="D535" s="0" t="s">
        <v>104</v>
      </c>
      <c r="E535" s="0" t="str">
        <f>"s1_node_"&amp;D535&amp;"_name"</f>
        <v>s1_node_recruit_name</v>
      </c>
      <c r="F535" s="13" t="str">
        <f>"s1_node_"&amp;D535&amp;"_desc"</f>
        <v>s1_node_recruit_desc</v>
      </c>
      <c r="G535" s="0" t="s">
        <v>422</v>
      </c>
      <c r="H535" s="0">
        <v>4</v>
      </c>
      <c r="I535" s="0" t="s">
        <v>27</v>
      </c>
      <c r="J535" s="0" t="s">
        <v>717</v>
      </c>
      <c r="K535" s="0">
        <v>2390</v>
      </c>
      <c r="L535" s="13">
        <v>3</v>
      </c>
      <c r="M535" s="0">
        <v>61</v>
      </c>
      <c r="N535" s="0">
        <v>4</v>
      </c>
      <c r="P535" s="0" t="s">
        <v>718</v>
      </c>
      <c r="T535" s="0" t="str">
        <f>_xlfn.TEXTJOIN("_",TRUE,C535,"node_eff",D535,M535,N535)</f>
        <v>s1_node_eff_recruit_61_4</v>
      </c>
    </row>
    <row r="536" spans="1:20" x14ac:dyDescent="0.45">
      <c r="A536" s="0" t="str">
        <f>_xlfn.TEXTJOIN("_",TRUE,C536,"node",D536,M536,N536)</f>
        <v>s1_node_recruit_62_2</v>
      </c>
      <c r="B536" s="0" t="s">
        <v>0</v>
      </c>
      <c r="C536" s="0" t="s">
        <v>26</v>
      </c>
      <c r="D536" s="0" t="s">
        <v>104</v>
      </c>
      <c r="E536" s="0" t="str">
        <f>"s1_node_"&amp;D536&amp;"_name"</f>
        <v>s1_node_recruit_name</v>
      </c>
      <c r="F536" s="13" t="str">
        <f>"s1_node_"&amp;D536&amp;"_desc"</f>
        <v>s1_node_recruit_desc</v>
      </c>
      <c r="G536" s="0" t="s">
        <v>615</v>
      </c>
      <c r="H536" s="0">
        <v>4</v>
      </c>
      <c r="I536" s="0" t="s">
        <v>27</v>
      </c>
      <c r="J536" s="0" t="s">
        <v>548</v>
      </c>
      <c r="K536" s="0">
        <v>2430</v>
      </c>
      <c r="L536" s="13">
        <v>3</v>
      </c>
      <c r="M536" s="0">
        <v>62</v>
      </c>
      <c r="N536" s="0">
        <v>2</v>
      </c>
      <c r="T536" s="0" t="str">
        <f>_xlfn.TEXTJOIN("_",TRUE,C536,"node_eff",D536,M536,N536)</f>
        <v>s1_node_eff_recruit_62_2</v>
      </c>
    </row>
    <row r="537" spans="1:20" x14ac:dyDescent="0.45">
      <c r="A537" s="0" t="str">
        <f>_xlfn.TEXTJOIN("_",TRUE,C537,"node",D537,M537,N537)</f>
        <v>s1_node_recruit_62_4</v>
      </c>
      <c r="B537" s="0" t="s">
        <v>0</v>
      </c>
      <c r="C537" s="0" t="s">
        <v>26</v>
      </c>
      <c r="D537" s="0" t="s">
        <v>104</v>
      </c>
      <c r="E537" s="0" t="str">
        <f>"s1_node_"&amp;D537&amp;"_name"</f>
        <v>s1_node_recruit_name</v>
      </c>
      <c r="F537" s="13" t="str">
        <f>"s1_node_"&amp;D537&amp;"_desc"</f>
        <v>s1_node_recruit_desc</v>
      </c>
      <c r="G537" s="0" t="s">
        <v>615</v>
      </c>
      <c r="H537" s="0">
        <v>4</v>
      </c>
      <c r="I537" s="0" t="s">
        <v>27</v>
      </c>
      <c r="J537" s="0" t="s">
        <v>548</v>
      </c>
      <c r="K537" s="0">
        <v>2430</v>
      </c>
      <c r="L537" s="13">
        <v>3</v>
      </c>
      <c r="M537" s="0">
        <v>62</v>
      </c>
      <c r="N537" s="0">
        <v>4</v>
      </c>
      <c r="T537" s="0" t="str">
        <f>_xlfn.TEXTJOIN("_",TRUE,C537,"node_eff",D537,M537,N537)</f>
        <v>s1_node_eff_recruit_62_4</v>
      </c>
    </row>
    <row r="538" spans="1:20" x14ac:dyDescent="0.45">
      <c r="A538" s="0" t="str">
        <f>_xlfn.TEXTJOIN("_",TRUE,C538,"node",D538,M538,N538)</f>
        <v>s1_node_recruit_62_6</v>
      </c>
      <c r="B538" s="0" t="s">
        <v>0</v>
      </c>
      <c r="C538" s="0" t="s">
        <v>26</v>
      </c>
      <c r="D538" s="0" t="s">
        <v>104</v>
      </c>
      <c r="E538" s="0" t="str">
        <f>"s1_node_"&amp;D538&amp;"_name"</f>
        <v>s1_node_recruit_name</v>
      </c>
      <c r="F538" s="13" t="str">
        <f>"s1_node_"&amp;D538&amp;"_desc"</f>
        <v>s1_node_recruit_desc</v>
      </c>
      <c r="G538" s="0" t="s">
        <v>615</v>
      </c>
      <c r="H538" s="0">
        <v>4</v>
      </c>
      <c r="I538" s="0" t="s">
        <v>27</v>
      </c>
      <c r="J538" s="0" t="s">
        <v>548</v>
      </c>
      <c r="K538" s="0">
        <v>2430</v>
      </c>
      <c r="L538" s="13">
        <v>3</v>
      </c>
      <c r="M538" s="0">
        <v>62</v>
      </c>
      <c r="N538" s="0">
        <v>6</v>
      </c>
      <c r="T538" s="0" t="str">
        <f>_xlfn.TEXTJOIN("_",TRUE,C538,"node_eff",D538,M538,N538)</f>
        <v>s1_node_eff_recruit_62_6</v>
      </c>
    </row>
    <row r="539" spans="1:20" x14ac:dyDescent="0.45">
      <c r="A539" s="0" t="str">
        <f>_xlfn.TEXTJOIN("_",TRUE,C539,"node",D539,M539,N539)</f>
        <v>s1_node_recruit_63_2</v>
      </c>
      <c r="B539" s="0" t="s">
        <v>0</v>
      </c>
      <c r="C539" s="0" t="s">
        <v>26</v>
      </c>
      <c r="D539" s="0" t="s">
        <v>104</v>
      </c>
      <c r="E539" s="0" t="str">
        <f>"s1_node_"&amp;D539&amp;"_name"</f>
        <v>s1_node_recruit_name</v>
      </c>
      <c r="F539" s="13" t="str">
        <f>"s1_node_"&amp;D539&amp;"_desc"</f>
        <v>s1_node_recruit_desc</v>
      </c>
      <c r="G539" s="0" t="s">
        <v>615</v>
      </c>
      <c r="H539" s="0">
        <v>4</v>
      </c>
      <c r="I539" s="0" t="s">
        <v>27</v>
      </c>
      <c r="J539" s="0" t="s">
        <v>719</v>
      </c>
      <c r="K539" s="0">
        <v>2460</v>
      </c>
      <c r="L539" s="13">
        <v>3</v>
      </c>
      <c r="M539" s="0">
        <v>63</v>
      </c>
      <c r="N539" s="0">
        <v>2</v>
      </c>
      <c r="P539" s="0" t="s">
        <v>720</v>
      </c>
      <c r="T539" s="0" t="str">
        <f>_xlfn.TEXTJOIN("_",TRUE,C539,"node_eff",D539,M539,N539)</f>
        <v>s1_node_eff_recruit_63_2</v>
      </c>
    </row>
    <row r="540" spans="1:20" x14ac:dyDescent="0.45">
      <c r="A540" s="0" t="str">
        <f>_xlfn.TEXTJOIN("_",TRUE,C540,"node",D540,M540,N540)</f>
        <v>s1_node_recruit_63_6</v>
      </c>
      <c r="B540" s="0" t="s">
        <v>0</v>
      </c>
      <c r="C540" s="0" t="s">
        <v>26</v>
      </c>
      <c r="D540" s="0" t="s">
        <v>104</v>
      </c>
      <c r="E540" s="0" t="str">
        <f>"s1_node_"&amp;D540&amp;"_name"</f>
        <v>s1_node_recruit_name</v>
      </c>
      <c r="F540" s="13" t="str">
        <f>"s1_node_"&amp;D540&amp;"_desc"</f>
        <v>s1_node_recruit_desc</v>
      </c>
      <c r="G540" s="0" t="s">
        <v>422</v>
      </c>
      <c r="H540" s="0">
        <v>4</v>
      </c>
      <c r="I540" s="0" t="s">
        <v>27</v>
      </c>
      <c r="J540" s="0" t="s">
        <v>719</v>
      </c>
      <c r="K540" s="0">
        <v>2460</v>
      </c>
      <c r="L540" s="13">
        <v>3</v>
      </c>
      <c r="M540" s="0">
        <v>63</v>
      </c>
      <c r="N540" s="0">
        <v>6</v>
      </c>
      <c r="P540" s="0" t="s">
        <v>721</v>
      </c>
      <c r="T540" s="0" t="str">
        <f>_xlfn.TEXTJOIN("_",TRUE,C540,"node_eff",D540,M540,N540)</f>
        <v>s1_node_eff_recruit_63_6</v>
      </c>
    </row>
    <row r="541" spans="1:20" x14ac:dyDescent="0.45">
      <c r="A541" s="0" t="str">
        <f>_xlfn.TEXTJOIN("_",TRUE,C541,"node",D541,M541,N541)</f>
        <v>s1_node_recruit_64_2</v>
      </c>
      <c r="B541" s="0" t="s">
        <v>0</v>
      </c>
      <c r="C541" s="0" t="s">
        <v>26</v>
      </c>
      <c r="D541" s="0" t="s">
        <v>104</v>
      </c>
      <c r="E541" s="0" t="str">
        <f>"s1_node_"&amp;D541&amp;"_name"</f>
        <v>s1_node_recruit_name</v>
      </c>
      <c r="F541" s="13" t="str">
        <f>"s1_node_"&amp;D541&amp;"_desc"</f>
        <v>s1_node_recruit_desc</v>
      </c>
      <c r="G541" s="0" t="s">
        <v>422</v>
      </c>
      <c r="H541" s="0">
        <v>4</v>
      </c>
      <c r="I541" s="0" t="s">
        <v>27</v>
      </c>
      <c r="J541" s="0" t="s">
        <v>722</v>
      </c>
      <c r="K541" s="0">
        <v>2500</v>
      </c>
      <c r="L541" s="13">
        <v>3</v>
      </c>
      <c r="M541" s="0">
        <v>64</v>
      </c>
      <c r="N541" s="0">
        <v>2</v>
      </c>
      <c r="T541" s="0" t="str">
        <f>_xlfn.TEXTJOIN("_",TRUE,C541,"node_eff",D541,M541,N541)</f>
        <v>s1_node_eff_recruit_64_2</v>
      </c>
    </row>
    <row r="542" spans="1:20" x14ac:dyDescent="0.45">
      <c r="A542" s="0" t="str">
        <f>_xlfn.TEXTJOIN("_",TRUE,C542,"node",D542,M542,N542)</f>
        <v>s1_node_recruit_64_4</v>
      </c>
      <c r="B542" s="0" t="s">
        <v>0</v>
      </c>
      <c r="C542" s="0" t="s">
        <v>26</v>
      </c>
      <c r="D542" s="0" t="s">
        <v>104</v>
      </c>
      <c r="E542" s="0" t="str">
        <f>"s1_node_"&amp;D542&amp;"_name"</f>
        <v>s1_node_recruit_name</v>
      </c>
      <c r="F542" s="13" t="str">
        <f>"s1_node_"&amp;D542&amp;"_desc"</f>
        <v>s1_node_recruit_desc</v>
      </c>
      <c r="G542" s="0" t="s">
        <v>422</v>
      </c>
      <c r="H542" s="0">
        <v>4</v>
      </c>
      <c r="I542" s="0" t="s">
        <v>27</v>
      </c>
      <c r="J542" s="0" t="s">
        <v>722</v>
      </c>
      <c r="K542" s="0">
        <v>2500</v>
      </c>
      <c r="L542" s="13">
        <v>3</v>
      </c>
      <c r="M542" s="0">
        <v>64</v>
      </c>
      <c r="N542" s="0">
        <v>4</v>
      </c>
      <c r="P542" s="0" t="s">
        <v>723</v>
      </c>
      <c r="T542" s="0" t="str">
        <f>_xlfn.TEXTJOIN("_",TRUE,C542,"node_eff",D542,M542,N542)</f>
        <v>s1_node_eff_recruit_64_4</v>
      </c>
    </row>
    <row r="543" spans="1:20" x14ac:dyDescent="0.45">
      <c r="A543" s="0" t="str">
        <f>_xlfn.TEXTJOIN("_",TRUE,C543,"node",D543,M543,N543)</f>
        <v>s1_node_recruit_64_6</v>
      </c>
      <c r="B543" s="0" t="s">
        <v>0</v>
      </c>
      <c r="C543" s="0" t="s">
        <v>26</v>
      </c>
      <c r="D543" s="0" t="s">
        <v>104</v>
      </c>
      <c r="E543" s="0" t="str">
        <f>"s1_node_"&amp;D543&amp;"_name"</f>
        <v>s1_node_recruit_name</v>
      </c>
      <c r="F543" s="13" t="str">
        <f>"s1_node_"&amp;D543&amp;"_desc"</f>
        <v>s1_node_recruit_desc</v>
      </c>
      <c r="G543" s="0" t="s">
        <v>615</v>
      </c>
      <c r="H543" s="0">
        <v>4</v>
      </c>
      <c r="I543" s="0" t="s">
        <v>27</v>
      </c>
      <c r="J543" s="0" t="s">
        <v>722</v>
      </c>
      <c r="K543" s="0">
        <v>2500</v>
      </c>
      <c r="L543" s="13">
        <v>3</v>
      </c>
      <c r="M543" s="0">
        <v>64</v>
      </c>
      <c r="N543" s="0">
        <v>6</v>
      </c>
      <c r="T543" s="0" t="str">
        <f>_xlfn.TEXTJOIN("_",TRUE,C543,"node_eff",D543,M543,N543)</f>
        <v>s1_node_eff_recruit_64_6</v>
      </c>
    </row>
    <row r="544" spans="1:20" x14ac:dyDescent="0.45">
      <c r="A544" s="0" t="str">
        <f>_xlfn.TEXTJOIN("_",TRUE,C544,"node",D544,M544,N544)</f>
        <v>s1_node_recruit_65_2</v>
      </c>
      <c r="B544" s="0" t="s">
        <v>0</v>
      </c>
      <c r="C544" s="0" t="s">
        <v>26</v>
      </c>
      <c r="D544" s="0" t="s">
        <v>104</v>
      </c>
      <c r="E544" s="0" t="str">
        <f>"s1_node_"&amp;D544&amp;"_name"</f>
        <v>s1_node_recruit_name</v>
      </c>
      <c r="F544" s="13" t="str">
        <f>"s1_node_"&amp;D544&amp;"_desc"</f>
        <v>s1_node_recruit_desc</v>
      </c>
      <c r="G544" s="0" t="s">
        <v>615</v>
      </c>
      <c r="H544" s="0">
        <v>4</v>
      </c>
      <c r="I544" s="0" t="s">
        <v>27</v>
      </c>
      <c r="J544" s="0" t="s">
        <v>553</v>
      </c>
      <c r="K544" s="0">
        <v>2540</v>
      </c>
      <c r="L544" s="13">
        <v>3</v>
      </c>
      <c r="M544" s="0">
        <v>65</v>
      </c>
      <c r="N544" s="0">
        <v>2</v>
      </c>
      <c r="P544" s="0" t="s">
        <v>724</v>
      </c>
      <c r="T544" s="0" t="str">
        <f>_xlfn.TEXTJOIN("_",TRUE,C544,"node_eff",D544,M544,N544)</f>
        <v>s1_node_eff_recruit_65_2</v>
      </c>
    </row>
    <row r="545" spans="1:20" x14ac:dyDescent="0.45">
      <c r="A545" s="0" t="str">
        <f>_xlfn.TEXTJOIN("_",TRUE,C545,"node",D545,M545,N545)</f>
        <v>s1_node_recruit_65_6</v>
      </c>
      <c r="B545" s="0" t="s">
        <v>0</v>
      </c>
      <c r="C545" s="0" t="s">
        <v>26</v>
      </c>
      <c r="D545" s="0" t="s">
        <v>104</v>
      </c>
      <c r="E545" s="0" t="str">
        <f>"s1_node_"&amp;D545&amp;"_name"</f>
        <v>s1_node_recruit_name</v>
      </c>
      <c r="F545" s="13" t="str">
        <f>"s1_node_"&amp;D545&amp;"_desc"</f>
        <v>s1_node_recruit_desc</v>
      </c>
      <c r="G545" s="0" t="s">
        <v>615</v>
      </c>
      <c r="H545" s="0">
        <v>4</v>
      </c>
      <c r="I545" s="0" t="s">
        <v>27</v>
      </c>
      <c r="J545" s="0" t="s">
        <v>553</v>
      </c>
      <c r="K545" s="0">
        <v>2540</v>
      </c>
      <c r="L545" s="13">
        <v>3</v>
      </c>
      <c r="M545" s="0">
        <v>65</v>
      </c>
      <c r="N545" s="0">
        <v>6</v>
      </c>
      <c r="P545" s="0" t="s">
        <v>725</v>
      </c>
      <c r="T545" s="0" t="str">
        <f>_xlfn.TEXTJOIN("_",TRUE,C545,"node_eff",D545,M545,N545)</f>
        <v>s1_node_eff_recruit_65_6</v>
      </c>
    </row>
    <row r="546" spans="1:20" x14ac:dyDescent="0.45">
      <c r="A546" s="0" t="str">
        <f>_xlfn.TEXTJOIN("_",TRUE,C546,"node",D546,M546,N546)</f>
        <v>s1_node_recruit_66_4</v>
      </c>
      <c r="B546" s="0" t="s">
        <v>0</v>
      </c>
      <c r="C546" s="0" t="s">
        <v>26</v>
      </c>
      <c r="D546" s="0" t="s">
        <v>104</v>
      </c>
      <c r="E546" s="0" t="str">
        <f>"s1_node_"&amp;D546&amp;"_name"</f>
        <v>s1_node_recruit_name</v>
      </c>
      <c r="F546" s="13" t="str">
        <f>"s1_node_"&amp;D546&amp;"_desc"</f>
        <v>s1_node_recruit_desc</v>
      </c>
      <c r="G546" s="0" t="s">
        <v>615</v>
      </c>
      <c r="H546" s="0">
        <v>4</v>
      </c>
      <c r="I546" s="0" t="s">
        <v>27</v>
      </c>
      <c r="J546" s="0" t="s">
        <v>340</v>
      </c>
      <c r="K546" s="0">
        <v>2580</v>
      </c>
      <c r="L546" s="13">
        <v>3</v>
      </c>
      <c r="M546" s="0">
        <v>66</v>
      </c>
      <c r="N546" s="0">
        <v>4</v>
      </c>
      <c r="P546" s="0" t="s">
        <v>726</v>
      </c>
      <c r="T546" s="0" t="str">
        <f>_xlfn.TEXTJOIN("_",TRUE,C546,"node_eff",D546,M546,N546)</f>
        <v>s1_node_eff_recruit_66_4</v>
      </c>
    </row>
    <row r="547" spans="1:20" x14ac:dyDescent="0.45">
      <c r="A547" s="0" t="str">
        <f>_xlfn.TEXTJOIN("_",TRUE,C547,"node",D547,M547,N547)</f>
        <v>s1_node_recruit_67_2</v>
      </c>
      <c r="B547" s="0" t="s">
        <v>0</v>
      </c>
      <c r="C547" s="0" t="s">
        <v>26</v>
      </c>
      <c r="D547" s="0" t="s">
        <v>104</v>
      </c>
      <c r="E547" s="0" t="str">
        <f>"s1_node_"&amp;D547&amp;"_name"</f>
        <v>s1_node_recruit_name</v>
      </c>
      <c r="F547" s="13" t="str">
        <f>"s1_node_"&amp;D547&amp;"_desc"</f>
        <v>s1_node_recruit_desc</v>
      </c>
      <c r="G547" s="0" t="s">
        <v>422</v>
      </c>
      <c r="H547" s="0">
        <v>4</v>
      </c>
      <c r="I547" s="0" t="s">
        <v>27</v>
      </c>
      <c r="J547" s="0" t="s">
        <v>557</v>
      </c>
      <c r="K547" s="0">
        <v>2610</v>
      </c>
      <c r="L547" s="13">
        <v>3</v>
      </c>
      <c r="M547" s="0">
        <v>67</v>
      </c>
      <c r="N547" s="0">
        <v>2</v>
      </c>
      <c r="T547" s="0" t="str">
        <f>_xlfn.TEXTJOIN("_",TRUE,C547,"node_eff",D547,M547,N547)</f>
        <v>s1_node_eff_recruit_67_2</v>
      </c>
    </row>
    <row r="548" spans="1:20" x14ac:dyDescent="0.45">
      <c r="A548" s="0" t="str">
        <f>_xlfn.TEXTJOIN("_",TRUE,C548,"node",D548,M548,N548)</f>
        <v>s1_node_recruit_67_4</v>
      </c>
      <c r="B548" s="0" t="s">
        <v>0</v>
      </c>
      <c r="C548" s="0" t="s">
        <v>26</v>
      </c>
      <c r="D548" s="0" t="s">
        <v>104</v>
      </c>
      <c r="E548" s="0" t="str">
        <f>"s1_node_"&amp;D548&amp;"_name"</f>
        <v>s1_node_recruit_name</v>
      </c>
      <c r="F548" s="13" t="str">
        <f>"s1_node_"&amp;D548&amp;"_desc"</f>
        <v>s1_node_recruit_desc</v>
      </c>
      <c r="G548" s="0" t="s">
        <v>422</v>
      </c>
      <c r="H548" s="0">
        <v>4</v>
      </c>
      <c r="I548" s="0" t="s">
        <v>27</v>
      </c>
      <c r="J548" s="0" t="s">
        <v>557</v>
      </c>
      <c r="K548" s="0">
        <v>2610</v>
      </c>
      <c r="L548" s="13">
        <v>3</v>
      </c>
      <c r="M548" s="0">
        <v>67</v>
      </c>
      <c r="N548" s="0">
        <v>4</v>
      </c>
      <c r="T548" s="0" t="str">
        <f>_xlfn.TEXTJOIN("_",TRUE,C548,"node_eff",D548,M548,N548)</f>
        <v>s1_node_eff_recruit_67_4</v>
      </c>
    </row>
    <row r="549" spans="1:20" x14ac:dyDescent="0.45">
      <c r="A549" s="0" t="str">
        <f>_xlfn.TEXTJOIN("_",TRUE,C549,"node",D549,M549,N549)</f>
        <v>s1_node_recruit_67_6</v>
      </c>
      <c r="B549" s="0" t="s">
        <v>0</v>
      </c>
      <c r="C549" s="0" t="s">
        <v>26</v>
      </c>
      <c r="D549" s="0" t="s">
        <v>104</v>
      </c>
      <c r="E549" s="0" t="str">
        <f>"s1_node_"&amp;D549&amp;"_name"</f>
        <v>s1_node_recruit_name</v>
      </c>
      <c r="F549" s="13" t="str">
        <f>"s1_node_"&amp;D549&amp;"_desc"</f>
        <v>s1_node_recruit_desc</v>
      </c>
      <c r="G549" s="0" t="s">
        <v>422</v>
      </c>
      <c r="H549" s="0">
        <v>4</v>
      </c>
      <c r="I549" s="0" t="s">
        <v>27</v>
      </c>
      <c r="J549" s="0" t="s">
        <v>557</v>
      </c>
      <c r="K549" s="0">
        <v>2610</v>
      </c>
      <c r="L549" s="13">
        <v>3</v>
      </c>
      <c r="M549" s="0">
        <v>67</v>
      </c>
      <c r="N549" s="0">
        <v>6</v>
      </c>
      <c r="T549" s="0" t="str">
        <f>_xlfn.TEXTJOIN("_",TRUE,C549,"node_eff",D549,M549,N549)</f>
        <v>s1_node_eff_recruit_67_6</v>
      </c>
    </row>
    <row r="550" spans="1:20" x14ac:dyDescent="0.45">
      <c r="A550" s="0" t="str">
        <f>_xlfn.TEXTJOIN("_",TRUE,C550,"node",D550,M550,N550)</f>
        <v>s1_node_recruit_68_2</v>
      </c>
      <c r="B550" s="0" t="s">
        <v>0</v>
      </c>
      <c r="C550" s="0" t="s">
        <v>26</v>
      </c>
      <c r="D550" s="0" t="s">
        <v>104</v>
      </c>
      <c r="E550" s="0" t="str">
        <f>"s1_node_"&amp;D550&amp;"_name"</f>
        <v>s1_node_recruit_name</v>
      </c>
      <c r="F550" s="13" t="str">
        <f>"s1_node_"&amp;D550&amp;"_desc"</f>
        <v>s1_node_recruit_desc</v>
      </c>
      <c r="G550" s="0" t="s">
        <v>615</v>
      </c>
      <c r="H550" s="0">
        <v>4</v>
      </c>
      <c r="I550" s="0" t="s">
        <v>27</v>
      </c>
      <c r="J550" s="0" t="s">
        <v>346</v>
      </c>
      <c r="K550" s="0">
        <v>2650</v>
      </c>
      <c r="L550" s="13">
        <v>3</v>
      </c>
      <c r="M550" s="0">
        <v>68</v>
      </c>
      <c r="N550" s="0">
        <v>2</v>
      </c>
      <c r="P550" s="0" t="s">
        <v>727</v>
      </c>
      <c r="T550" s="0" t="str">
        <f>_xlfn.TEXTJOIN("_",TRUE,C550,"node_eff",D550,M550,N550)</f>
        <v>s1_node_eff_recruit_68_2</v>
      </c>
    </row>
    <row r="551" spans="1:20" x14ac:dyDescent="0.45">
      <c r="A551" s="0" t="str">
        <f>_xlfn.TEXTJOIN("_",TRUE,C551,"node",D551,M551,N551)</f>
        <v>s1_node_recruit_68_6</v>
      </c>
      <c r="B551" s="0" t="s">
        <v>0</v>
      </c>
      <c r="C551" s="0" t="s">
        <v>26</v>
      </c>
      <c r="D551" s="0" t="s">
        <v>104</v>
      </c>
      <c r="E551" s="0" t="str">
        <f>"s1_node_"&amp;D551&amp;"_name"</f>
        <v>s1_node_recruit_name</v>
      </c>
      <c r="F551" s="13" t="str">
        <f>"s1_node_"&amp;D551&amp;"_desc"</f>
        <v>s1_node_recruit_desc</v>
      </c>
      <c r="G551" s="0" t="s">
        <v>615</v>
      </c>
      <c r="H551" s="0">
        <v>4</v>
      </c>
      <c r="I551" s="0" t="s">
        <v>27</v>
      </c>
      <c r="J551" s="0" t="s">
        <v>346</v>
      </c>
      <c r="K551" s="0">
        <v>2650</v>
      </c>
      <c r="L551" s="13">
        <v>3</v>
      </c>
      <c r="M551" s="0">
        <v>68</v>
      </c>
      <c r="N551" s="0">
        <v>6</v>
      </c>
      <c r="P551" s="0" t="s">
        <v>728</v>
      </c>
      <c r="T551" s="0" t="str">
        <f>_xlfn.TEXTJOIN("_",TRUE,C551,"node_eff",D551,M551,N551)</f>
        <v>s1_node_eff_recruit_68_6</v>
      </c>
    </row>
    <row r="552" spans="1:20" x14ac:dyDescent="0.45">
      <c r="A552" s="0" t="str">
        <f>_xlfn.TEXTJOIN("_",TRUE,C552,"node",D552,M552,N552)</f>
        <v>s1_node_recruit_69_2</v>
      </c>
      <c r="B552" s="0" t="s">
        <v>0</v>
      </c>
      <c r="C552" s="0" t="s">
        <v>26</v>
      </c>
      <c r="D552" s="0" t="s">
        <v>104</v>
      </c>
      <c r="E552" s="0" t="str">
        <f>"s1_node_"&amp;D552&amp;"_name"</f>
        <v>s1_node_recruit_name</v>
      </c>
      <c r="F552" s="13" t="str">
        <f>"s1_node_"&amp;D552&amp;"_desc"</f>
        <v>s1_node_recruit_desc</v>
      </c>
      <c r="G552" s="0" t="s">
        <v>615</v>
      </c>
      <c r="H552" s="0">
        <v>4</v>
      </c>
      <c r="I552" s="0" t="s">
        <v>27</v>
      </c>
      <c r="J552" s="0" t="s">
        <v>349</v>
      </c>
      <c r="K552" s="0">
        <v>2690</v>
      </c>
      <c r="L552" s="13">
        <v>3</v>
      </c>
      <c r="M552" s="0">
        <v>69</v>
      </c>
      <c r="N552" s="0">
        <v>2</v>
      </c>
      <c r="T552" s="0" t="str">
        <f>_xlfn.TEXTJOIN("_",TRUE,C552,"node_eff",D552,M552,N552)</f>
        <v>s1_node_eff_recruit_69_2</v>
      </c>
    </row>
    <row r="553" spans="1:20" x14ac:dyDescent="0.45">
      <c r="A553" s="0" t="str">
        <f>_xlfn.TEXTJOIN("_",TRUE,C553,"node",D553,M553,N553)</f>
        <v>s1_node_recruit_69_4</v>
      </c>
      <c r="B553" s="0" t="s">
        <v>0</v>
      </c>
      <c r="C553" s="0" t="s">
        <v>26</v>
      </c>
      <c r="D553" s="0" t="s">
        <v>104</v>
      </c>
      <c r="E553" s="0" t="str">
        <f>"s1_node_"&amp;D553&amp;"_name"</f>
        <v>s1_node_recruit_name</v>
      </c>
      <c r="F553" s="13" t="str">
        <f>"s1_node_"&amp;D553&amp;"_desc"</f>
        <v>s1_node_recruit_desc</v>
      </c>
      <c r="G553" s="0" t="s">
        <v>615</v>
      </c>
      <c r="H553" s="0">
        <v>4</v>
      </c>
      <c r="I553" s="0" t="s">
        <v>27</v>
      </c>
      <c r="J553" s="0" t="s">
        <v>349</v>
      </c>
      <c r="K553" s="0">
        <v>2690</v>
      </c>
      <c r="L553" s="13">
        <v>3</v>
      </c>
      <c r="M553" s="0">
        <v>69</v>
      </c>
      <c r="N553" s="0">
        <v>4</v>
      </c>
      <c r="P553" s="0" t="s">
        <v>729</v>
      </c>
      <c r="T553" s="0" t="str">
        <f>_xlfn.TEXTJOIN("_",TRUE,C553,"node_eff",D553,M553,N553)</f>
        <v>s1_node_eff_recruit_69_4</v>
      </c>
    </row>
    <row r="554" spans="1:20" x14ac:dyDescent="0.45">
      <c r="A554" s="0" t="str">
        <f>_xlfn.TEXTJOIN("_",TRUE,C554,"node",D554,M554,N554)</f>
        <v>s1_node_recruit_69_6</v>
      </c>
      <c r="B554" s="0" t="s">
        <v>0</v>
      </c>
      <c r="C554" s="0" t="s">
        <v>26</v>
      </c>
      <c r="D554" s="0" t="s">
        <v>104</v>
      </c>
      <c r="E554" s="0" t="str">
        <f>"s1_node_"&amp;D554&amp;"_name"</f>
        <v>s1_node_recruit_name</v>
      </c>
      <c r="F554" s="13" t="str">
        <f>"s1_node_"&amp;D554&amp;"_desc"</f>
        <v>s1_node_recruit_desc</v>
      </c>
      <c r="G554" s="0" t="s">
        <v>422</v>
      </c>
      <c r="H554" s="0">
        <v>4</v>
      </c>
      <c r="I554" s="0" t="s">
        <v>27</v>
      </c>
      <c r="J554" s="0" t="s">
        <v>349</v>
      </c>
      <c r="K554" s="0">
        <v>2690</v>
      </c>
      <c r="L554" s="13">
        <v>3</v>
      </c>
      <c r="M554" s="0">
        <v>69</v>
      </c>
      <c r="N554" s="0">
        <v>6</v>
      </c>
      <c r="T554" s="0" t="str">
        <f>_xlfn.TEXTJOIN("_",TRUE,C554,"node_eff",D554,M554,N554)</f>
        <v>s1_node_eff_recruit_69_6</v>
      </c>
    </row>
    <row r="555" spans="1:20" x14ac:dyDescent="0.45">
      <c r="A555" s="0" t="str">
        <f>_xlfn.TEXTJOIN("_",TRUE,C555,"node",D555,M555,N555)</f>
        <v>s1_node_recruit_70_2</v>
      </c>
      <c r="B555" s="0" t="s">
        <v>0</v>
      </c>
      <c r="C555" s="0" t="s">
        <v>26</v>
      </c>
      <c r="D555" s="0" t="s">
        <v>104</v>
      </c>
      <c r="E555" s="0" t="str">
        <f>"s1_node_"&amp;D555&amp;"_name"</f>
        <v>s1_node_recruit_name</v>
      </c>
      <c r="F555" s="13" t="str">
        <f>"s1_node_"&amp;D555&amp;"_desc"</f>
        <v>s1_node_recruit_desc</v>
      </c>
      <c r="G555" s="0" t="s">
        <v>422</v>
      </c>
      <c r="H555" s="0">
        <v>4</v>
      </c>
      <c r="I555" s="0" t="s">
        <v>27</v>
      </c>
      <c r="J555" s="0" t="s">
        <v>730</v>
      </c>
      <c r="K555" s="0">
        <v>2730</v>
      </c>
      <c r="L555" s="13">
        <v>3</v>
      </c>
      <c r="M555" s="0">
        <v>70</v>
      </c>
      <c r="N555" s="0">
        <v>2</v>
      </c>
      <c r="P555" s="0" t="s">
        <v>731</v>
      </c>
      <c r="T555" s="0" t="str">
        <f>_xlfn.TEXTJOIN("_",TRUE,C555,"node_eff",D555,M555,N555)</f>
        <v>s1_node_eff_recruit_70_2</v>
      </c>
    </row>
    <row r="556" spans="1:20" x14ac:dyDescent="0.45">
      <c r="A556" s="0" t="str">
        <f>_xlfn.TEXTJOIN("_",TRUE,C556,"node",D556,M556,N556)</f>
        <v>s1_node_recruit_70_6</v>
      </c>
      <c r="B556" s="0" t="s">
        <v>0</v>
      </c>
      <c r="C556" s="0" t="s">
        <v>26</v>
      </c>
      <c r="D556" s="0" t="s">
        <v>104</v>
      </c>
      <c r="E556" s="0" t="str">
        <f>"s1_node_"&amp;D556&amp;"_name"</f>
        <v>s1_node_recruit_name</v>
      </c>
      <c r="F556" s="13" t="str">
        <f>"s1_node_"&amp;D556&amp;"_desc"</f>
        <v>s1_node_recruit_desc</v>
      </c>
      <c r="G556" s="0" t="s">
        <v>422</v>
      </c>
      <c r="H556" s="0">
        <v>4</v>
      </c>
      <c r="I556" s="0" t="s">
        <v>27</v>
      </c>
      <c r="J556" s="0" t="s">
        <v>730</v>
      </c>
      <c r="K556" s="0">
        <v>2730</v>
      </c>
      <c r="L556" s="13">
        <v>3</v>
      </c>
      <c r="M556" s="0">
        <v>70</v>
      </c>
      <c r="N556" s="0">
        <v>6</v>
      </c>
      <c r="P556" s="0" t="s">
        <v>732</v>
      </c>
      <c r="T556" s="0" t="str">
        <f>_xlfn.TEXTJOIN("_",TRUE,C556,"node_eff",D556,M556,N556)</f>
        <v>s1_node_eff_recruit_70_6</v>
      </c>
    </row>
    <row r="557" spans="1:20" x14ac:dyDescent="0.45">
      <c r="A557" s="0" t="str">
        <f>_xlfn.TEXTJOIN("_",TRUE,C557,"node",D557,M557,N557)</f>
        <v>s1_node_recruit_71_4</v>
      </c>
      <c r="B557" s="0" t="s">
        <v>0</v>
      </c>
      <c r="C557" s="0" t="s">
        <v>26</v>
      </c>
      <c r="D557" s="0" t="s">
        <v>104</v>
      </c>
      <c r="E557" s="0" t="str">
        <f>"s1_node_"&amp;D557&amp;"_name"</f>
        <v>s1_node_recruit_name</v>
      </c>
      <c r="F557" s="13" t="str">
        <f>"s1_node_"&amp;D557&amp;"_desc"</f>
        <v>s1_node_recruit_desc</v>
      </c>
      <c r="G557" s="0" t="s">
        <v>615</v>
      </c>
      <c r="H557" s="0">
        <v>4</v>
      </c>
      <c r="I557" s="0" t="s">
        <v>27</v>
      </c>
      <c r="J557" s="0" t="s">
        <v>354</v>
      </c>
      <c r="K557" s="0">
        <v>2760</v>
      </c>
      <c r="L557" s="13">
        <v>3</v>
      </c>
      <c r="M557" s="0">
        <v>71</v>
      </c>
      <c r="N557" s="0">
        <v>4</v>
      </c>
      <c r="P557" s="0" t="s">
        <v>733</v>
      </c>
      <c r="T557" s="0" t="str">
        <f>_xlfn.TEXTJOIN("_",TRUE,C557,"node_eff",D557,M557,N557)</f>
        <v>s1_node_eff_recruit_71_4</v>
      </c>
    </row>
    <row r="558" spans="1:20" x14ac:dyDescent="0.45">
      <c r="A558" s="0" t="str">
        <f>_xlfn.TEXTJOIN("_",TRUE,C558,"node",D558,M558,N558)</f>
        <v>s1_node_recruit_72_2</v>
      </c>
      <c r="B558" s="0" t="s">
        <v>0</v>
      </c>
      <c r="C558" s="0" t="s">
        <v>26</v>
      </c>
      <c r="D558" s="0" t="s">
        <v>104</v>
      </c>
      <c r="E558" s="0" t="str">
        <f>"s1_node_"&amp;D558&amp;"_name"</f>
        <v>s1_node_recruit_name</v>
      </c>
      <c r="F558" s="13" t="str">
        <f>"s1_node_"&amp;D558&amp;"_desc"</f>
        <v>s1_node_recruit_desc</v>
      </c>
      <c r="G558" s="0" t="s">
        <v>615</v>
      </c>
      <c r="H558" s="0">
        <v>4</v>
      </c>
      <c r="I558" s="0" t="s">
        <v>27</v>
      </c>
      <c r="J558" s="0" t="s">
        <v>734</v>
      </c>
      <c r="K558" s="0">
        <v>2800</v>
      </c>
      <c r="L558" s="13">
        <v>3</v>
      </c>
      <c r="M558" s="0">
        <v>72</v>
      </c>
      <c r="N558" s="0">
        <v>2</v>
      </c>
      <c r="T558" s="0" t="str">
        <f>_xlfn.TEXTJOIN("_",TRUE,C558,"node_eff",D558,M558,N558)</f>
        <v>s1_node_eff_recruit_72_2</v>
      </c>
    </row>
    <row r="559" spans="1:20" x14ac:dyDescent="0.45">
      <c r="A559" s="0" t="str">
        <f>_xlfn.TEXTJOIN("_",TRUE,C559,"node",D559,M559,N559)</f>
        <v>s1_node_recruit_72_4</v>
      </c>
      <c r="B559" s="0" t="s">
        <v>0</v>
      </c>
      <c r="C559" s="0" t="s">
        <v>26</v>
      </c>
      <c r="D559" s="0" t="s">
        <v>104</v>
      </c>
      <c r="E559" s="0" t="str">
        <f>"s1_node_"&amp;D559&amp;"_name"</f>
        <v>s1_node_recruit_name</v>
      </c>
      <c r="F559" s="13" t="str">
        <f>"s1_node_"&amp;D559&amp;"_desc"</f>
        <v>s1_node_recruit_desc</v>
      </c>
      <c r="G559" s="0" t="s">
        <v>615</v>
      </c>
      <c r="H559" s="0">
        <v>4</v>
      </c>
      <c r="I559" s="0" t="s">
        <v>27</v>
      </c>
      <c r="J559" s="0" t="s">
        <v>734</v>
      </c>
      <c r="K559" s="0">
        <v>2800</v>
      </c>
      <c r="L559" s="13">
        <v>3</v>
      </c>
      <c r="M559" s="0">
        <v>72</v>
      </c>
      <c r="N559" s="0">
        <v>4</v>
      </c>
      <c r="T559" s="0" t="str">
        <f>_xlfn.TEXTJOIN("_",TRUE,C559,"node_eff",D559,M559,N559)</f>
        <v>s1_node_eff_recruit_72_4</v>
      </c>
    </row>
    <row r="560" spans="1:20" x14ac:dyDescent="0.45">
      <c r="A560" s="0" t="str">
        <f>_xlfn.TEXTJOIN("_",TRUE,C560,"node",D560,M560,N560)</f>
        <v>s1_node_recruit_72_6</v>
      </c>
      <c r="B560" s="0" t="s">
        <v>0</v>
      </c>
      <c r="C560" s="0" t="s">
        <v>26</v>
      </c>
      <c r="D560" s="0" t="s">
        <v>104</v>
      </c>
      <c r="E560" s="0" t="str">
        <f>"s1_node_"&amp;D560&amp;"_name"</f>
        <v>s1_node_recruit_name</v>
      </c>
      <c r="F560" s="13" t="str">
        <f>"s1_node_"&amp;D560&amp;"_desc"</f>
        <v>s1_node_recruit_desc</v>
      </c>
      <c r="G560" s="0" t="s">
        <v>615</v>
      </c>
      <c r="H560" s="0">
        <v>4</v>
      </c>
      <c r="I560" s="0" t="s">
        <v>27</v>
      </c>
      <c r="J560" s="0" t="s">
        <v>734</v>
      </c>
      <c r="K560" s="0">
        <v>2800</v>
      </c>
      <c r="L560" s="13">
        <v>3</v>
      </c>
      <c r="M560" s="0">
        <v>72</v>
      </c>
      <c r="N560" s="0">
        <v>6</v>
      </c>
      <c r="T560" s="0" t="str">
        <f>_xlfn.TEXTJOIN("_",TRUE,C560,"node_eff",D560,M560,N560)</f>
        <v>s1_node_eff_recruit_72_6</v>
      </c>
    </row>
    <row r="561" spans="1:20" x14ac:dyDescent="0.45">
      <c r="A561" s="0" t="str">
        <f>_xlfn.TEXTJOIN("_",TRUE,C561,"node",D561,M561,N561)</f>
        <v>s1_node_recruit_73_2</v>
      </c>
      <c r="B561" s="0" t="s">
        <v>0</v>
      </c>
      <c r="C561" s="0" t="s">
        <v>26</v>
      </c>
      <c r="D561" s="0" t="s">
        <v>104</v>
      </c>
      <c r="E561" s="0" t="str">
        <f>"s1_node_"&amp;D561&amp;"_name"</f>
        <v>s1_node_recruit_name</v>
      </c>
      <c r="F561" s="13" t="str">
        <f>"s1_node_"&amp;D561&amp;"_desc"</f>
        <v>s1_node_recruit_desc</v>
      </c>
      <c r="G561" s="0" t="s">
        <v>422</v>
      </c>
      <c r="H561" s="0">
        <v>4</v>
      </c>
      <c r="I561" s="0" t="s">
        <v>27</v>
      </c>
      <c r="J561" s="0" t="s">
        <v>735</v>
      </c>
      <c r="K561" s="0">
        <v>2840</v>
      </c>
      <c r="L561" s="13">
        <v>3</v>
      </c>
      <c r="M561" s="0">
        <v>73</v>
      </c>
      <c r="N561" s="0">
        <v>2</v>
      </c>
      <c r="P561" s="0" t="s">
        <v>736</v>
      </c>
      <c r="T561" s="0" t="str">
        <f>_xlfn.TEXTJOIN("_",TRUE,C561,"node_eff",D561,M561,N561)</f>
        <v>s1_node_eff_recruit_73_2</v>
      </c>
    </row>
    <row r="562" spans="1:20" x14ac:dyDescent="0.45">
      <c r="A562" s="0" t="str">
        <f>_xlfn.TEXTJOIN("_",TRUE,C562,"node",D562,M562,N562)</f>
        <v>s1_node_recruit_73_6</v>
      </c>
      <c r="B562" s="0" t="s">
        <v>0</v>
      </c>
      <c r="C562" s="0" t="s">
        <v>26</v>
      </c>
      <c r="D562" s="0" t="s">
        <v>104</v>
      </c>
      <c r="E562" s="0" t="str">
        <f>"s1_node_"&amp;D562&amp;"_name"</f>
        <v>s1_node_recruit_name</v>
      </c>
      <c r="F562" s="13" t="str">
        <f>"s1_node_"&amp;D562&amp;"_desc"</f>
        <v>s1_node_recruit_desc</v>
      </c>
      <c r="G562" s="0" t="s">
        <v>422</v>
      </c>
      <c r="H562" s="0">
        <v>4</v>
      </c>
      <c r="I562" s="0" t="s">
        <v>27</v>
      </c>
      <c r="J562" s="0" t="s">
        <v>735</v>
      </c>
      <c r="K562" s="0">
        <v>2840</v>
      </c>
      <c r="L562" s="13">
        <v>3</v>
      </c>
      <c r="M562" s="0">
        <v>73</v>
      </c>
      <c r="N562" s="0">
        <v>6</v>
      </c>
      <c r="P562" s="0" t="s">
        <v>737</v>
      </c>
      <c r="T562" s="0" t="str">
        <f>_xlfn.TEXTJOIN("_",TRUE,C562,"node_eff",D562,M562,N562)</f>
        <v>s1_node_eff_recruit_73_6</v>
      </c>
    </row>
    <row r="563" spans="1:20" x14ac:dyDescent="0.45">
      <c r="A563" s="0" t="str">
        <f>_xlfn.TEXTJOIN("_",TRUE,C563,"node",D563,M563,N563)</f>
        <v>s1_node_recruit_74_2</v>
      </c>
      <c r="B563" s="0" t="s">
        <v>0</v>
      </c>
      <c r="C563" s="0" t="s">
        <v>26</v>
      </c>
      <c r="D563" s="0" t="s">
        <v>104</v>
      </c>
      <c r="E563" s="0" t="str">
        <f>"s1_node_"&amp;D563&amp;"_name"</f>
        <v>s1_node_recruit_name</v>
      </c>
      <c r="F563" s="13" t="str">
        <f>"s1_node_"&amp;D563&amp;"_desc"</f>
        <v>s1_node_recruit_desc</v>
      </c>
      <c r="G563" s="0" t="s">
        <v>422</v>
      </c>
      <c r="H563" s="0">
        <v>4</v>
      </c>
      <c r="I563" s="0" t="s">
        <v>27</v>
      </c>
      <c r="J563" s="0" t="s">
        <v>738</v>
      </c>
      <c r="K563" s="0">
        <v>2880</v>
      </c>
      <c r="L563" s="13">
        <v>3</v>
      </c>
      <c r="M563" s="0">
        <v>74</v>
      </c>
      <c r="N563" s="0">
        <v>2</v>
      </c>
      <c r="T563" s="0" t="str">
        <f>_xlfn.TEXTJOIN("_",TRUE,C563,"node_eff",D563,M563,N563)</f>
        <v>s1_node_eff_recruit_74_2</v>
      </c>
    </row>
    <row r="564" spans="1:20" x14ac:dyDescent="0.45">
      <c r="A564" s="0" t="str">
        <f>_xlfn.TEXTJOIN("_",TRUE,C564,"node",D564,M564,N564)</f>
        <v>s1_node_recruit_74_4</v>
      </c>
      <c r="B564" s="0" t="s">
        <v>0</v>
      </c>
      <c r="C564" s="0" t="s">
        <v>26</v>
      </c>
      <c r="D564" s="0" t="s">
        <v>104</v>
      </c>
      <c r="E564" s="0" t="str">
        <f>"s1_node_"&amp;D564&amp;"_name"</f>
        <v>s1_node_recruit_name</v>
      </c>
      <c r="F564" s="13" t="str">
        <f>"s1_node_"&amp;D564&amp;"_desc"</f>
        <v>s1_node_recruit_desc</v>
      </c>
      <c r="G564" s="0" t="s">
        <v>615</v>
      </c>
      <c r="H564" s="0">
        <v>4</v>
      </c>
      <c r="I564" s="0" t="s">
        <v>27</v>
      </c>
      <c r="J564" s="0" t="s">
        <v>738</v>
      </c>
      <c r="K564" s="0">
        <v>2880</v>
      </c>
      <c r="L564" s="13">
        <v>3</v>
      </c>
      <c r="M564" s="0">
        <v>74</v>
      </c>
      <c r="N564" s="0">
        <v>4</v>
      </c>
      <c r="P564" s="0" t="s">
        <v>739</v>
      </c>
      <c r="T564" s="0" t="str">
        <f>_xlfn.TEXTJOIN("_",TRUE,C564,"node_eff",D564,M564,N564)</f>
        <v>s1_node_eff_recruit_74_4</v>
      </c>
    </row>
    <row r="565" spans="1:20" x14ac:dyDescent="0.45">
      <c r="A565" s="0" t="str">
        <f>_xlfn.TEXTJOIN("_",TRUE,C565,"node",D565,M565,N565)</f>
        <v>s1_node_recruit_74_6</v>
      </c>
      <c r="B565" s="0" t="s">
        <v>0</v>
      </c>
      <c r="C565" s="0" t="s">
        <v>26</v>
      </c>
      <c r="D565" s="0" t="s">
        <v>104</v>
      </c>
      <c r="E565" s="0" t="str">
        <f>"s1_node_"&amp;D565&amp;"_name"</f>
        <v>s1_node_recruit_name</v>
      </c>
      <c r="F565" s="13" t="str">
        <f>"s1_node_"&amp;D565&amp;"_desc"</f>
        <v>s1_node_recruit_desc</v>
      </c>
      <c r="G565" s="0" t="s">
        <v>615</v>
      </c>
      <c r="H565" s="0">
        <v>4</v>
      </c>
      <c r="I565" s="0" t="s">
        <v>27</v>
      </c>
      <c r="J565" s="0" t="s">
        <v>738</v>
      </c>
      <c r="K565" s="0">
        <v>2880</v>
      </c>
      <c r="L565" s="13">
        <v>3</v>
      </c>
      <c r="M565" s="0">
        <v>74</v>
      </c>
      <c r="N565" s="0">
        <v>6</v>
      </c>
      <c r="T565" s="0" t="str">
        <f>_xlfn.TEXTJOIN("_",TRUE,C565,"node_eff",D565,M565,N565)</f>
        <v>s1_node_eff_recruit_74_6</v>
      </c>
    </row>
    <row r="566" spans="1:20" x14ac:dyDescent="0.45">
      <c r="A566" s="0" t="str">
        <f>_xlfn.TEXTJOIN("_",TRUE,C566,"node",D566,M566,N566)</f>
        <v>s1_node_recruit_75_2</v>
      </c>
      <c r="B566" s="0" t="s">
        <v>0</v>
      </c>
      <c r="C566" s="0" t="s">
        <v>26</v>
      </c>
      <c r="D566" s="0" t="s">
        <v>104</v>
      </c>
      <c r="E566" s="0" t="str">
        <f>"s1_node_"&amp;D566&amp;"_name"</f>
        <v>s1_node_recruit_name</v>
      </c>
      <c r="F566" s="13" t="str">
        <f>"s1_node_"&amp;D566&amp;"_desc"</f>
        <v>s1_node_recruit_desc</v>
      </c>
      <c r="G566" s="0" t="s">
        <v>615</v>
      </c>
      <c r="H566" s="0">
        <v>4</v>
      </c>
      <c r="I566" s="0" t="s">
        <v>27</v>
      </c>
      <c r="J566" s="0" t="s">
        <v>740</v>
      </c>
      <c r="K566" s="0">
        <v>2910</v>
      </c>
      <c r="L566" s="13">
        <v>3</v>
      </c>
      <c r="M566" s="0">
        <v>75</v>
      </c>
      <c r="N566" s="0">
        <v>2</v>
      </c>
      <c r="P566" s="0" t="s">
        <v>741</v>
      </c>
      <c r="T566" s="0" t="str">
        <f>_xlfn.TEXTJOIN("_",TRUE,C566,"node_eff",D566,M566,N566)</f>
        <v>s1_node_eff_recruit_75_2</v>
      </c>
    </row>
    <row r="567" spans="1:20" x14ac:dyDescent="0.45">
      <c r="A567" s="0" t="str">
        <f>_xlfn.TEXTJOIN("_",TRUE,C567,"node",D567,M567,N567)</f>
        <v>s1_node_recruit_75_6</v>
      </c>
      <c r="B567" s="0" t="s">
        <v>0</v>
      </c>
      <c r="C567" s="0" t="s">
        <v>26</v>
      </c>
      <c r="D567" s="0" t="s">
        <v>104</v>
      </c>
      <c r="E567" s="0" t="str">
        <f>"s1_node_"&amp;D567&amp;"_name"</f>
        <v>s1_node_recruit_name</v>
      </c>
      <c r="F567" s="13" t="str">
        <f>"s1_node_"&amp;D567&amp;"_desc"</f>
        <v>s1_node_recruit_desc</v>
      </c>
      <c r="G567" s="0" t="s">
        <v>615</v>
      </c>
      <c r="H567" s="0">
        <v>4</v>
      </c>
      <c r="I567" s="0" t="s">
        <v>27</v>
      </c>
      <c r="J567" s="0" t="s">
        <v>740</v>
      </c>
      <c r="K567" s="0">
        <v>2910</v>
      </c>
      <c r="L567" s="13">
        <v>3</v>
      </c>
      <c r="M567" s="0">
        <v>75</v>
      </c>
      <c r="N567" s="0">
        <v>6</v>
      </c>
      <c r="P567" s="0" t="s">
        <v>742</v>
      </c>
      <c r="T567" s="0" t="str">
        <f>_xlfn.TEXTJOIN("_",TRUE,C567,"node_eff",D567,M567,N567)</f>
        <v>s1_node_eff_recruit_75_6</v>
      </c>
    </row>
    <row r="568" spans="1:20" x14ac:dyDescent="0.45">
      <c r="A568" s="0" t="str">
        <f>_xlfn.TEXTJOIN("_",TRUE,C568,"node",D568,M568,N568)</f>
        <v>s1_node_recruit_76_4</v>
      </c>
      <c r="B568" s="0" t="s">
        <v>0</v>
      </c>
      <c r="C568" s="0" t="s">
        <v>26</v>
      </c>
      <c r="D568" s="0" t="s">
        <v>104</v>
      </c>
      <c r="E568" s="0" t="str">
        <f>"s1_node_"&amp;D568&amp;"_name"</f>
        <v>s1_node_recruit_name</v>
      </c>
      <c r="F568" s="13" t="str">
        <f>"s1_node_"&amp;D568&amp;"_desc"</f>
        <v>s1_node_recruit_desc</v>
      </c>
      <c r="G568" s="0" t="s">
        <v>422</v>
      </c>
      <c r="H568" s="0">
        <v>4</v>
      </c>
      <c r="I568" s="0" t="s">
        <v>27</v>
      </c>
      <c r="J568" s="0" t="s">
        <v>743</v>
      </c>
      <c r="K568" s="0">
        <v>2950</v>
      </c>
      <c r="L568" s="13">
        <v>3</v>
      </c>
      <c r="M568" s="0">
        <v>76</v>
      </c>
      <c r="N568" s="0">
        <v>4</v>
      </c>
      <c r="P568" s="0" t="s">
        <v>744</v>
      </c>
      <c r="T568" s="0" t="str">
        <f>_xlfn.TEXTJOIN("_",TRUE,C568,"node_eff",D568,M568,N568)</f>
        <v>s1_node_eff_recruit_76_4</v>
      </c>
    </row>
    <row r="569" spans="1:20" x14ac:dyDescent="0.45">
      <c r="A569" s="0" t="str">
        <f>_xlfn.TEXTJOIN("_",TRUE,C569,"node",D569,M569,N569)</f>
        <v>s1_node_recruit_77_2</v>
      </c>
      <c r="B569" s="0" t="s">
        <v>0</v>
      </c>
      <c r="C569" s="0" t="s">
        <v>26</v>
      </c>
      <c r="D569" s="0" t="s">
        <v>104</v>
      </c>
      <c r="E569" s="0" t="str">
        <f>"s1_node_"&amp;D569&amp;"_name"</f>
        <v>s1_node_recruit_name</v>
      </c>
      <c r="F569" s="13" t="str">
        <f>"s1_node_"&amp;D569&amp;"_desc"</f>
        <v>s1_node_recruit_desc</v>
      </c>
      <c r="G569" s="0" t="s">
        <v>422</v>
      </c>
      <c r="H569" s="0">
        <v>4</v>
      </c>
      <c r="I569" s="0" t="s">
        <v>27</v>
      </c>
      <c r="J569" s="0" t="s">
        <v>745</v>
      </c>
      <c r="K569" s="0">
        <v>2990</v>
      </c>
      <c r="L569" s="13">
        <v>3</v>
      </c>
      <c r="M569" s="0">
        <v>77</v>
      </c>
      <c r="N569" s="0">
        <v>2</v>
      </c>
      <c r="T569" s="0" t="str">
        <f>_xlfn.TEXTJOIN("_",TRUE,C569,"node_eff",D569,M569,N569)</f>
        <v>s1_node_eff_recruit_77_2</v>
      </c>
    </row>
    <row r="570" spans="1:20" x14ac:dyDescent="0.45">
      <c r="A570" s="0" t="str">
        <f>_xlfn.TEXTJOIN("_",TRUE,C570,"node",D570,M570,N570)</f>
        <v>s1_node_recruit_77_4</v>
      </c>
      <c r="B570" s="0" t="s">
        <v>0</v>
      </c>
      <c r="C570" s="0" t="s">
        <v>26</v>
      </c>
      <c r="D570" s="0" t="s">
        <v>104</v>
      </c>
      <c r="E570" s="0" t="str">
        <f>"s1_node_"&amp;D570&amp;"_name"</f>
        <v>s1_node_recruit_name</v>
      </c>
      <c r="F570" s="13" t="str">
        <f>"s1_node_"&amp;D570&amp;"_desc"</f>
        <v>s1_node_recruit_desc</v>
      </c>
      <c r="G570" s="0" t="s">
        <v>422</v>
      </c>
      <c r="H570" s="0">
        <v>4</v>
      </c>
      <c r="I570" s="0" t="s">
        <v>27</v>
      </c>
      <c r="J570" s="0" t="s">
        <v>745</v>
      </c>
      <c r="K570" s="0">
        <v>2990</v>
      </c>
      <c r="L570" s="13">
        <v>3</v>
      </c>
      <c r="M570" s="0">
        <v>77</v>
      </c>
      <c r="N570" s="0">
        <v>4</v>
      </c>
      <c r="T570" s="0" t="str">
        <f>_xlfn.TEXTJOIN("_",TRUE,C570,"node_eff",D570,M570,N570)</f>
        <v>s1_node_eff_recruit_77_4</v>
      </c>
    </row>
    <row r="571" spans="1:20" x14ac:dyDescent="0.45">
      <c r="A571" s="0" t="str">
        <f>_xlfn.TEXTJOIN("_",TRUE,C571,"node",D571,M571,N571)</f>
        <v>s1_node_recruit_77_6</v>
      </c>
      <c r="B571" s="0" t="s">
        <v>0</v>
      </c>
      <c r="C571" s="0" t="s">
        <v>26</v>
      </c>
      <c r="D571" s="0" t="s">
        <v>104</v>
      </c>
      <c r="E571" s="0" t="str">
        <f>"s1_node_"&amp;D571&amp;"_name"</f>
        <v>s1_node_recruit_name</v>
      </c>
      <c r="F571" s="13" t="str">
        <f>"s1_node_"&amp;D571&amp;"_desc"</f>
        <v>s1_node_recruit_desc</v>
      </c>
      <c r="G571" s="0" t="s">
        <v>615</v>
      </c>
      <c r="H571" s="0">
        <v>4</v>
      </c>
      <c r="I571" s="0" t="s">
        <v>27</v>
      </c>
      <c r="J571" s="0" t="s">
        <v>745</v>
      </c>
      <c r="K571" s="0">
        <v>2990</v>
      </c>
      <c r="L571" s="13">
        <v>3</v>
      </c>
      <c r="M571" s="0">
        <v>77</v>
      </c>
      <c r="N571" s="0">
        <v>6</v>
      </c>
      <c r="T571" s="0" t="str">
        <f>_xlfn.TEXTJOIN("_",TRUE,C571,"node_eff",D571,M571,N571)</f>
        <v>s1_node_eff_recruit_77_6</v>
      </c>
    </row>
    <row r="572" spans="1:20" x14ac:dyDescent="0.45">
      <c r="A572" s="0" t="str">
        <f>_xlfn.TEXTJOIN("_",TRUE,C572,"node",D572,M572,N572)</f>
        <v>s1_node_recruit_78_2</v>
      </c>
      <c r="B572" s="0" t="s">
        <v>0</v>
      </c>
      <c r="C572" s="0" t="s">
        <v>26</v>
      </c>
      <c r="D572" s="0" t="s">
        <v>104</v>
      </c>
      <c r="E572" s="0" t="str">
        <f>"s1_node_"&amp;D572&amp;"_name"</f>
        <v>s1_node_recruit_name</v>
      </c>
      <c r="F572" s="13" t="str">
        <f>"s1_node_"&amp;D572&amp;"_desc"</f>
        <v>s1_node_recruit_desc</v>
      </c>
      <c r="G572" s="0" t="s">
        <v>615</v>
      </c>
      <c r="H572" s="0">
        <v>4</v>
      </c>
      <c r="I572" s="0" t="s">
        <v>27</v>
      </c>
      <c r="J572" s="0" t="s">
        <v>377</v>
      </c>
      <c r="K572" s="0">
        <v>3030</v>
      </c>
      <c r="L572" s="13">
        <v>3</v>
      </c>
      <c r="M572" s="0">
        <v>78</v>
      </c>
      <c r="N572" s="0">
        <v>2</v>
      </c>
      <c r="P572" s="0" t="s">
        <v>746</v>
      </c>
      <c r="T572" s="0" t="str">
        <f>_xlfn.TEXTJOIN("_",TRUE,C572,"node_eff",D572,M572,N572)</f>
        <v>s1_node_eff_recruit_78_2</v>
      </c>
    </row>
    <row r="573" spans="1:20" x14ac:dyDescent="0.45">
      <c r="A573" s="0" t="str">
        <f>_xlfn.TEXTJOIN("_",TRUE,C573,"node",D573,M573,N573)</f>
        <v>s1_node_recruit_78_6</v>
      </c>
      <c r="B573" s="0" t="s">
        <v>0</v>
      </c>
      <c r="C573" s="0" t="s">
        <v>26</v>
      </c>
      <c r="D573" s="0" t="s">
        <v>104</v>
      </c>
      <c r="E573" s="0" t="str">
        <f>"s1_node_"&amp;D573&amp;"_name"</f>
        <v>s1_node_recruit_name</v>
      </c>
      <c r="F573" s="13" t="str">
        <f>"s1_node_"&amp;D573&amp;"_desc"</f>
        <v>s1_node_recruit_desc</v>
      </c>
      <c r="G573" s="0" t="s">
        <v>615</v>
      </c>
      <c r="H573" s="0">
        <v>4</v>
      </c>
      <c r="I573" s="0" t="s">
        <v>27</v>
      </c>
      <c r="J573" s="0" t="s">
        <v>377</v>
      </c>
      <c r="K573" s="0">
        <v>3030</v>
      </c>
      <c r="L573" s="13">
        <v>3</v>
      </c>
      <c r="M573" s="0">
        <v>78</v>
      </c>
      <c r="N573" s="0">
        <v>6</v>
      </c>
      <c r="P573" s="0" t="s">
        <v>747</v>
      </c>
      <c r="T573" s="0" t="str">
        <f>_xlfn.TEXTJOIN("_",TRUE,C573,"node_eff",D573,M573,N573)</f>
        <v>s1_node_eff_recruit_78_6</v>
      </c>
    </row>
    <row r="574" spans="1:20" x14ac:dyDescent="0.45">
      <c r="A574" s="0" t="str">
        <f>_xlfn.TEXTJOIN("_",TRUE,C574,"node",D574,M574,N574)</f>
        <v>s1_node_recruit_79_2</v>
      </c>
      <c r="B574" s="0" t="s">
        <v>0</v>
      </c>
      <c r="C574" s="0" t="s">
        <v>26</v>
      </c>
      <c r="D574" s="0" t="s">
        <v>104</v>
      </c>
      <c r="E574" s="0" t="str">
        <f>"s1_node_"&amp;D574&amp;"_name"</f>
        <v>s1_node_recruit_name</v>
      </c>
      <c r="F574" s="13" t="str">
        <f>"s1_node_"&amp;D574&amp;"_desc"</f>
        <v>s1_node_recruit_desc</v>
      </c>
      <c r="G574" s="0" t="s">
        <v>615</v>
      </c>
      <c r="H574" s="0">
        <v>4</v>
      </c>
      <c r="I574" s="0" t="s">
        <v>27</v>
      </c>
      <c r="J574" s="0" t="s">
        <v>748</v>
      </c>
      <c r="K574" s="0">
        <v>3060</v>
      </c>
      <c r="L574" s="13">
        <v>3</v>
      </c>
      <c r="M574" s="0">
        <v>79</v>
      </c>
      <c r="N574" s="0">
        <v>2</v>
      </c>
      <c r="T574" s="0" t="str">
        <f>_xlfn.TEXTJOIN("_",TRUE,C574,"node_eff",D574,M574,N574)</f>
        <v>s1_node_eff_recruit_79_2</v>
      </c>
    </row>
    <row r="575" spans="1:20" x14ac:dyDescent="0.45">
      <c r="A575" s="0" t="str">
        <f>_xlfn.TEXTJOIN("_",TRUE,C575,"node",D575,M575,N575)</f>
        <v>s1_node_recruit_79_4</v>
      </c>
      <c r="B575" s="0" t="s">
        <v>0</v>
      </c>
      <c r="C575" s="0" t="s">
        <v>26</v>
      </c>
      <c r="D575" s="0" t="s">
        <v>104</v>
      </c>
      <c r="E575" s="0" t="str">
        <f>"s1_node_"&amp;D575&amp;"_name"</f>
        <v>s1_node_recruit_name</v>
      </c>
      <c r="F575" s="13" t="str">
        <f>"s1_node_"&amp;D575&amp;"_desc"</f>
        <v>s1_node_recruit_desc</v>
      </c>
      <c r="G575" s="0" t="s">
        <v>422</v>
      </c>
      <c r="H575" s="0">
        <v>4</v>
      </c>
      <c r="I575" s="0" t="s">
        <v>27</v>
      </c>
      <c r="J575" s="0" t="s">
        <v>748</v>
      </c>
      <c r="K575" s="0">
        <v>3060</v>
      </c>
      <c r="L575" s="13">
        <v>3</v>
      </c>
      <c r="M575" s="0">
        <v>79</v>
      </c>
      <c r="N575" s="0">
        <v>4</v>
      </c>
      <c r="P575" s="0" t="s">
        <v>749</v>
      </c>
      <c r="T575" s="0" t="str">
        <f>_xlfn.TEXTJOIN("_",TRUE,C575,"node_eff",D575,M575,N575)</f>
        <v>s1_node_eff_recruit_79_4</v>
      </c>
    </row>
    <row r="576" spans="1:20" x14ac:dyDescent="0.45">
      <c r="A576" s="0" t="str">
        <f>_xlfn.TEXTJOIN("_",TRUE,C576,"node",D576,M576,N576)</f>
        <v>s1_node_recruit_79_6</v>
      </c>
      <c r="B576" s="0" t="s">
        <v>0</v>
      </c>
      <c r="C576" s="0" t="s">
        <v>26</v>
      </c>
      <c r="D576" s="0" t="s">
        <v>104</v>
      </c>
      <c r="E576" s="0" t="str">
        <f>"s1_node_"&amp;D576&amp;"_name"</f>
        <v>s1_node_recruit_name</v>
      </c>
      <c r="F576" s="13" t="str">
        <f>"s1_node_"&amp;D576&amp;"_desc"</f>
        <v>s1_node_recruit_desc</v>
      </c>
      <c r="G576" s="0" t="s">
        <v>422</v>
      </c>
      <c r="H576" s="0">
        <v>4</v>
      </c>
      <c r="I576" s="0" t="s">
        <v>27</v>
      </c>
      <c r="J576" s="0" t="s">
        <v>748</v>
      </c>
      <c r="K576" s="0">
        <v>3060</v>
      </c>
      <c r="L576" s="13">
        <v>3</v>
      </c>
      <c r="M576" s="0">
        <v>79</v>
      </c>
      <c r="N576" s="0">
        <v>6</v>
      </c>
      <c r="T576" s="0" t="str">
        <f>_xlfn.TEXTJOIN("_",TRUE,C576,"node_eff",D576,M576,N576)</f>
        <v>s1_node_eff_recruit_79_6</v>
      </c>
    </row>
    <row r="577" spans="1:20" x14ac:dyDescent="0.45">
      <c r="A577" s="0" t="str">
        <f>_xlfn.TEXTJOIN("_",TRUE,C577,"node",D577,M577,N577)</f>
        <v>s1_node_recruit_80_2</v>
      </c>
      <c r="B577" s="0" t="s">
        <v>0</v>
      </c>
      <c r="C577" s="0" t="s">
        <v>26</v>
      </c>
      <c r="D577" s="0" t="s">
        <v>104</v>
      </c>
      <c r="E577" s="0" t="str">
        <f>"s1_node_"&amp;D577&amp;"_name"</f>
        <v>s1_node_recruit_name</v>
      </c>
      <c r="F577" s="13" t="str">
        <f>"s1_node_"&amp;D577&amp;"_desc"</f>
        <v>s1_node_recruit_desc</v>
      </c>
      <c r="G577" s="0" t="s">
        <v>422</v>
      </c>
      <c r="H577" s="0">
        <v>4</v>
      </c>
      <c r="I577" s="0" t="s">
        <v>27</v>
      </c>
      <c r="J577" s="0" t="s">
        <v>382</v>
      </c>
      <c r="K577" s="0">
        <v>3100</v>
      </c>
      <c r="L577" s="13">
        <v>3</v>
      </c>
      <c r="M577" s="0">
        <v>80</v>
      </c>
      <c r="N577" s="0">
        <v>2</v>
      </c>
      <c r="P577" s="0" t="s">
        <v>750</v>
      </c>
      <c r="T577" s="0" t="str">
        <f>_xlfn.TEXTJOIN("_",TRUE,C577,"node_eff",D577,M577,N577)</f>
        <v>s1_node_eff_recruit_80_2</v>
      </c>
    </row>
    <row r="578" spans="1:20" x14ac:dyDescent="0.45">
      <c r="A578" s="0" t="str">
        <f>_xlfn.TEXTJOIN("_",TRUE,C578,"node",D578,M578,N578)</f>
        <v>s1_node_recruit_80_6</v>
      </c>
      <c r="B578" s="0" t="s">
        <v>0</v>
      </c>
      <c r="C578" s="0" t="s">
        <v>26</v>
      </c>
      <c r="D578" s="0" t="s">
        <v>104</v>
      </c>
      <c r="E578" s="0" t="str">
        <f>"s1_node_"&amp;D578&amp;"_name"</f>
        <v>s1_node_recruit_name</v>
      </c>
      <c r="F578" s="13" t="str">
        <f>"s1_node_"&amp;D578&amp;"_desc"</f>
        <v>s1_node_recruit_desc</v>
      </c>
      <c r="G578" s="0" t="s">
        <v>615</v>
      </c>
      <c r="H578" s="0">
        <v>4</v>
      </c>
      <c r="I578" s="0" t="s">
        <v>27</v>
      </c>
      <c r="J578" s="0" t="s">
        <v>382</v>
      </c>
      <c r="K578" s="0">
        <v>3100</v>
      </c>
      <c r="L578" s="13">
        <v>3</v>
      </c>
      <c r="M578" s="0">
        <v>80</v>
      </c>
      <c r="N578" s="0">
        <v>6</v>
      </c>
      <c r="P578" s="0" t="s">
        <v>751</v>
      </c>
      <c r="T578" s="0" t="str">
        <f>_xlfn.TEXTJOIN("_",TRUE,C578,"node_eff",D578,M578,N578)</f>
        <v>s1_node_eff_recruit_80_6</v>
      </c>
    </row>
    <row r="579" spans="1:20" x14ac:dyDescent="0.45">
      <c r="A579" s="0" t="str">
        <f>_xlfn.TEXTJOIN("_",TRUE,C579,"node",D579,M579,N579)</f>
        <v>s1_node_recruit_81_4</v>
      </c>
      <c r="B579" s="0" t="s">
        <v>0</v>
      </c>
      <c r="C579" s="0" t="s">
        <v>26</v>
      </c>
      <c r="D579" s="0" t="s">
        <v>104</v>
      </c>
      <c r="E579" s="0" t="str">
        <f>"s1_node_"&amp;D579&amp;"_name"</f>
        <v>s1_node_recruit_name</v>
      </c>
      <c r="F579" s="13" t="str">
        <f>"s1_node_"&amp;D579&amp;"_desc"</f>
        <v>s1_node_recruit_desc</v>
      </c>
      <c r="G579" s="0" t="s">
        <v>615</v>
      </c>
      <c r="H579" s="0">
        <v>5</v>
      </c>
      <c r="I579" s="0" t="s">
        <v>27</v>
      </c>
      <c r="J579" s="0" t="s">
        <v>385</v>
      </c>
      <c r="K579" s="0">
        <v>3140</v>
      </c>
      <c r="L579" s="13">
        <v>3</v>
      </c>
      <c r="M579" s="0">
        <v>81</v>
      </c>
      <c r="N579" s="0">
        <v>4</v>
      </c>
      <c r="P579" s="0" t="s">
        <v>752</v>
      </c>
      <c r="T579" s="0" t="str">
        <f>_xlfn.TEXTJOIN("_",TRUE,C579,"node_eff",D579,M579,N579)</f>
        <v>s1_node_eff_recruit_81_4</v>
      </c>
    </row>
    <row r="580" spans="1:20" x14ac:dyDescent="0.45">
      <c r="A580" s="0" t="str">
        <f>_xlfn.TEXTJOIN("_",TRUE,C580,"node",D580,M580,N580)</f>
        <v>s1_node_recruit_82_2</v>
      </c>
      <c r="B580" s="0" t="s">
        <v>0</v>
      </c>
      <c r="C580" s="0" t="s">
        <v>26</v>
      </c>
      <c r="D580" s="0" t="s">
        <v>104</v>
      </c>
      <c r="E580" s="0" t="str">
        <f>"s1_node_"&amp;D580&amp;"_name"</f>
        <v>s1_node_recruit_name</v>
      </c>
      <c r="F580" s="13" t="str">
        <f>"s1_node_"&amp;D580&amp;"_desc"</f>
        <v>s1_node_recruit_desc</v>
      </c>
      <c r="G580" s="0" t="s">
        <v>615</v>
      </c>
      <c r="H580" s="0">
        <v>5</v>
      </c>
      <c r="I580" s="0" t="s">
        <v>27</v>
      </c>
      <c r="J580" s="0" t="s">
        <v>753</v>
      </c>
      <c r="K580" s="0">
        <v>3180</v>
      </c>
      <c r="L580" s="13">
        <v>3</v>
      </c>
      <c r="M580" s="0">
        <v>82</v>
      </c>
      <c r="N580" s="0">
        <v>2</v>
      </c>
      <c r="T580" s="0" t="str">
        <f>_xlfn.TEXTJOIN("_",TRUE,C580,"node_eff",D580,M580,N580)</f>
        <v>s1_node_eff_recruit_82_2</v>
      </c>
    </row>
    <row r="581" spans="1:20" x14ac:dyDescent="0.45">
      <c r="A581" s="0" t="str">
        <f>_xlfn.TEXTJOIN("_",TRUE,C581,"node",D581,M581,N581)</f>
        <v>s1_node_recruit_82_4</v>
      </c>
      <c r="B581" s="0" t="s">
        <v>0</v>
      </c>
      <c r="C581" s="0" t="s">
        <v>26</v>
      </c>
      <c r="D581" s="0" t="s">
        <v>104</v>
      </c>
      <c r="E581" s="0" t="str">
        <f>"s1_node_"&amp;D581&amp;"_name"</f>
        <v>s1_node_recruit_name</v>
      </c>
      <c r="F581" s="13" t="str">
        <f>"s1_node_"&amp;D581&amp;"_desc"</f>
        <v>s1_node_recruit_desc</v>
      </c>
      <c r="G581" s="0" t="s">
        <v>615</v>
      </c>
      <c r="H581" s="0">
        <v>5</v>
      </c>
      <c r="I581" s="0" t="s">
        <v>27</v>
      </c>
      <c r="J581" s="0" t="s">
        <v>753</v>
      </c>
      <c r="K581" s="0">
        <v>3180</v>
      </c>
      <c r="L581" s="13">
        <v>3</v>
      </c>
      <c r="M581" s="0">
        <v>82</v>
      </c>
      <c r="N581" s="0">
        <v>4</v>
      </c>
      <c r="T581" s="0" t="str">
        <f>_xlfn.TEXTJOIN("_",TRUE,C581,"node_eff",D581,M581,N581)</f>
        <v>s1_node_eff_recruit_82_4</v>
      </c>
    </row>
    <row r="582" spans="1:20" x14ac:dyDescent="0.45">
      <c r="A582" s="0" t="str">
        <f>_xlfn.TEXTJOIN("_",TRUE,C582,"node",D582,M582,N582)</f>
        <v>s1_node_recruit_82_6</v>
      </c>
      <c r="B582" s="0" t="s">
        <v>0</v>
      </c>
      <c r="C582" s="0" t="s">
        <v>26</v>
      </c>
      <c r="D582" s="0" t="s">
        <v>104</v>
      </c>
      <c r="E582" s="0" t="str">
        <f>"s1_node_"&amp;D582&amp;"_name"</f>
        <v>s1_node_recruit_name</v>
      </c>
      <c r="F582" s="13" t="str">
        <f>"s1_node_"&amp;D582&amp;"_desc"</f>
        <v>s1_node_recruit_desc</v>
      </c>
      <c r="G582" s="0" t="s">
        <v>422</v>
      </c>
      <c r="H582" s="0">
        <v>5</v>
      </c>
      <c r="I582" s="0" t="s">
        <v>27</v>
      </c>
      <c r="J582" s="0" t="s">
        <v>753</v>
      </c>
      <c r="K582" s="0">
        <v>3180</v>
      </c>
      <c r="L582" s="13">
        <v>3</v>
      </c>
      <c r="M582" s="0">
        <v>82</v>
      </c>
      <c r="N582" s="0">
        <v>6</v>
      </c>
      <c r="T582" s="0" t="str">
        <f>_xlfn.TEXTJOIN("_",TRUE,C582,"node_eff",D582,M582,N582)</f>
        <v>s1_node_eff_recruit_82_6</v>
      </c>
    </row>
    <row r="583" spans="1:20" x14ac:dyDescent="0.45">
      <c r="A583" s="0" t="str">
        <f>_xlfn.TEXTJOIN("_",TRUE,C583,"node",D583,M583,N583)</f>
        <v>s1_node_recruit_83_2</v>
      </c>
      <c r="B583" s="0" t="s">
        <v>0</v>
      </c>
      <c r="C583" s="0" t="s">
        <v>26</v>
      </c>
      <c r="D583" s="0" t="s">
        <v>104</v>
      </c>
      <c r="E583" s="0" t="str">
        <f>"s1_node_"&amp;D583&amp;"_name"</f>
        <v>s1_node_recruit_name</v>
      </c>
      <c r="F583" s="13" t="str">
        <f>"s1_node_"&amp;D583&amp;"_desc"</f>
        <v>s1_node_recruit_desc</v>
      </c>
      <c r="G583" s="0" t="s">
        <v>422</v>
      </c>
      <c r="H583" s="0">
        <v>5</v>
      </c>
      <c r="I583" s="0" t="s">
        <v>27</v>
      </c>
      <c r="J583" s="0" t="s">
        <v>391</v>
      </c>
      <c r="K583" s="0">
        <v>3210</v>
      </c>
      <c r="L583" s="13">
        <v>3</v>
      </c>
      <c r="M583" s="0">
        <v>83</v>
      </c>
      <c r="N583" s="0">
        <v>2</v>
      </c>
      <c r="P583" s="0" t="s">
        <v>754</v>
      </c>
      <c r="T583" s="0" t="str">
        <f>_xlfn.TEXTJOIN("_",TRUE,C583,"node_eff",D583,M583,N583)</f>
        <v>s1_node_eff_recruit_83_2</v>
      </c>
    </row>
    <row r="584" spans="1:20" x14ac:dyDescent="0.45">
      <c r="A584" s="0" t="str">
        <f>_xlfn.TEXTJOIN("_",TRUE,C584,"node",D584,M584,N584)</f>
        <v>s1_node_recruit_83_6</v>
      </c>
      <c r="B584" s="0" t="s">
        <v>0</v>
      </c>
      <c r="C584" s="0" t="s">
        <v>26</v>
      </c>
      <c r="D584" s="0" t="s">
        <v>104</v>
      </c>
      <c r="E584" s="0" t="str">
        <f>"s1_node_"&amp;D584&amp;"_name"</f>
        <v>s1_node_recruit_name</v>
      </c>
      <c r="F584" s="13" t="str">
        <f>"s1_node_"&amp;D584&amp;"_desc"</f>
        <v>s1_node_recruit_desc</v>
      </c>
      <c r="G584" s="0" t="s">
        <v>422</v>
      </c>
      <c r="H584" s="0">
        <v>5</v>
      </c>
      <c r="I584" s="0" t="s">
        <v>27</v>
      </c>
      <c r="J584" s="0" t="s">
        <v>391</v>
      </c>
      <c r="K584" s="0">
        <v>3210</v>
      </c>
      <c r="L584" s="13">
        <v>3</v>
      </c>
      <c r="M584" s="0">
        <v>83</v>
      </c>
      <c r="N584" s="0">
        <v>6</v>
      </c>
      <c r="P584" s="0" t="s">
        <v>755</v>
      </c>
      <c r="T584" s="0" t="str">
        <f>_xlfn.TEXTJOIN("_",TRUE,C584,"node_eff",D584,M584,N584)</f>
        <v>s1_node_eff_recruit_83_6</v>
      </c>
    </row>
    <row r="585" spans="1:20" x14ac:dyDescent="0.45">
      <c r="A585" s="0" t="str">
        <f>_xlfn.TEXTJOIN("_",TRUE,C585,"node",D585,M585,N585)</f>
        <v>s1_node_recruit_84_2</v>
      </c>
      <c r="B585" s="0" t="s">
        <v>0</v>
      </c>
      <c r="C585" s="0" t="s">
        <v>26</v>
      </c>
      <c r="D585" s="0" t="s">
        <v>104</v>
      </c>
      <c r="E585" s="0" t="str">
        <f>"s1_node_"&amp;D585&amp;"_name"</f>
        <v>s1_node_recruit_name</v>
      </c>
      <c r="F585" s="13" t="str">
        <f>"s1_node_"&amp;D585&amp;"_desc"</f>
        <v>s1_node_recruit_desc</v>
      </c>
      <c r="G585" s="0" t="s">
        <v>615</v>
      </c>
      <c r="H585" s="0">
        <v>5</v>
      </c>
      <c r="I585" s="0" t="s">
        <v>27</v>
      </c>
      <c r="J585" s="0" t="s">
        <v>756</v>
      </c>
      <c r="K585" s="0">
        <v>3250</v>
      </c>
      <c r="L585" s="13">
        <v>3</v>
      </c>
      <c r="M585" s="0">
        <v>84</v>
      </c>
      <c r="N585" s="0">
        <v>2</v>
      </c>
      <c r="T585" s="0" t="str">
        <f>_xlfn.TEXTJOIN("_",TRUE,C585,"node_eff",D585,M585,N585)</f>
        <v>s1_node_eff_recruit_84_2</v>
      </c>
    </row>
    <row r="586" spans="1:20" x14ac:dyDescent="0.45">
      <c r="A586" s="0" t="str">
        <f>_xlfn.TEXTJOIN("_",TRUE,C586,"node",D586,M586,N586)</f>
        <v>s1_node_recruit_84_4</v>
      </c>
      <c r="B586" s="0" t="s">
        <v>0</v>
      </c>
      <c r="C586" s="0" t="s">
        <v>26</v>
      </c>
      <c r="D586" s="0" t="s">
        <v>104</v>
      </c>
      <c r="E586" s="0" t="str">
        <f>"s1_node_"&amp;D586&amp;"_name"</f>
        <v>s1_node_recruit_name</v>
      </c>
      <c r="F586" s="13" t="str">
        <f>"s1_node_"&amp;D586&amp;"_desc"</f>
        <v>s1_node_recruit_desc</v>
      </c>
      <c r="G586" s="0" t="s">
        <v>615</v>
      </c>
      <c r="H586" s="0">
        <v>5</v>
      </c>
      <c r="I586" s="0" t="s">
        <v>27</v>
      </c>
      <c r="J586" s="0" t="s">
        <v>756</v>
      </c>
      <c r="K586" s="0">
        <v>3250</v>
      </c>
      <c r="L586" s="13">
        <v>3</v>
      </c>
      <c r="M586" s="0">
        <v>84</v>
      </c>
      <c r="N586" s="0">
        <v>4</v>
      </c>
      <c r="P586" s="0" t="s">
        <v>757</v>
      </c>
      <c r="T586" s="0" t="str">
        <f>_xlfn.TEXTJOIN("_",TRUE,C586,"node_eff",D586,M586,N586)</f>
        <v>s1_node_eff_recruit_84_4</v>
      </c>
    </row>
    <row r="587" spans="1:20" x14ac:dyDescent="0.45">
      <c r="A587" s="0" t="str">
        <f>_xlfn.TEXTJOIN("_",TRUE,C587,"node",D587,M587,N587)</f>
        <v>s1_node_recruit_84_6</v>
      </c>
      <c r="B587" s="0" t="s">
        <v>0</v>
      </c>
      <c r="C587" s="0" t="s">
        <v>26</v>
      </c>
      <c r="D587" s="0" t="s">
        <v>104</v>
      </c>
      <c r="E587" s="0" t="str">
        <f>"s1_node_"&amp;D587&amp;"_name"</f>
        <v>s1_node_recruit_name</v>
      </c>
      <c r="F587" s="13" t="str">
        <f>"s1_node_"&amp;D587&amp;"_desc"</f>
        <v>s1_node_recruit_desc</v>
      </c>
      <c r="G587" s="0" t="s">
        <v>615</v>
      </c>
      <c r="H587" s="0">
        <v>5</v>
      </c>
      <c r="I587" s="0" t="s">
        <v>27</v>
      </c>
      <c r="J587" s="0" t="s">
        <v>756</v>
      </c>
      <c r="K587" s="0">
        <v>3250</v>
      </c>
      <c r="L587" s="13">
        <v>3</v>
      </c>
      <c r="M587" s="0">
        <v>84</v>
      </c>
      <c r="N587" s="0">
        <v>6</v>
      </c>
      <c r="T587" s="0" t="str">
        <f>_xlfn.TEXTJOIN("_",TRUE,C587,"node_eff",D587,M587,N587)</f>
        <v>s1_node_eff_recruit_84_6</v>
      </c>
    </row>
    <row r="588" spans="1:20" x14ac:dyDescent="0.45">
      <c r="A588" s="0" t="str">
        <f>_xlfn.TEXTJOIN("_",TRUE,C588,"node",D588,M588,N588)</f>
        <v>s1_node_recruit_85_2</v>
      </c>
      <c r="B588" s="0" t="s">
        <v>0</v>
      </c>
      <c r="C588" s="0" t="s">
        <v>26</v>
      </c>
      <c r="D588" s="0" t="s">
        <v>104</v>
      </c>
      <c r="E588" s="0" t="str">
        <f>"s1_node_"&amp;D588&amp;"_name"</f>
        <v>s1_node_recruit_name</v>
      </c>
      <c r="F588" s="13" t="str">
        <f>"s1_node_"&amp;D588&amp;"_desc"</f>
        <v>s1_node_recruit_desc</v>
      </c>
      <c r="G588" s="0" t="s">
        <v>615</v>
      </c>
      <c r="H588" s="0">
        <v>5</v>
      </c>
      <c r="I588" s="0" t="s">
        <v>27</v>
      </c>
      <c r="J588" s="0" t="s">
        <v>590</v>
      </c>
      <c r="K588" s="0">
        <v>3290</v>
      </c>
      <c r="L588" s="13">
        <v>3</v>
      </c>
      <c r="M588" s="0">
        <v>85</v>
      </c>
      <c r="N588" s="0">
        <v>2</v>
      </c>
      <c r="P588" s="0" t="s">
        <v>758</v>
      </c>
      <c r="T588" s="0" t="str">
        <f>_xlfn.TEXTJOIN("_",TRUE,C588,"node_eff",D588,M588,N588)</f>
        <v>s1_node_eff_recruit_85_2</v>
      </c>
    </row>
    <row r="589" spans="1:20" x14ac:dyDescent="0.45">
      <c r="A589" s="0" t="str">
        <f>_xlfn.TEXTJOIN("_",TRUE,C589,"node",D589,M589,N589)</f>
        <v>s1_node_recruit_85_6</v>
      </c>
      <c r="B589" s="0" t="s">
        <v>0</v>
      </c>
      <c r="C589" s="0" t="s">
        <v>26</v>
      </c>
      <c r="D589" s="0" t="s">
        <v>104</v>
      </c>
      <c r="E589" s="0" t="str">
        <f>"s1_node_"&amp;D589&amp;"_name"</f>
        <v>s1_node_recruit_name</v>
      </c>
      <c r="F589" s="13" t="str">
        <f>"s1_node_"&amp;D589&amp;"_desc"</f>
        <v>s1_node_recruit_desc</v>
      </c>
      <c r="G589" s="0" t="s">
        <v>422</v>
      </c>
      <c r="H589" s="0">
        <v>5</v>
      </c>
      <c r="I589" s="0" t="s">
        <v>27</v>
      </c>
      <c r="J589" s="0" t="s">
        <v>590</v>
      </c>
      <c r="K589" s="0">
        <v>3290</v>
      </c>
      <c r="L589" s="13">
        <v>3</v>
      </c>
      <c r="M589" s="0">
        <v>85</v>
      </c>
      <c r="N589" s="0">
        <v>6</v>
      </c>
      <c r="P589" s="0" t="s">
        <v>759</v>
      </c>
      <c r="T589" s="0" t="str">
        <f>_xlfn.TEXTJOIN("_",TRUE,C589,"node_eff",D589,M589,N589)</f>
        <v>s1_node_eff_recruit_85_6</v>
      </c>
    </row>
    <row r="590" spans="1:20" x14ac:dyDescent="0.45">
      <c r="A590" s="0" t="str">
        <f>_xlfn.TEXTJOIN("_",TRUE,C590,"node",D590,M590,N590)</f>
        <v>s1_node_recruit_86_4</v>
      </c>
      <c r="B590" s="0" t="s">
        <v>0</v>
      </c>
      <c r="C590" s="0" t="s">
        <v>26</v>
      </c>
      <c r="D590" s="0" t="s">
        <v>104</v>
      </c>
      <c r="E590" s="0" t="str">
        <f>"s1_node_"&amp;D590&amp;"_name"</f>
        <v>s1_node_recruit_name</v>
      </c>
      <c r="F590" s="13" t="str">
        <f>"s1_node_"&amp;D590&amp;"_desc"</f>
        <v>s1_node_recruit_desc</v>
      </c>
      <c r="G590" s="0" t="s">
        <v>422</v>
      </c>
      <c r="H590" s="0">
        <v>5</v>
      </c>
      <c r="I590" s="0" t="s">
        <v>27</v>
      </c>
      <c r="J590" s="0" t="s">
        <v>593</v>
      </c>
      <c r="K590" s="0">
        <v>3330</v>
      </c>
      <c r="L590" s="13">
        <v>3</v>
      </c>
      <c r="M590" s="0">
        <v>86</v>
      </c>
      <c r="N590" s="0">
        <v>4</v>
      </c>
      <c r="P590" s="0" t="s">
        <v>760</v>
      </c>
      <c r="T590" s="0" t="str">
        <f>_xlfn.TEXTJOIN("_",TRUE,C590,"node_eff",D590,M590,N590)</f>
        <v>s1_node_eff_recruit_86_4</v>
      </c>
    </row>
    <row r="591" spans="1:20" x14ac:dyDescent="0.45">
      <c r="A591" s="0" t="str">
        <f>_xlfn.TEXTJOIN("_",TRUE,C591,"node",D591,M591,N591)</f>
        <v>s1_node_recruit_87_2</v>
      </c>
      <c r="B591" s="0" t="s">
        <v>0</v>
      </c>
      <c r="C591" s="0" t="s">
        <v>26</v>
      </c>
      <c r="D591" s="0" t="s">
        <v>104</v>
      </c>
      <c r="E591" s="0" t="str">
        <f>"s1_node_"&amp;D591&amp;"_name"</f>
        <v>s1_node_recruit_name</v>
      </c>
      <c r="F591" s="13" t="str">
        <f>"s1_node_"&amp;D591&amp;"_desc"</f>
        <v>s1_node_recruit_desc</v>
      </c>
      <c r="G591" s="0" t="s">
        <v>422</v>
      </c>
      <c r="H591" s="0">
        <v>5</v>
      </c>
      <c r="I591" s="0" t="s">
        <v>27</v>
      </c>
      <c r="J591" s="0" t="s">
        <v>595</v>
      </c>
      <c r="K591" s="0">
        <v>3360</v>
      </c>
      <c r="L591" s="13">
        <v>3</v>
      </c>
      <c r="M591" s="0">
        <v>87</v>
      </c>
      <c r="N591" s="0">
        <v>2</v>
      </c>
      <c r="T591" s="0" t="str">
        <f>_xlfn.TEXTJOIN("_",TRUE,C591,"node_eff",D591,M591,N591)</f>
        <v>s1_node_eff_recruit_87_2</v>
      </c>
    </row>
    <row r="592" spans="1:20" x14ac:dyDescent="0.45">
      <c r="A592" s="0" t="str">
        <f>_xlfn.TEXTJOIN("_",TRUE,C592,"node",D592,M592,N592)</f>
        <v>s1_node_recruit_87_4</v>
      </c>
      <c r="B592" s="0" t="s">
        <v>0</v>
      </c>
      <c r="C592" s="0" t="s">
        <v>26</v>
      </c>
      <c r="D592" s="0" t="s">
        <v>104</v>
      </c>
      <c r="E592" s="0" t="str">
        <f>"s1_node_"&amp;D592&amp;"_name"</f>
        <v>s1_node_recruit_name</v>
      </c>
      <c r="F592" s="13" t="str">
        <f>"s1_node_"&amp;D592&amp;"_desc"</f>
        <v>s1_node_recruit_desc</v>
      </c>
      <c r="G592" s="0" t="s">
        <v>615</v>
      </c>
      <c r="H592" s="0">
        <v>5</v>
      </c>
      <c r="I592" s="0" t="s">
        <v>27</v>
      </c>
      <c r="J592" s="0" t="s">
        <v>595</v>
      </c>
      <c r="K592" s="0">
        <v>3360</v>
      </c>
      <c r="L592" s="13">
        <v>3</v>
      </c>
      <c r="M592" s="0">
        <v>87</v>
      </c>
      <c r="N592" s="0">
        <v>4</v>
      </c>
      <c r="T592" s="0" t="str">
        <f>_xlfn.TEXTJOIN("_",TRUE,C592,"node_eff",D592,M592,N592)</f>
        <v>s1_node_eff_recruit_87_4</v>
      </c>
    </row>
    <row r="593" spans="1:20" x14ac:dyDescent="0.45">
      <c r="A593" s="0" t="str">
        <f>_xlfn.TEXTJOIN("_",TRUE,C593,"node",D593,M593,N593)</f>
        <v>s1_node_recruit_87_6</v>
      </c>
      <c r="B593" s="0" t="s">
        <v>0</v>
      </c>
      <c r="C593" s="0" t="s">
        <v>26</v>
      </c>
      <c r="D593" s="0" t="s">
        <v>104</v>
      </c>
      <c r="E593" s="0" t="str">
        <f>"s1_node_"&amp;D593&amp;"_name"</f>
        <v>s1_node_recruit_name</v>
      </c>
      <c r="F593" s="13" t="str">
        <f>"s1_node_"&amp;D593&amp;"_desc"</f>
        <v>s1_node_recruit_desc</v>
      </c>
      <c r="G593" s="0" t="s">
        <v>615</v>
      </c>
      <c r="H593" s="0">
        <v>5</v>
      </c>
      <c r="I593" s="0" t="s">
        <v>27</v>
      </c>
      <c r="J593" s="0" t="s">
        <v>595</v>
      </c>
      <c r="K593" s="0">
        <v>3360</v>
      </c>
      <c r="L593" s="13">
        <v>3</v>
      </c>
      <c r="M593" s="0">
        <v>87</v>
      </c>
      <c r="N593" s="0">
        <v>6</v>
      </c>
      <c r="T593" s="0" t="str">
        <f>_xlfn.TEXTJOIN("_",TRUE,C593,"node_eff",D593,M593,N593)</f>
        <v>s1_node_eff_recruit_87_6</v>
      </c>
    </row>
    <row r="594" spans="1:20" x14ac:dyDescent="0.45">
      <c r="A594" s="0" t="str">
        <f>_xlfn.TEXTJOIN("_",TRUE,C594,"node",D594,M594,N594)</f>
        <v>s1_node_recruit_88_2</v>
      </c>
      <c r="B594" s="0" t="s">
        <v>0</v>
      </c>
      <c r="C594" s="0" t="s">
        <v>26</v>
      </c>
      <c r="D594" s="0" t="s">
        <v>104</v>
      </c>
      <c r="E594" s="0" t="str">
        <f>"s1_node_"&amp;D594&amp;"_name"</f>
        <v>s1_node_recruit_name</v>
      </c>
      <c r="F594" s="13" t="str">
        <f>"s1_node_"&amp;D594&amp;"_desc"</f>
        <v>s1_node_recruit_desc</v>
      </c>
      <c r="G594" s="0" t="s">
        <v>615</v>
      </c>
      <c r="H594" s="0">
        <v>5</v>
      </c>
      <c r="I594" s="0" t="s">
        <v>27</v>
      </c>
      <c r="J594" s="0" t="s">
        <v>596</v>
      </c>
      <c r="K594" s="0">
        <v>3400</v>
      </c>
      <c r="L594" s="13">
        <v>3</v>
      </c>
      <c r="M594" s="0">
        <v>88</v>
      </c>
      <c r="N594" s="0">
        <v>2</v>
      </c>
      <c r="P594" s="0" t="s">
        <v>761</v>
      </c>
      <c r="T594" s="0" t="str">
        <f>_xlfn.TEXTJOIN("_",TRUE,C594,"node_eff",D594,M594,N594)</f>
        <v>s1_node_eff_recruit_88_2</v>
      </c>
    </row>
    <row r="595" spans="1:20" x14ac:dyDescent="0.45">
      <c r="A595" s="0" t="str">
        <f>_xlfn.TEXTJOIN("_",TRUE,C595,"node",D595,M595,N595)</f>
        <v>s1_node_recruit_88_6</v>
      </c>
      <c r="B595" s="0" t="s">
        <v>0</v>
      </c>
      <c r="C595" s="0" t="s">
        <v>26</v>
      </c>
      <c r="D595" s="0" t="s">
        <v>104</v>
      </c>
      <c r="E595" s="0" t="str">
        <f>"s1_node_"&amp;D595&amp;"_name"</f>
        <v>s1_node_recruit_name</v>
      </c>
      <c r="F595" s="13" t="str">
        <f>"s1_node_"&amp;D595&amp;"_desc"</f>
        <v>s1_node_recruit_desc</v>
      </c>
      <c r="G595" s="0" t="s">
        <v>615</v>
      </c>
      <c r="H595" s="0">
        <v>5</v>
      </c>
      <c r="I595" s="0" t="s">
        <v>27</v>
      </c>
      <c r="J595" s="0" t="s">
        <v>596</v>
      </c>
      <c r="K595" s="0">
        <v>3400</v>
      </c>
      <c r="L595" s="13">
        <v>3</v>
      </c>
      <c r="M595" s="0">
        <v>88</v>
      </c>
      <c r="N595" s="0">
        <v>6</v>
      </c>
      <c r="P595" s="0" t="s">
        <v>762</v>
      </c>
      <c r="T595" s="0" t="str">
        <f>_xlfn.TEXTJOIN("_",TRUE,C595,"node_eff",D595,M595,N595)</f>
        <v>s1_node_eff_recruit_88_6</v>
      </c>
    </row>
    <row r="596" spans="1:20" x14ac:dyDescent="0.45">
      <c r="A596" s="0" t="str">
        <f>_xlfn.TEXTJOIN("_",TRUE,C596,"node",D596,M596,N596)</f>
        <v>s1_node_recruit_89_2</v>
      </c>
      <c r="B596" s="0" t="s">
        <v>0</v>
      </c>
      <c r="C596" s="0" t="s">
        <v>26</v>
      </c>
      <c r="D596" s="0" t="s">
        <v>104</v>
      </c>
      <c r="E596" s="0" t="str">
        <f>"s1_node_"&amp;D596&amp;"_name"</f>
        <v>s1_node_recruit_name</v>
      </c>
      <c r="F596" s="13" t="str">
        <f>"s1_node_"&amp;D596&amp;"_desc"</f>
        <v>s1_node_recruit_desc</v>
      </c>
      <c r="G596" s="0" t="s">
        <v>422</v>
      </c>
      <c r="H596" s="0">
        <v>5</v>
      </c>
      <c r="I596" s="0" t="s">
        <v>27</v>
      </c>
      <c r="J596" s="0" t="s">
        <v>599</v>
      </c>
      <c r="K596" s="0">
        <v>3440</v>
      </c>
      <c r="L596" s="13">
        <v>3</v>
      </c>
      <c r="M596" s="0">
        <v>89</v>
      </c>
      <c r="N596" s="0">
        <v>2</v>
      </c>
      <c r="T596" s="0" t="str">
        <f>_xlfn.TEXTJOIN("_",TRUE,C596,"node_eff",D596,M596,N596)</f>
        <v>s1_node_eff_recruit_89_2</v>
      </c>
    </row>
    <row r="597" spans="1:20" x14ac:dyDescent="0.45">
      <c r="A597" s="0" t="str">
        <f>_xlfn.TEXTJOIN("_",TRUE,C597,"node",D597,M597,N597)</f>
        <v>s1_node_recruit_89_4</v>
      </c>
      <c r="B597" s="0" t="s">
        <v>0</v>
      </c>
      <c r="C597" s="0" t="s">
        <v>26</v>
      </c>
      <c r="D597" s="0" t="s">
        <v>104</v>
      </c>
      <c r="E597" s="0" t="str">
        <f>"s1_node_"&amp;D597&amp;"_name"</f>
        <v>s1_node_recruit_name</v>
      </c>
      <c r="F597" s="13" t="str">
        <f>"s1_node_"&amp;D597&amp;"_desc"</f>
        <v>s1_node_recruit_desc</v>
      </c>
      <c r="G597" s="0" t="s">
        <v>422</v>
      </c>
      <c r="H597" s="0">
        <v>5</v>
      </c>
      <c r="I597" s="0" t="s">
        <v>27</v>
      </c>
      <c r="J597" s="0" t="s">
        <v>599</v>
      </c>
      <c r="K597" s="0">
        <v>3440</v>
      </c>
      <c r="L597" s="13">
        <v>3</v>
      </c>
      <c r="M597" s="0">
        <v>89</v>
      </c>
      <c r="N597" s="0">
        <v>4</v>
      </c>
      <c r="P597" s="0" t="s">
        <v>763</v>
      </c>
      <c r="T597" s="0" t="str">
        <f>_xlfn.TEXTJOIN("_",TRUE,C597,"node_eff",D597,M597,N597)</f>
        <v>s1_node_eff_recruit_89_4</v>
      </c>
    </row>
    <row r="598" spans="1:20" x14ac:dyDescent="0.45">
      <c r="A598" s="0" t="str">
        <f>_xlfn.TEXTJOIN("_",TRUE,C598,"node",D598,M598,N598)</f>
        <v>s1_node_recruit_89_6</v>
      </c>
      <c r="B598" s="0" t="s">
        <v>0</v>
      </c>
      <c r="C598" s="0" t="s">
        <v>26</v>
      </c>
      <c r="D598" s="0" t="s">
        <v>104</v>
      </c>
      <c r="E598" s="0" t="str">
        <f>"s1_node_"&amp;D598&amp;"_name"</f>
        <v>s1_node_recruit_name</v>
      </c>
      <c r="F598" s="13" t="str">
        <f>"s1_node_"&amp;D598&amp;"_desc"</f>
        <v>s1_node_recruit_desc</v>
      </c>
      <c r="G598" s="0" t="s">
        <v>422</v>
      </c>
      <c r="H598" s="0">
        <v>5</v>
      </c>
      <c r="I598" s="0" t="s">
        <v>27</v>
      </c>
      <c r="J598" s="0" t="s">
        <v>599</v>
      </c>
      <c r="K598" s="0">
        <v>3440</v>
      </c>
      <c r="L598" s="13">
        <v>3</v>
      </c>
      <c r="M598" s="0">
        <v>89</v>
      </c>
      <c r="N598" s="0">
        <v>6</v>
      </c>
      <c r="T598" s="0" t="str">
        <f>_xlfn.TEXTJOIN("_",TRUE,C598,"node_eff",D598,M598,N598)</f>
        <v>s1_node_eff_recruit_89_6</v>
      </c>
    </row>
    <row r="599" spans="1:20" x14ac:dyDescent="0.45">
      <c r="A599" s="0" t="str">
        <f>_xlfn.TEXTJOIN("_",TRUE,C599,"node",D599,M599,N599)</f>
        <v>s1_node_recruit_90_2</v>
      </c>
      <c r="B599" s="0" t="s">
        <v>0</v>
      </c>
      <c r="C599" s="0" t="s">
        <v>26</v>
      </c>
      <c r="D599" s="0" t="s">
        <v>104</v>
      </c>
      <c r="E599" s="0" t="str">
        <f>"s1_node_"&amp;D599&amp;"_name"</f>
        <v>s1_node_recruit_name</v>
      </c>
      <c r="F599" s="13" t="str">
        <f>"s1_node_"&amp;D599&amp;"_desc"</f>
        <v>s1_node_recruit_desc</v>
      </c>
      <c r="G599" s="0" t="s">
        <v>615</v>
      </c>
      <c r="H599" s="0">
        <v>5</v>
      </c>
      <c r="I599" s="0" t="s">
        <v>27</v>
      </c>
      <c r="J599" s="0" t="s">
        <v>764</v>
      </c>
      <c r="K599" s="0">
        <v>3480</v>
      </c>
      <c r="L599" s="13">
        <v>3</v>
      </c>
      <c r="M599" s="0">
        <v>90</v>
      </c>
      <c r="N599" s="0">
        <v>2</v>
      </c>
      <c r="P599" s="0" t="s">
        <v>765</v>
      </c>
      <c r="T599" s="0" t="str">
        <f>_xlfn.TEXTJOIN("_",TRUE,C599,"node_eff",D599,M599,N599)</f>
        <v>s1_node_eff_recruit_90_2</v>
      </c>
    </row>
    <row r="600" spans="1:20" x14ac:dyDescent="0.45">
      <c r="A600" s="0" t="str">
        <f>_xlfn.TEXTJOIN("_",TRUE,C600,"node",D600,M600,N600)</f>
        <v>s1_node_recruit_90_6</v>
      </c>
      <c r="B600" s="0" t="s">
        <v>0</v>
      </c>
      <c r="C600" s="0" t="s">
        <v>26</v>
      </c>
      <c r="D600" s="0" t="s">
        <v>104</v>
      </c>
      <c r="E600" s="0" t="str">
        <f>"s1_node_"&amp;D600&amp;"_name"</f>
        <v>s1_node_recruit_name</v>
      </c>
      <c r="F600" s="13" t="str">
        <f>"s1_node_"&amp;D600&amp;"_desc"</f>
        <v>s1_node_recruit_desc</v>
      </c>
      <c r="G600" s="0" t="s">
        <v>615</v>
      </c>
      <c r="H600" s="0">
        <v>5</v>
      </c>
      <c r="I600" s="0" t="s">
        <v>27</v>
      </c>
      <c r="J600" s="0" t="s">
        <v>764</v>
      </c>
      <c r="K600" s="0">
        <v>3480</v>
      </c>
      <c r="L600" s="13">
        <v>3</v>
      </c>
      <c r="M600" s="0">
        <v>90</v>
      </c>
      <c r="N600" s="0">
        <v>6</v>
      </c>
      <c r="P600" s="0" t="s">
        <v>766</v>
      </c>
      <c r="T600" s="0" t="str">
        <f>_xlfn.TEXTJOIN("_",TRUE,C600,"node_eff",D600,M600,N600)</f>
        <v>s1_node_eff_recruit_90_6</v>
      </c>
    </row>
    <row r="601" spans="1:20" x14ac:dyDescent="0.45">
      <c r="A601" s="0" t="str">
        <f>_xlfn.TEXTJOIN("_",TRUE,C601,"node",D601,M601,N601)</f>
        <v>s1_node_recruit_91_4</v>
      </c>
      <c r="B601" s="0" t="s">
        <v>0</v>
      </c>
      <c r="C601" s="0" t="s">
        <v>26</v>
      </c>
      <c r="D601" s="0" t="s">
        <v>104</v>
      </c>
      <c r="E601" s="0" t="str">
        <f>"s1_node_"&amp;D601&amp;"_name"</f>
        <v>s1_node_recruit_name</v>
      </c>
      <c r="F601" s="13" t="str">
        <f>"s1_node_"&amp;D601&amp;"_desc"</f>
        <v>s1_node_recruit_desc</v>
      </c>
      <c r="G601" s="0" t="s">
        <v>615</v>
      </c>
      <c r="H601" s="0">
        <v>5</v>
      </c>
      <c r="I601" s="0" t="s">
        <v>27</v>
      </c>
      <c r="J601" s="0" t="s">
        <v>604</v>
      </c>
      <c r="K601" s="0">
        <v>3510</v>
      </c>
      <c r="L601" s="13">
        <v>3</v>
      </c>
      <c r="M601" s="0">
        <v>91</v>
      </c>
      <c r="N601" s="0">
        <v>4</v>
      </c>
      <c r="P601" s="0" t="s">
        <v>767</v>
      </c>
      <c r="T601" s="0" t="str">
        <f>_xlfn.TEXTJOIN("_",TRUE,C601,"node_eff",D601,M601,N601)</f>
        <v>s1_node_eff_recruit_91_4</v>
      </c>
    </row>
    <row r="602" spans="1:20" x14ac:dyDescent="0.45">
      <c r="A602" s="0" t="str">
        <f>_xlfn.TEXTJOIN("_",TRUE,C602,"node",D602,M602,N602)</f>
        <v>s1_node_recruit_92_2</v>
      </c>
      <c r="B602" s="0" t="s">
        <v>0</v>
      </c>
      <c r="C602" s="0" t="s">
        <v>26</v>
      </c>
      <c r="D602" s="0" t="s">
        <v>104</v>
      </c>
      <c r="E602" s="0" t="str">
        <f>"s1_node_"&amp;D602&amp;"_name"</f>
        <v>s1_node_recruit_name</v>
      </c>
      <c r="F602" s="13" t="str">
        <f>"s1_node_"&amp;D602&amp;"_desc"</f>
        <v>s1_node_recruit_desc</v>
      </c>
      <c r="G602" s="0" t="s">
        <v>615</v>
      </c>
      <c r="H602" s="0">
        <v>5</v>
      </c>
      <c r="I602" s="0" t="s">
        <v>27</v>
      </c>
      <c r="J602" s="0" t="s">
        <v>768</v>
      </c>
      <c r="K602" s="0">
        <v>3550</v>
      </c>
      <c r="L602" s="13">
        <v>3</v>
      </c>
      <c r="M602" s="0">
        <v>92</v>
      </c>
      <c r="N602" s="0">
        <v>2</v>
      </c>
      <c r="T602" s="0" t="str">
        <f>_xlfn.TEXTJOIN("_",TRUE,C602,"node_eff",D602,M602,N602)</f>
        <v>s1_node_eff_recruit_92_2</v>
      </c>
    </row>
    <row r="603" spans="1:20" x14ac:dyDescent="0.45">
      <c r="A603" s="0" t="str">
        <f>_xlfn.TEXTJOIN("_",TRUE,C603,"node",D603,M603,N603)</f>
        <v>s1_node_recruit_92_4</v>
      </c>
      <c r="B603" s="0" t="s">
        <v>0</v>
      </c>
      <c r="C603" s="0" t="s">
        <v>26</v>
      </c>
      <c r="D603" s="0" t="s">
        <v>104</v>
      </c>
      <c r="E603" s="0" t="str">
        <f>"s1_node_"&amp;D603&amp;"_name"</f>
        <v>s1_node_recruit_name</v>
      </c>
      <c r="F603" s="13" t="str">
        <f>"s1_node_"&amp;D603&amp;"_desc"</f>
        <v>s1_node_recruit_desc</v>
      </c>
      <c r="G603" s="0" t="s">
        <v>422</v>
      </c>
      <c r="H603" s="0">
        <v>5</v>
      </c>
      <c r="I603" s="0" t="s">
        <v>27</v>
      </c>
      <c r="J603" s="0" t="s">
        <v>768</v>
      </c>
      <c r="K603" s="0">
        <v>3550</v>
      </c>
      <c r="L603" s="13">
        <v>3</v>
      </c>
      <c r="M603" s="0">
        <v>92</v>
      </c>
      <c r="N603" s="0">
        <v>4</v>
      </c>
      <c r="T603" s="0" t="str">
        <f>_xlfn.TEXTJOIN("_",TRUE,C603,"node_eff",D603,M603,N603)</f>
        <v>s1_node_eff_recruit_92_4</v>
      </c>
    </row>
    <row r="604" spans="1:20" x14ac:dyDescent="0.45">
      <c r="A604" s="0" t="str">
        <f>_xlfn.TEXTJOIN("_",TRUE,C604,"node",D604,M604,N604)</f>
        <v>s1_node_recruit_92_6</v>
      </c>
      <c r="B604" s="0" t="s">
        <v>0</v>
      </c>
      <c r="C604" s="0" t="s">
        <v>26</v>
      </c>
      <c r="D604" s="0" t="s">
        <v>104</v>
      </c>
      <c r="E604" s="0" t="str">
        <f>"s1_node_"&amp;D604&amp;"_name"</f>
        <v>s1_node_recruit_name</v>
      </c>
      <c r="F604" s="13" t="str">
        <f>"s1_node_"&amp;D604&amp;"_desc"</f>
        <v>s1_node_recruit_desc</v>
      </c>
      <c r="G604" s="0" t="s">
        <v>422</v>
      </c>
      <c r="H604" s="0">
        <v>5</v>
      </c>
      <c r="I604" s="0" t="s">
        <v>27</v>
      </c>
      <c r="J604" s="0" t="s">
        <v>768</v>
      </c>
      <c r="K604" s="0">
        <v>3550</v>
      </c>
      <c r="L604" s="13">
        <v>3</v>
      </c>
      <c r="M604" s="0">
        <v>92</v>
      </c>
      <c r="N604" s="0">
        <v>6</v>
      </c>
      <c r="T604" s="0" t="str">
        <f>_xlfn.TEXTJOIN("_",TRUE,C604,"node_eff",D604,M604,N604)</f>
        <v>s1_node_eff_recruit_92_6</v>
      </c>
    </row>
    <row r="605" spans="1:20" x14ac:dyDescent="0.45">
      <c r="A605" s="0" t="str">
        <f>_xlfn.TEXTJOIN("_",TRUE,C605,"node",D605,M605,N605)</f>
        <v>s1_node_recruit_93_2</v>
      </c>
      <c r="B605" s="0" t="s">
        <v>0</v>
      </c>
      <c r="C605" s="0" t="s">
        <v>26</v>
      </c>
      <c r="D605" s="0" t="s">
        <v>104</v>
      </c>
      <c r="E605" s="0" t="str">
        <f>"s1_node_"&amp;D605&amp;"_name"</f>
        <v>s1_node_recruit_name</v>
      </c>
      <c r="F605" s="13" t="str">
        <f>"s1_node_"&amp;D605&amp;"_desc"</f>
        <v>s1_node_recruit_desc</v>
      </c>
      <c r="G605" s="0" t="s">
        <v>422</v>
      </c>
      <c r="H605" s="0">
        <v>5</v>
      </c>
      <c r="I605" s="0" t="s">
        <v>27</v>
      </c>
      <c r="J605" s="0" t="s">
        <v>769</v>
      </c>
      <c r="K605" s="0">
        <v>3590</v>
      </c>
      <c r="L605" s="13">
        <v>3</v>
      </c>
      <c r="M605" s="0">
        <v>93</v>
      </c>
      <c r="N605" s="0">
        <v>2</v>
      </c>
      <c r="P605" s="0" t="s">
        <v>770</v>
      </c>
      <c r="T605" s="0" t="str">
        <f>_xlfn.TEXTJOIN("_",TRUE,C605,"node_eff",D605,M605,N605)</f>
        <v>s1_node_eff_recruit_93_2</v>
      </c>
    </row>
    <row r="606" spans="1:20" x14ac:dyDescent="0.45">
      <c r="A606" s="0" t="str">
        <f>_xlfn.TEXTJOIN("_",TRUE,C606,"node",D606,M606,N606)</f>
        <v>s1_node_recruit_93_6</v>
      </c>
      <c r="B606" s="0" t="s">
        <v>0</v>
      </c>
      <c r="C606" s="0" t="s">
        <v>26</v>
      </c>
      <c r="D606" s="0" t="s">
        <v>104</v>
      </c>
      <c r="E606" s="0" t="str">
        <f>"s1_node_"&amp;D606&amp;"_name"</f>
        <v>s1_node_recruit_name</v>
      </c>
      <c r="F606" s="13" t="str">
        <f>"s1_node_"&amp;D606&amp;"_desc"</f>
        <v>s1_node_recruit_desc</v>
      </c>
      <c r="G606" s="0" t="s">
        <v>615</v>
      </c>
      <c r="H606" s="0">
        <v>5</v>
      </c>
      <c r="I606" s="0" t="s">
        <v>27</v>
      </c>
      <c r="J606" s="0" t="s">
        <v>769</v>
      </c>
      <c r="K606" s="0">
        <v>3590</v>
      </c>
      <c r="L606" s="13">
        <v>3</v>
      </c>
      <c r="M606" s="0">
        <v>93</v>
      </c>
      <c r="N606" s="0">
        <v>6</v>
      </c>
      <c r="P606" s="0" t="s">
        <v>771</v>
      </c>
      <c r="T606" s="0" t="str">
        <f>_xlfn.TEXTJOIN("_",TRUE,C606,"node_eff",D606,M606,N606)</f>
        <v>s1_node_eff_recruit_93_6</v>
      </c>
    </row>
    <row r="607" spans="1:20" x14ac:dyDescent="0.45">
      <c r="A607" s="0" t="str">
        <f>_xlfn.TEXTJOIN("_",TRUE,C607,"node",D607,M607,N607)</f>
        <v>s1_node_recruit_94_2</v>
      </c>
      <c r="B607" s="0" t="s">
        <v>0</v>
      </c>
      <c r="C607" s="0" t="s">
        <v>26</v>
      </c>
      <c r="D607" s="0" t="s">
        <v>104</v>
      </c>
      <c r="E607" s="0" t="str">
        <f>"s1_node_"&amp;D607&amp;"_name"</f>
        <v>s1_node_recruit_name</v>
      </c>
      <c r="F607" s="13" t="str">
        <f>"s1_node_"&amp;D607&amp;"_desc"</f>
        <v>s1_node_recruit_desc</v>
      </c>
      <c r="G607" s="0" t="s">
        <v>615</v>
      </c>
      <c r="H607" s="0">
        <v>5</v>
      </c>
      <c r="I607" s="0" t="s">
        <v>27</v>
      </c>
      <c r="J607" s="0" t="s">
        <v>772</v>
      </c>
      <c r="K607" s="0">
        <v>3630</v>
      </c>
      <c r="L607" s="13">
        <v>3</v>
      </c>
      <c r="M607" s="0">
        <v>94</v>
      </c>
      <c r="N607" s="0">
        <v>2</v>
      </c>
      <c r="T607" s="0" t="str">
        <f>_xlfn.TEXTJOIN("_",TRUE,C607,"node_eff",D607,M607,N607)</f>
        <v>s1_node_eff_recruit_94_2</v>
      </c>
    </row>
    <row r="608" spans="1:20" x14ac:dyDescent="0.45">
      <c r="A608" s="0" t="str">
        <f>_xlfn.TEXTJOIN("_",TRUE,C608,"node",D608,M608,N608)</f>
        <v>s1_node_recruit_94_4</v>
      </c>
      <c r="B608" s="0" t="s">
        <v>0</v>
      </c>
      <c r="C608" s="0" t="s">
        <v>26</v>
      </c>
      <c r="D608" s="0" t="s">
        <v>104</v>
      </c>
      <c r="E608" s="0" t="str">
        <f>"s1_node_"&amp;D608&amp;"_name"</f>
        <v>s1_node_recruit_name</v>
      </c>
      <c r="F608" s="13" t="str">
        <f>"s1_node_"&amp;D608&amp;"_desc"</f>
        <v>s1_node_recruit_desc</v>
      </c>
      <c r="G608" s="0" t="s">
        <v>615</v>
      </c>
      <c r="H608" s="0">
        <v>5</v>
      </c>
      <c r="I608" s="0" t="s">
        <v>27</v>
      </c>
      <c r="J608" s="0" t="s">
        <v>772</v>
      </c>
      <c r="K608" s="0">
        <v>3630</v>
      </c>
      <c r="L608" s="13">
        <v>3</v>
      </c>
      <c r="M608" s="0">
        <v>94</v>
      </c>
      <c r="N608" s="0">
        <v>4</v>
      </c>
      <c r="P608" s="0" t="s">
        <v>773</v>
      </c>
      <c r="T608" s="0" t="str">
        <f>_xlfn.TEXTJOIN("_",TRUE,C608,"node_eff",D608,M608,N608)</f>
        <v>s1_node_eff_recruit_94_4</v>
      </c>
    </row>
    <row r="609" spans="1:20" x14ac:dyDescent="0.45">
      <c r="A609" s="0" t="str">
        <f>_xlfn.TEXTJOIN("_",TRUE,C609,"node",D609,M609,N609)</f>
        <v>s1_node_recruit_94_6</v>
      </c>
      <c r="B609" s="0" t="s">
        <v>0</v>
      </c>
      <c r="C609" s="0" t="s">
        <v>26</v>
      </c>
      <c r="D609" s="0" t="s">
        <v>104</v>
      </c>
      <c r="E609" s="0" t="str">
        <f>"s1_node_"&amp;D609&amp;"_name"</f>
        <v>s1_node_recruit_name</v>
      </c>
      <c r="F609" s="13" t="str">
        <f>"s1_node_"&amp;D609&amp;"_desc"</f>
        <v>s1_node_recruit_desc</v>
      </c>
      <c r="G609" s="0" t="s">
        <v>615</v>
      </c>
      <c r="H609" s="0">
        <v>5</v>
      </c>
      <c r="I609" s="0" t="s">
        <v>27</v>
      </c>
      <c r="J609" s="0" t="s">
        <v>772</v>
      </c>
      <c r="K609" s="0">
        <v>3630</v>
      </c>
      <c r="L609" s="13">
        <v>3</v>
      </c>
      <c r="M609" s="0">
        <v>94</v>
      </c>
      <c r="N609" s="0">
        <v>6</v>
      </c>
      <c r="T609" s="0" t="str">
        <f>_xlfn.TEXTJOIN("_",TRUE,C609,"node_eff",D609,M609,N609)</f>
        <v>s1_node_eff_recruit_94_6</v>
      </c>
    </row>
    <row r="610" spans="1:20" x14ac:dyDescent="0.45">
      <c r="A610" s="0" t="str">
        <f>_xlfn.TEXTJOIN("_",TRUE,C610,"node",D610,M610,N610)</f>
        <v>s1_node_recruit_95_2</v>
      </c>
      <c r="B610" s="0" t="s">
        <v>0</v>
      </c>
      <c r="C610" s="0" t="s">
        <v>26</v>
      </c>
      <c r="D610" s="0" t="s">
        <v>104</v>
      </c>
      <c r="E610" s="0" t="str">
        <f>"s1_node_"&amp;D610&amp;"_name"</f>
        <v>s1_node_recruit_name</v>
      </c>
      <c r="F610" s="13" t="str">
        <f>"s1_node_"&amp;D610&amp;"_desc"</f>
        <v>s1_node_recruit_desc</v>
      </c>
      <c r="G610" s="0" t="s">
        <v>422</v>
      </c>
      <c r="H610" s="0">
        <v>5</v>
      </c>
      <c r="I610" s="0" t="s">
        <v>27</v>
      </c>
      <c r="J610" s="0" t="s">
        <v>774</v>
      </c>
      <c r="K610" s="0">
        <v>3660</v>
      </c>
      <c r="L610" s="13">
        <v>3</v>
      </c>
      <c r="M610" s="0">
        <v>95</v>
      </c>
      <c r="N610" s="0">
        <v>2</v>
      </c>
      <c r="P610" s="0" t="s">
        <v>775</v>
      </c>
      <c r="T610" s="0" t="str">
        <f>_xlfn.TEXTJOIN("_",TRUE,C610,"node_eff",D610,M610,N610)</f>
        <v>s1_node_eff_recruit_95_2</v>
      </c>
    </row>
    <row r="611" spans="1:20" x14ac:dyDescent="0.45">
      <c r="A611" s="0" t="str">
        <f>_xlfn.TEXTJOIN("_",TRUE,C611,"node",D611,M611,N611)</f>
        <v>s1_node_recruit_95_6</v>
      </c>
      <c r="B611" s="0" t="s">
        <v>0</v>
      </c>
      <c r="C611" s="0" t="s">
        <v>26</v>
      </c>
      <c r="D611" s="0" t="s">
        <v>104</v>
      </c>
      <c r="E611" s="0" t="str">
        <f>"s1_node_"&amp;D611&amp;"_name"</f>
        <v>s1_node_recruit_name</v>
      </c>
      <c r="F611" s="13" t="str">
        <f>"s1_node_"&amp;D611&amp;"_desc"</f>
        <v>s1_node_recruit_desc</v>
      </c>
      <c r="G611" s="0" t="s">
        <v>422</v>
      </c>
      <c r="H611" s="0">
        <v>5</v>
      </c>
      <c r="I611" s="0" t="s">
        <v>27</v>
      </c>
      <c r="J611" s="0" t="s">
        <v>774</v>
      </c>
      <c r="K611" s="0">
        <v>3660</v>
      </c>
      <c r="L611" s="13">
        <v>3</v>
      </c>
      <c r="M611" s="0">
        <v>95</v>
      </c>
      <c r="N611" s="0">
        <v>6</v>
      </c>
      <c r="P611" s="0" t="s">
        <v>776</v>
      </c>
      <c r="T611" s="0" t="str">
        <f>_xlfn.TEXTJOIN("_",TRUE,C611,"node_eff",D611,M611,N611)</f>
        <v>s1_node_eff_recruit_95_6</v>
      </c>
    </row>
    <row r="612" spans="1:20" x14ac:dyDescent="0.45">
      <c r="A612" s="0" t="str">
        <f>_xlfn.TEXTJOIN("_",TRUE,C612,"node",D612,M612,N612)</f>
        <v>s1_node_recruit_96_4</v>
      </c>
      <c r="B612" s="0" t="s">
        <v>0</v>
      </c>
      <c r="C612" s="0" t="s">
        <v>26</v>
      </c>
      <c r="D612" s="0" t="s">
        <v>104</v>
      </c>
      <c r="E612" s="0" t="str">
        <f>"s1_node_"&amp;D612&amp;"_name"</f>
        <v>s1_node_recruit_name</v>
      </c>
      <c r="F612" s="13" t="str">
        <f>"s1_node_"&amp;D612&amp;"_desc"</f>
        <v>s1_node_recruit_desc</v>
      </c>
      <c r="G612" s="0" t="s">
        <v>422</v>
      </c>
      <c r="H612" s="0">
        <v>5</v>
      </c>
      <c r="I612" s="0" t="s">
        <v>27</v>
      </c>
      <c r="J612" s="0" t="s">
        <v>777</v>
      </c>
      <c r="K612" s="0">
        <v>3700</v>
      </c>
      <c r="L612" s="13">
        <v>3</v>
      </c>
      <c r="M612" s="0">
        <v>96</v>
      </c>
      <c r="N612" s="0">
        <v>4</v>
      </c>
      <c r="P612" s="0" t="s">
        <v>778</v>
      </c>
      <c r="T612" s="0" t="str">
        <f>_xlfn.TEXTJOIN("_",TRUE,C612,"node_eff",D612,M612,N612)</f>
        <v>s1_node_eff_recruit_96_4</v>
      </c>
    </row>
    <row r="613" spans="1:20" x14ac:dyDescent="0.45">
      <c r="A613" s="0" t="str">
        <f>_xlfn.TEXTJOIN("_",TRUE,C613,"node",D613,M613,N613)</f>
        <v>s1_node_recruit_97_2</v>
      </c>
      <c r="B613" s="0" t="s">
        <v>0</v>
      </c>
      <c r="C613" s="0" t="s">
        <v>26</v>
      </c>
      <c r="D613" s="0" t="s">
        <v>104</v>
      </c>
      <c r="E613" s="0" t="str">
        <f>"s1_node_"&amp;D613&amp;"_name"</f>
        <v>s1_node_recruit_name</v>
      </c>
      <c r="F613" s="13" t="str">
        <f>"s1_node_"&amp;D613&amp;"_desc"</f>
        <v>s1_node_recruit_desc</v>
      </c>
      <c r="G613" s="0" t="s">
        <v>615</v>
      </c>
      <c r="H613" s="0">
        <v>5</v>
      </c>
      <c r="I613" s="0" t="s">
        <v>27</v>
      </c>
      <c r="J613" s="0" t="s">
        <v>779</v>
      </c>
      <c r="K613" s="0">
        <v>3740</v>
      </c>
      <c r="L613" s="13">
        <v>3</v>
      </c>
      <c r="M613" s="0">
        <v>97</v>
      </c>
      <c r="N613" s="0">
        <v>2</v>
      </c>
      <c r="T613" s="0" t="str">
        <f>_xlfn.TEXTJOIN("_",TRUE,C613,"node_eff",D613,M613,N613)</f>
        <v>s1_node_eff_recruit_97_2</v>
      </c>
    </row>
    <row r="614" spans="1:20" x14ac:dyDescent="0.45">
      <c r="A614" s="0" t="str">
        <f>_xlfn.TEXTJOIN("_",TRUE,C614,"node",D614,M614,N614)</f>
        <v>s1_node_recruit_97_4</v>
      </c>
      <c r="B614" s="0" t="s">
        <v>0</v>
      </c>
      <c r="C614" s="0" t="s">
        <v>26</v>
      </c>
      <c r="D614" s="0" t="s">
        <v>104</v>
      </c>
      <c r="E614" s="0" t="str">
        <f>"s1_node_"&amp;D614&amp;"_name"</f>
        <v>s1_node_recruit_name</v>
      </c>
      <c r="F614" s="13" t="str">
        <f>"s1_node_"&amp;D614&amp;"_desc"</f>
        <v>s1_node_recruit_desc</v>
      </c>
      <c r="G614" s="0" t="s">
        <v>615</v>
      </c>
      <c r="H614" s="0">
        <v>5</v>
      </c>
      <c r="I614" s="0" t="s">
        <v>27</v>
      </c>
      <c r="J614" s="0" t="s">
        <v>779</v>
      </c>
      <c r="K614" s="0">
        <v>3740</v>
      </c>
      <c r="L614" s="13">
        <v>3</v>
      </c>
      <c r="M614" s="0">
        <v>97</v>
      </c>
      <c r="N614" s="0">
        <v>4</v>
      </c>
      <c r="T614" s="0" t="str">
        <f>_xlfn.TEXTJOIN("_",TRUE,C614,"node_eff",D614,M614,N614)</f>
        <v>s1_node_eff_recruit_97_4</v>
      </c>
    </row>
    <row r="615" spans="1:20" x14ac:dyDescent="0.45">
      <c r="A615" s="0" t="str">
        <f>_xlfn.TEXTJOIN("_",TRUE,C615,"node",D615,M615,N615)</f>
        <v>s1_node_recruit_97_6</v>
      </c>
      <c r="B615" s="0" t="s">
        <v>0</v>
      </c>
      <c r="C615" s="0" t="s">
        <v>26</v>
      </c>
      <c r="D615" s="0" t="s">
        <v>104</v>
      </c>
      <c r="E615" s="0" t="str">
        <f>"s1_node_"&amp;D615&amp;"_name"</f>
        <v>s1_node_recruit_name</v>
      </c>
      <c r="F615" s="13" t="str">
        <f>"s1_node_"&amp;D615&amp;"_desc"</f>
        <v>s1_node_recruit_desc</v>
      </c>
      <c r="G615" s="0" t="s">
        <v>615</v>
      </c>
      <c r="H615" s="0">
        <v>5</v>
      </c>
      <c r="I615" s="0" t="s">
        <v>27</v>
      </c>
      <c r="J615" s="0" t="s">
        <v>779</v>
      </c>
      <c r="K615" s="0">
        <v>3740</v>
      </c>
      <c r="L615" s="13">
        <v>3</v>
      </c>
      <c r="M615" s="0">
        <v>97</v>
      </c>
      <c r="N615" s="0">
        <v>6</v>
      </c>
      <c r="T615" s="0" t="str">
        <f>_xlfn.TEXTJOIN("_",TRUE,C615,"node_eff",D615,M615,N615)</f>
        <v>s1_node_eff_recruit_97_6</v>
      </c>
    </row>
    <row r="616" spans="1:20" x14ac:dyDescent="0.45">
      <c r="A616" s="0" t="str">
        <f>_xlfn.TEXTJOIN("_",TRUE,C616,"node",D616,M616,N616)</f>
        <v>s1_node_recruit_98_2</v>
      </c>
      <c r="B616" s="0" t="s">
        <v>0</v>
      </c>
      <c r="C616" s="0" t="s">
        <v>26</v>
      </c>
      <c r="D616" s="0" t="s">
        <v>104</v>
      </c>
      <c r="E616" s="0" t="str">
        <f>"s1_node_"&amp;D616&amp;"_name"</f>
        <v>s1_node_recruit_name</v>
      </c>
      <c r="F616" s="13" t="str">
        <f>"s1_node_"&amp;D616&amp;"_desc"</f>
        <v>s1_node_recruit_desc</v>
      </c>
      <c r="G616" s="0" t="s">
        <v>615</v>
      </c>
      <c r="H616" s="0">
        <v>5</v>
      </c>
      <c r="I616" s="0" t="s">
        <v>27</v>
      </c>
      <c r="J616" s="0" t="s">
        <v>780</v>
      </c>
      <c r="K616" s="0">
        <v>3780</v>
      </c>
      <c r="L616" s="13">
        <v>3</v>
      </c>
      <c r="M616" s="0">
        <v>98</v>
      </c>
      <c r="N616" s="0">
        <v>2</v>
      </c>
      <c r="P616" s="0" t="s">
        <v>781</v>
      </c>
      <c r="T616" s="0" t="str">
        <f>_xlfn.TEXTJOIN("_",TRUE,C616,"node_eff",D616,M616,N616)</f>
        <v>s1_node_eff_recruit_98_2</v>
      </c>
    </row>
    <row r="617" spans="1:20" x14ac:dyDescent="0.45">
      <c r="A617" s="0" t="str">
        <f>_xlfn.TEXTJOIN("_",TRUE,C617,"node",D617,M617,N617)</f>
        <v>s1_node_recruit_98_6</v>
      </c>
      <c r="B617" s="0" t="s">
        <v>0</v>
      </c>
      <c r="C617" s="0" t="s">
        <v>26</v>
      </c>
      <c r="D617" s="0" t="s">
        <v>104</v>
      </c>
      <c r="E617" s="0" t="str">
        <f>"s1_node_"&amp;D617&amp;"_name"</f>
        <v>s1_node_recruit_name</v>
      </c>
      <c r="F617" s="13" t="str">
        <f>"s1_node_"&amp;D617&amp;"_desc"</f>
        <v>s1_node_recruit_desc</v>
      </c>
      <c r="G617" s="0" t="s">
        <v>422</v>
      </c>
      <c r="H617" s="0">
        <v>5</v>
      </c>
      <c r="I617" s="0" t="s">
        <v>27</v>
      </c>
      <c r="J617" s="0" t="s">
        <v>780</v>
      </c>
      <c r="K617" s="0">
        <v>3780</v>
      </c>
      <c r="L617" s="13">
        <v>3</v>
      </c>
      <c r="M617" s="0">
        <v>98</v>
      </c>
      <c r="N617" s="0">
        <v>6</v>
      </c>
      <c r="P617" s="0" t="s">
        <v>782</v>
      </c>
      <c r="T617" s="0" t="str">
        <f>_xlfn.TEXTJOIN("_",TRUE,C617,"node_eff",D617,M617,N617)</f>
        <v>s1_node_eff_recruit_98_6</v>
      </c>
    </row>
    <row r="618" spans="1:20" x14ac:dyDescent="0.45">
      <c r="A618" s="0" t="str">
        <f>_xlfn.TEXTJOIN("_",TRUE,C618,"node",D618,M618,N618)</f>
        <v>s1_node_recruit_99_2</v>
      </c>
      <c r="B618" s="0" t="s">
        <v>0</v>
      </c>
      <c r="C618" s="0" t="s">
        <v>26</v>
      </c>
      <c r="D618" s="0" t="s">
        <v>104</v>
      </c>
      <c r="E618" s="0" t="str">
        <f>"s1_node_"&amp;D618&amp;"_name"</f>
        <v>s1_node_recruit_name</v>
      </c>
      <c r="F618" s="13" t="str">
        <f>"s1_node_"&amp;D618&amp;"_desc"</f>
        <v>s1_node_recruit_desc</v>
      </c>
      <c r="G618" s="0" t="s">
        <v>422</v>
      </c>
      <c r="H618" s="0">
        <v>5</v>
      </c>
      <c r="I618" s="0" t="s">
        <v>27</v>
      </c>
      <c r="J618" s="0" t="s">
        <v>783</v>
      </c>
      <c r="K618" s="0">
        <v>3810</v>
      </c>
      <c r="L618" s="13">
        <v>3</v>
      </c>
      <c r="M618" s="0">
        <v>99</v>
      </c>
      <c r="N618" s="0">
        <v>2</v>
      </c>
      <c r="T618" s="0" t="str">
        <f>_xlfn.TEXTJOIN("_",TRUE,C618,"node_eff",D618,M618,N618)</f>
        <v>s1_node_eff_recruit_99_2</v>
      </c>
    </row>
    <row r="619" spans="1:20" x14ac:dyDescent="0.45">
      <c r="A619" s="0" t="str">
        <f>_xlfn.TEXTJOIN("_",TRUE,C619,"node",D619,M619,N619)</f>
        <v>s1_node_recruit_99_4</v>
      </c>
      <c r="B619" s="0" t="s">
        <v>0</v>
      </c>
      <c r="C619" s="0" t="s">
        <v>26</v>
      </c>
      <c r="D619" s="0" t="s">
        <v>104</v>
      </c>
      <c r="E619" s="0" t="str">
        <f>"s1_node_"&amp;D619&amp;"_name"</f>
        <v>s1_node_recruit_name</v>
      </c>
      <c r="F619" s="13" t="str">
        <f>"s1_node_"&amp;D619&amp;"_desc"</f>
        <v>s1_node_recruit_desc</v>
      </c>
      <c r="G619" s="0" t="s">
        <v>422</v>
      </c>
      <c r="H619" s="0">
        <v>5</v>
      </c>
      <c r="I619" s="0" t="s">
        <v>27</v>
      </c>
      <c r="J619" s="0" t="s">
        <v>783</v>
      </c>
      <c r="K619" s="0">
        <v>3810</v>
      </c>
      <c r="L619" s="13">
        <v>3</v>
      </c>
      <c r="M619" s="0">
        <v>99</v>
      </c>
      <c r="N619" s="0">
        <v>4</v>
      </c>
      <c r="P619" s="0" t="s">
        <v>784</v>
      </c>
      <c r="T619" s="0" t="str">
        <f>_xlfn.TEXTJOIN("_",TRUE,C619,"node_eff",D619,M619,N619)</f>
        <v>s1_node_eff_recruit_99_4</v>
      </c>
    </row>
    <row r="620" spans="1:20" x14ac:dyDescent="0.45">
      <c r="A620" s="0" t="str">
        <f>_xlfn.TEXTJOIN("_",TRUE,C620,"node",D620,M620,N620)</f>
        <v>s1_node_recruit_99_6</v>
      </c>
      <c r="B620" s="0" t="s">
        <v>0</v>
      </c>
      <c r="C620" s="0" t="s">
        <v>26</v>
      </c>
      <c r="D620" s="0" t="s">
        <v>104</v>
      </c>
      <c r="E620" s="0" t="str">
        <f>"s1_node_"&amp;D620&amp;"_name"</f>
        <v>s1_node_recruit_name</v>
      </c>
      <c r="F620" s="13" t="str">
        <f>"s1_node_"&amp;D620&amp;"_desc"</f>
        <v>s1_node_recruit_desc</v>
      </c>
      <c r="G620" s="0" t="s">
        <v>615</v>
      </c>
      <c r="H620" s="0">
        <v>5</v>
      </c>
      <c r="I620" s="0" t="s">
        <v>27</v>
      </c>
      <c r="J620" s="0" t="s">
        <v>783</v>
      </c>
      <c r="K620" s="0">
        <v>3810</v>
      </c>
      <c r="L620" s="13">
        <v>3</v>
      </c>
      <c r="M620" s="0">
        <v>99</v>
      </c>
      <c r="N620" s="0">
        <v>6</v>
      </c>
      <c r="T620" s="0" t="str">
        <f>_xlfn.TEXTJOIN("_",TRUE,C620,"node_eff",D620,M620,N620)</f>
        <v>s1_node_eff_recruit_99_6</v>
      </c>
    </row>
    <row r="621" spans="1:20" x14ac:dyDescent="0.45">
      <c r="A621" s="0" t="str">
        <f>_xlfn.TEXTJOIN("_",TRUE,C621,"node",D621,M621,N621)</f>
        <v>s1_node_recruit_100_2</v>
      </c>
      <c r="B621" s="0" t="s">
        <v>0</v>
      </c>
      <c r="C621" s="0" t="s">
        <v>26</v>
      </c>
      <c r="D621" s="0" t="s">
        <v>104</v>
      </c>
      <c r="E621" s="0" t="str">
        <f>"s1_node_"&amp;D621&amp;"_name"</f>
        <v>s1_node_recruit_name</v>
      </c>
      <c r="F621" s="13" t="str">
        <f>"s1_node_"&amp;D621&amp;"_desc"</f>
        <v>s1_node_recruit_desc</v>
      </c>
      <c r="G621" s="0" t="s">
        <v>615</v>
      </c>
      <c r="H621" s="0">
        <v>5</v>
      </c>
      <c r="I621" s="0" t="s">
        <v>27</v>
      </c>
      <c r="J621" s="0" t="s">
        <v>785</v>
      </c>
      <c r="K621" s="0">
        <v>3850</v>
      </c>
      <c r="L621" s="13">
        <v>3</v>
      </c>
      <c r="M621" s="0">
        <v>100</v>
      </c>
      <c r="N621" s="0">
        <v>2</v>
      </c>
      <c r="P621" s="0" t="s">
        <v>786</v>
      </c>
      <c r="T621" s="0" t="str">
        <f>_xlfn.TEXTJOIN("_",TRUE,C621,"node_eff",D621,M621,N621)</f>
        <v>s1_node_eff_recruit_100_2</v>
      </c>
    </row>
    <row r="622" spans="1:20" x14ac:dyDescent="0.45">
      <c r="A622" s="0" t="str">
        <f>_xlfn.TEXTJOIN("_",TRUE,C622,"node",D622,M622,N622)</f>
        <v>s1_node_recruit_100_6</v>
      </c>
      <c r="B622" s="0" t="s">
        <v>0</v>
      </c>
      <c r="C622" s="0" t="s">
        <v>26</v>
      </c>
      <c r="D622" s="0" t="s">
        <v>104</v>
      </c>
      <c r="E622" s="0" t="str">
        <f>"s1_node_"&amp;D622&amp;"_name"</f>
        <v>s1_node_recruit_name</v>
      </c>
      <c r="F622" s="13" t="str">
        <f>"s1_node_"&amp;D622&amp;"_desc"</f>
        <v>s1_node_recruit_desc</v>
      </c>
      <c r="G622" s="0" t="s">
        <v>615</v>
      </c>
      <c r="H622" s="0">
        <v>5</v>
      </c>
      <c r="I622" s="0" t="s">
        <v>27</v>
      </c>
      <c r="J622" s="0" t="s">
        <v>785</v>
      </c>
      <c r="K622" s="0">
        <v>3850</v>
      </c>
      <c r="L622" s="13">
        <v>3</v>
      </c>
      <c r="M622" s="0">
        <v>100</v>
      </c>
      <c r="N622" s="0">
        <v>6</v>
      </c>
      <c r="P622" s="0" t="s">
        <v>787</v>
      </c>
      <c r="T622" s="0" t="str">
        <f>_xlfn.TEXTJOIN("_",TRUE,C622,"node_eff",D622,M622,N622)</f>
        <v>s1_node_eff_recruit_100_6</v>
      </c>
    </row>
    <row r="623" spans="1:20" x14ac:dyDescent="0.45">
      <c r="A623" s="0" t="str">
        <f>_xlfn.TEXTJOIN("_",TRUE,C623,"node",D623,M623,N623)</f>
        <v>s1_node_relic_1_4</v>
      </c>
      <c r="B623" s="0" t="s">
        <v>0</v>
      </c>
      <c r="C623" s="0" t="s">
        <v>26</v>
      </c>
      <c r="D623" s="0" t="s">
        <v>105</v>
      </c>
      <c r="E623" s="0" t="str">
        <f>"s1_node_"&amp;D623&amp;"_name"</f>
        <v>s1_node_relic_name</v>
      </c>
      <c r="F623" s="13" t="str">
        <f>"s1_node_"&amp;D623&amp;"_desc"</f>
        <v>s1_node_relic_desc</v>
      </c>
      <c r="G623" s="0" t="s">
        <v>788</v>
      </c>
      <c r="H623" s="0">
        <v>1</v>
      </c>
      <c r="I623" s="0" t="s">
        <v>27</v>
      </c>
      <c r="J623" s="0" t="s">
        <v>789</v>
      </c>
      <c r="K623" s="0">
        <v>160</v>
      </c>
      <c r="L623" s="13">
        <v>3</v>
      </c>
      <c r="M623" s="0">
        <v>1</v>
      </c>
      <c r="N623" s="0">
        <v>4</v>
      </c>
      <c r="T623" s="0" t="str">
        <f>_xlfn.TEXTJOIN("_",TRUE,C623,"node_eff",D623,M623,N623)</f>
        <v>s1_node_eff_relic_1_4</v>
      </c>
    </row>
    <row r="624" spans="1:20" x14ac:dyDescent="0.45">
      <c r="A624" s="0" t="str">
        <f>_xlfn.TEXTJOIN("_",TRUE,C624,"node",D624,M624,N624)</f>
        <v>s1_node_relic_2_2</v>
      </c>
      <c r="B624" s="0" t="s">
        <v>0</v>
      </c>
      <c r="C624" s="0" t="s">
        <v>26</v>
      </c>
      <c r="D624" s="0" t="s">
        <v>105</v>
      </c>
      <c r="E624" s="0" t="str">
        <f>"s1_node_"&amp;D624&amp;"_name"</f>
        <v>s1_node_relic_name</v>
      </c>
      <c r="F624" s="13" t="str">
        <f>"s1_node_"&amp;D624&amp;"_desc"</f>
        <v>s1_node_relic_desc</v>
      </c>
      <c r="G624" s="0" t="s">
        <v>149</v>
      </c>
      <c r="H624" s="0">
        <v>1</v>
      </c>
      <c r="I624" s="0" t="s">
        <v>27</v>
      </c>
      <c r="J624" s="0" t="s">
        <v>790</v>
      </c>
      <c r="K624" s="0">
        <v>200</v>
      </c>
      <c r="L624" s="13">
        <v>3</v>
      </c>
      <c r="M624" s="0">
        <v>2</v>
      </c>
      <c r="N624" s="0">
        <v>2</v>
      </c>
      <c r="T624" s="0" t="str">
        <f>_xlfn.TEXTJOIN("_",TRUE,C624,"node_eff",D624,M624,N624)</f>
        <v>s1_node_eff_relic_2_2</v>
      </c>
    </row>
    <row r="625" spans="1:20" x14ac:dyDescent="0.45">
      <c r="A625" s="0" t="str">
        <f>_xlfn.TEXTJOIN("_",TRUE,C625,"node",D625,M625,N625)</f>
        <v>s1_node_relic_2_4</v>
      </c>
      <c r="B625" s="0" t="s">
        <v>0</v>
      </c>
      <c r="C625" s="0" t="s">
        <v>26</v>
      </c>
      <c r="D625" s="0" t="s">
        <v>105</v>
      </c>
      <c r="E625" s="0" t="str">
        <f>"s1_node_"&amp;D625&amp;"_name"</f>
        <v>s1_node_relic_name</v>
      </c>
      <c r="F625" s="13" t="str">
        <f>"s1_node_"&amp;D625&amp;"_desc"</f>
        <v>s1_node_relic_desc</v>
      </c>
      <c r="G625" s="0" t="s">
        <v>142</v>
      </c>
      <c r="H625" s="0">
        <v>1</v>
      </c>
      <c r="I625" s="0" t="s">
        <v>27</v>
      </c>
      <c r="J625" s="0" t="s">
        <v>790</v>
      </c>
      <c r="K625" s="0">
        <v>200</v>
      </c>
      <c r="L625" s="13">
        <v>3</v>
      </c>
      <c r="M625" s="0">
        <v>2</v>
      </c>
      <c r="N625" s="0">
        <v>4</v>
      </c>
      <c r="T625" s="0" t="str">
        <f>_xlfn.TEXTJOIN("_",TRUE,C625,"node_eff",D625,M625,N625)</f>
        <v>s1_node_eff_relic_2_4</v>
      </c>
    </row>
    <row r="626" spans="1:20" x14ac:dyDescent="0.45">
      <c r="A626" s="0" t="str">
        <f>_xlfn.TEXTJOIN("_",TRUE,C626,"node",D626,M626,N626)</f>
        <v>s1_node_relic_2_6</v>
      </c>
      <c r="B626" s="0" t="s">
        <v>0</v>
      </c>
      <c r="C626" s="0" t="s">
        <v>26</v>
      </c>
      <c r="D626" s="0" t="s">
        <v>105</v>
      </c>
      <c r="E626" s="0" t="str">
        <f>"s1_node_"&amp;D626&amp;"_name"</f>
        <v>s1_node_relic_name</v>
      </c>
      <c r="F626" s="13" t="str">
        <f>"s1_node_"&amp;D626&amp;"_desc"</f>
        <v>s1_node_relic_desc</v>
      </c>
      <c r="G626" s="0" t="s">
        <v>419</v>
      </c>
      <c r="H626" s="0">
        <v>1</v>
      </c>
      <c r="I626" s="0" t="s">
        <v>27</v>
      </c>
      <c r="J626" s="0" t="s">
        <v>790</v>
      </c>
      <c r="K626" s="0">
        <v>200</v>
      </c>
      <c r="L626" s="13">
        <v>3</v>
      </c>
      <c r="M626" s="0">
        <v>2</v>
      </c>
      <c r="N626" s="0">
        <v>6</v>
      </c>
      <c r="T626" s="0" t="str">
        <f>_xlfn.TEXTJOIN("_",TRUE,C626,"node_eff",D626,M626,N626)</f>
        <v>s1_node_eff_relic_2_6</v>
      </c>
    </row>
    <row r="627" spans="1:20" x14ac:dyDescent="0.45">
      <c r="A627" s="0" t="str">
        <f>_xlfn.TEXTJOIN("_",TRUE,C627,"node",D627,M627,N627)</f>
        <v>s1_node_relic_3_2</v>
      </c>
      <c r="B627" s="0" t="s">
        <v>0</v>
      </c>
      <c r="C627" s="0" t="s">
        <v>26</v>
      </c>
      <c r="D627" s="0" t="s">
        <v>105</v>
      </c>
      <c r="E627" s="0" t="str">
        <f>"s1_node_"&amp;D627&amp;"_name"</f>
        <v>s1_node_relic_name</v>
      </c>
      <c r="F627" s="13" t="str">
        <f>"s1_node_"&amp;D627&amp;"_desc"</f>
        <v>s1_node_relic_desc</v>
      </c>
      <c r="G627" s="0" t="s">
        <v>138</v>
      </c>
      <c r="H627" s="0">
        <v>1</v>
      </c>
      <c r="I627" s="0" t="s">
        <v>27</v>
      </c>
      <c r="J627" s="0" t="s">
        <v>791</v>
      </c>
      <c r="K627" s="0">
        <v>240</v>
      </c>
      <c r="L627" s="13">
        <v>3</v>
      </c>
      <c r="M627" s="0">
        <v>3</v>
      </c>
      <c r="N627" s="0">
        <v>2</v>
      </c>
      <c r="P627" s="0" t="s">
        <v>792</v>
      </c>
      <c r="T627" s="0" t="str">
        <f>_xlfn.TEXTJOIN("_",TRUE,C627,"node_eff",D627,M627,N627)</f>
        <v>s1_node_eff_relic_3_2</v>
      </c>
    </row>
    <row r="628" spans="1:20" x14ac:dyDescent="0.45">
      <c r="A628" s="0" t="str">
        <f>_xlfn.TEXTJOIN("_",TRUE,C628,"node",D628,M628,N628)</f>
        <v>s1_node_relic_3_6</v>
      </c>
      <c r="B628" s="0" t="s">
        <v>0</v>
      </c>
      <c r="C628" s="0" t="s">
        <v>26</v>
      </c>
      <c r="D628" s="0" t="s">
        <v>105</v>
      </c>
      <c r="E628" s="0" t="str">
        <f>"s1_node_"&amp;D628&amp;"_name"</f>
        <v>s1_node_relic_name</v>
      </c>
      <c r="F628" s="13" t="str">
        <f>"s1_node_"&amp;D628&amp;"_desc"</f>
        <v>s1_node_relic_desc</v>
      </c>
      <c r="G628" s="0" t="s">
        <v>149</v>
      </c>
      <c r="H628" s="0">
        <v>1</v>
      </c>
      <c r="I628" s="0" t="s">
        <v>27</v>
      </c>
      <c r="J628" s="0" t="s">
        <v>791</v>
      </c>
      <c r="K628" s="0">
        <v>240</v>
      </c>
      <c r="L628" s="13">
        <v>3</v>
      </c>
      <c r="M628" s="0">
        <v>3</v>
      </c>
      <c r="N628" s="0">
        <v>6</v>
      </c>
      <c r="P628" s="0" t="s">
        <v>793</v>
      </c>
      <c r="T628" s="0" t="str">
        <f>_xlfn.TEXTJOIN("_",TRUE,C628,"node_eff",D628,M628,N628)</f>
        <v>s1_node_eff_relic_3_6</v>
      </c>
    </row>
    <row r="629" spans="1:20" x14ac:dyDescent="0.45">
      <c r="A629" s="0" t="str">
        <f>_xlfn.TEXTJOIN("_",TRUE,C629,"node",D629,M629,N629)</f>
        <v>s1_node_relic_4_2</v>
      </c>
      <c r="B629" s="0" t="s">
        <v>0</v>
      </c>
      <c r="C629" s="0" t="s">
        <v>26</v>
      </c>
      <c r="D629" s="0" t="s">
        <v>105</v>
      </c>
      <c r="E629" s="0" t="str">
        <f>"s1_node_"&amp;D629&amp;"_name"</f>
        <v>s1_node_relic_name</v>
      </c>
      <c r="F629" s="13" t="str">
        <f>"s1_node_"&amp;D629&amp;"_desc"</f>
        <v>s1_node_relic_desc</v>
      </c>
      <c r="G629" s="0" t="s">
        <v>149</v>
      </c>
      <c r="H629" s="0">
        <v>1</v>
      </c>
      <c r="I629" s="0" t="s">
        <v>27</v>
      </c>
      <c r="J629" s="0" t="s">
        <v>794</v>
      </c>
      <c r="K629" s="0">
        <v>270</v>
      </c>
      <c r="L629" s="13">
        <v>3</v>
      </c>
      <c r="M629" s="0">
        <v>4</v>
      </c>
      <c r="N629" s="0">
        <v>2</v>
      </c>
      <c r="T629" s="0" t="str">
        <f>_xlfn.TEXTJOIN("_",TRUE,C629,"node_eff",D629,M629,N629)</f>
        <v>s1_node_eff_relic_4_2</v>
      </c>
    </row>
    <row r="630" spans="1:20" x14ac:dyDescent="0.45">
      <c r="A630" s="0" t="str">
        <f>_xlfn.TEXTJOIN("_",TRUE,C630,"node",D630,M630,N630)</f>
        <v>s1_node_relic_4_4</v>
      </c>
      <c r="B630" s="0" t="s">
        <v>0</v>
      </c>
      <c r="C630" s="0" t="s">
        <v>26</v>
      </c>
      <c r="D630" s="0" t="s">
        <v>105</v>
      </c>
      <c r="E630" s="0" t="str">
        <f>"s1_node_"&amp;D630&amp;"_name"</f>
        <v>s1_node_relic_name</v>
      </c>
      <c r="F630" s="13" t="str">
        <f>"s1_node_"&amp;D630&amp;"_desc"</f>
        <v>s1_node_relic_desc</v>
      </c>
      <c r="G630" s="0" t="s">
        <v>795</v>
      </c>
      <c r="H630" s="0">
        <v>1</v>
      </c>
      <c r="I630" s="0" t="s">
        <v>27</v>
      </c>
      <c r="J630" s="0" t="s">
        <v>794</v>
      </c>
      <c r="K630" s="0">
        <v>270</v>
      </c>
      <c r="L630" s="13">
        <v>3</v>
      </c>
      <c r="M630" s="0">
        <v>4</v>
      </c>
      <c r="N630" s="0">
        <v>4</v>
      </c>
      <c r="P630" s="0" t="s">
        <v>796</v>
      </c>
      <c r="T630" s="0" t="str">
        <f>_xlfn.TEXTJOIN("_",TRUE,C630,"node_eff",D630,M630,N630)</f>
        <v>s1_node_eff_relic_4_4</v>
      </c>
    </row>
    <row r="631" spans="1:20" x14ac:dyDescent="0.45">
      <c r="A631" s="0" t="str">
        <f>_xlfn.TEXTJOIN("_",TRUE,C631,"node",D631,M631,N631)</f>
        <v>s1_node_relic_4_6</v>
      </c>
      <c r="B631" s="0" t="s">
        <v>0</v>
      </c>
      <c r="C631" s="0" t="s">
        <v>26</v>
      </c>
      <c r="D631" s="0" t="s">
        <v>105</v>
      </c>
      <c r="E631" s="0" t="str">
        <f>"s1_node_"&amp;D631&amp;"_name"</f>
        <v>s1_node_relic_name</v>
      </c>
      <c r="F631" s="13" t="str">
        <f>"s1_node_"&amp;D631&amp;"_desc"</f>
        <v>s1_node_relic_desc</v>
      </c>
      <c r="G631" s="0" t="s">
        <v>138</v>
      </c>
      <c r="H631" s="0">
        <v>1</v>
      </c>
      <c r="I631" s="0" t="s">
        <v>27</v>
      </c>
      <c r="J631" s="0" t="s">
        <v>794</v>
      </c>
      <c r="K631" s="0">
        <v>270</v>
      </c>
      <c r="L631" s="13">
        <v>3</v>
      </c>
      <c r="M631" s="0">
        <v>4</v>
      </c>
      <c r="N631" s="0">
        <v>6</v>
      </c>
      <c r="T631" s="0" t="str">
        <f>_xlfn.TEXTJOIN("_",TRUE,C631,"node_eff",D631,M631,N631)</f>
        <v>s1_node_eff_relic_4_6</v>
      </c>
    </row>
    <row r="632" spans="1:20" x14ac:dyDescent="0.45">
      <c r="A632" s="0" t="str">
        <f>_xlfn.TEXTJOIN("_",TRUE,C632,"node",D632,M632,N632)</f>
        <v>s1_node_relic_5_2</v>
      </c>
      <c r="B632" s="0" t="s">
        <v>0</v>
      </c>
      <c r="C632" s="0" t="s">
        <v>26</v>
      </c>
      <c r="D632" s="0" t="s">
        <v>105</v>
      </c>
      <c r="E632" s="0" t="str">
        <f>"s1_node_"&amp;D632&amp;"_name"</f>
        <v>s1_node_relic_name</v>
      </c>
      <c r="F632" s="13" t="str">
        <f>"s1_node_"&amp;D632&amp;"_desc"</f>
        <v>s1_node_relic_desc</v>
      </c>
      <c r="G632" s="0" t="s">
        <v>149</v>
      </c>
      <c r="H632" s="0">
        <v>1</v>
      </c>
      <c r="I632" s="0" t="s">
        <v>27</v>
      </c>
      <c r="J632" s="0" t="s">
        <v>797</v>
      </c>
      <c r="K632" s="0">
        <v>310</v>
      </c>
      <c r="L632" s="13">
        <v>3</v>
      </c>
      <c r="M632" s="0">
        <v>5</v>
      </c>
      <c r="N632" s="0">
        <v>2</v>
      </c>
      <c r="P632" s="0" t="s">
        <v>798</v>
      </c>
      <c r="T632" s="0" t="str">
        <f>_xlfn.TEXTJOIN("_",TRUE,C632,"node_eff",D632,M632,N632)</f>
        <v>s1_node_eff_relic_5_2</v>
      </c>
    </row>
    <row r="633" spans="1:20" x14ac:dyDescent="0.45">
      <c r="A633" s="0" t="str">
        <f>_xlfn.TEXTJOIN("_",TRUE,C633,"node",D633,M633,N633)</f>
        <v>s1_node_relic_5_6</v>
      </c>
      <c r="B633" s="0" t="s">
        <v>0</v>
      </c>
      <c r="C633" s="0" t="s">
        <v>26</v>
      </c>
      <c r="D633" s="0" t="s">
        <v>105</v>
      </c>
      <c r="E633" s="0" t="str">
        <f>"s1_node_"&amp;D633&amp;"_name"</f>
        <v>s1_node_relic_name</v>
      </c>
      <c r="F633" s="13" t="str">
        <f>"s1_node_"&amp;D633&amp;"_desc"</f>
        <v>s1_node_relic_desc</v>
      </c>
      <c r="G633" s="0" t="s">
        <v>788</v>
      </c>
      <c r="H633" s="0">
        <v>1</v>
      </c>
      <c r="I633" s="0" t="s">
        <v>27</v>
      </c>
      <c r="J633" s="0" t="s">
        <v>797</v>
      </c>
      <c r="K633" s="0">
        <v>310</v>
      </c>
      <c r="L633" s="13">
        <v>3</v>
      </c>
      <c r="M633" s="0">
        <v>5</v>
      </c>
      <c r="N633" s="0">
        <v>6</v>
      </c>
      <c r="P633" s="0" t="s">
        <v>799</v>
      </c>
      <c r="T633" s="0" t="str">
        <f>_xlfn.TEXTJOIN("_",TRUE,C633,"node_eff",D633,M633,N633)</f>
        <v>s1_node_eff_relic_5_6</v>
      </c>
    </row>
    <row r="634" spans="1:20" x14ac:dyDescent="0.45">
      <c r="A634" s="0" t="str">
        <f>_xlfn.TEXTJOIN("_",TRUE,C634,"node",D634,M634,N634)</f>
        <v>s1_node_relic_6_4</v>
      </c>
      <c r="B634" s="0" t="s">
        <v>0</v>
      </c>
      <c r="C634" s="0" t="s">
        <v>26</v>
      </c>
      <c r="D634" s="0" t="s">
        <v>105</v>
      </c>
      <c r="E634" s="0" t="str">
        <f>"s1_node_"&amp;D634&amp;"_name"</f>
        <v>s1_node_relic_name</v>
      </c>
      <c r="F634" s="13" t="str">
        <f>"s1_node_"&amp;D634&amp;"_desc"</f>
        <v>s1_node_relic_desc</v>
      </c>
      <c r="G634" s="0" t="s">
        <v>149</v>
      </c>
      <c r="H634" s="0">
        <v>1</v>
      </c>
      <c r="I634" s="0" t="s">
        <v>27</v>
      </c>
      <c r="J634" s="0" t="s">
        <v>800</v>
      </c>
      <c r="K634" s="0">
        <v>350</v>
      </c>
      <c r="L634" s="13">
        <v>3</v>
      </c>
      <c r="M634" s="0">
        <v>6</v>
      </c>
      <c r="N634" s="0">
        <v>4</v>
      </c>
      <c r="P634" s="0" t="s">
        <v>801</v>
      </c>
      <c r="T634" s="0" t="str">
        <f>_xlfn.TEXTJOIN("_",TRUE,C634,"node_eff",D634,M634,N634)</f>
        <v>s1_node_eff_relic_6_4</v>
      </c>
    </row>
    <row r="635" spans="1:20" x14ac:dyDescent="0.45">
      <c r="A635" s="0" t="str">
        <f>_xlfn.TEXTJOIN("_",TRUE,C635,"node",D635,M635,N635)</f>
        <v>s1_node_relic_7_2</v>
      </c>
      <c r="B635" s="0" t="s">
        <v>0</v>
      </c>
      <c r="C635" s="0" t="s">
        <v>26</v>
      </c>
      <c r="D635" s="0" t="s">
        <v>105</v>
      </c>
      <c r="E635" s="0" t="str">
        <f>"s1_node_"&amp;D635&amp;"_name"</f>
        <v>s1_node_relic_name</v>
      </c>
      <c r="F635" s="13" t="str">
        <f>"s1_node_"&amp;D635&amp;"_desc"</f>
        <v>s1_node_relic_desc</v>
      </c>
      <c r="G635" s="0" t="s">
        <v>142</v>
      </c>
      <c r="H635" s="0">
        <v>1</v>
      </c>
      <c r="I635" s="0" t="s">
        <v>27</v>
      </c>
      <c r="J635" s="0" t="s">
        <v>164</v>
      </c>
      <c r="K635" s="0">
        <v>390</v>
      </c>
      <c r="L635" s="13">
        <v>3</v>
      </c>
      <c r="M635" s="0">
        <v>7</v>
      </c>
      <c r="N635" s="0">
        <v>2</v>
      </c>
      <c r="T635" s="0" t="str">
        <f>_xlfn.TEXTJOIN("_",TRUE,C635,"node_eff",D635,M635,N635)</f>
        <v>s1_node_eff_relic_7_2</v>
      </c>
    </row>
    <row r="636" spans="1:20" x14ac:dyDescent="0.45">
      <c r="A636" s="0" t="str">
        <f>_xlfn.TEXTJOIN("_",TRUE,C636,"node",D636,M636,N636)</f>
        <v>s1_node_relic_7_4</v>
      </c>
      <c r="B636" s="0" t="s">
        <v>0</v>
      </c>
      <c r="C636" s="0" t="s">
        <v>26</v>
      </c>
      <c r="D636" s="0" t="s">
        <v>105</v>
      </c>
      <c r="E636" s="0" t="str">
        <f>"s1_node_"&amp;D636&amp;"_name"</f>
        <v>s1_node_relic_name</v>
      </c>
      <c r="F636" s="13" t="str">
        <f>"s1_node_"&amp;D636&amp;"_desc"</f>
        <v>s1_node_relic_desc</v>
      </c>
      <c r="G636" s="0" t="s">
        <v>419</v>
      </c>
      <c r="H636" s="0">
        <v>1</v>
      </c>
      <c r="I636" s="0" t="s">
        <v>27</v>
      </c>
      <c r="J636" s="0" t="s">
        <v>164</v>
      </c>
      <c r="K636" s="0">
        <v>390</v>
      </c>
      <c r="L636" s="13">
        <v>3</v>
      </c>
      <c r="M636" s="0">
        <v>7</v>
      </c>
      <c r="N636" s="0">
        <v>4</v>
      </c>
      <c r="T636" s="0" t="str">
        <f>_xlfn.TEXTJOIN("_",TRUE,C636,"node_eff",D636,M636,N636)</f>
        <v>s1_node_eff_relic_7_4</v>
      </c>
    </row>
    <row r="637" spans="1:20" x14ac:dyDescent="0.45">
      <c r="A637" s="0" t="str">
        <f>_xlfn.TEXTJOIN("_",TRUE,C637,"node",D637,M637,N637)</f>
        <v>s1_node_relic_7_6</v>
      </c>
      <c r="B637" s="0" t="s">
        <v>0</v>
      </c>
      <c r="C637" s="0" t="s">
        <v>26</v>
      </c>
      <c r="D637" s="0" t="s">
        <v>105</v>
      </c>
      <c r="E637" s="0" t="str">
        <f>"s1_node_"&amp;D637&amp;"_name"</f>
        <v>s1_node_relic_name</v>
      </c>
      <c r="F637" s="13" t="str">
        <f>"s1_node_"&amp;D637&amp;"_desc"</f>
        <v>s1_node_relic_desc</v>
      </c>
      <c r="G637" s="0" t="s">
        <v>138</v>
      </c>
      <c r="H637" s="0">
        <v>1</v>
      </c>
      <c r="I637" s="0" t="s">
        <v>27</v>
      </c>
      <c r="J637" s="0" t="s">
        <v>164</v>
      </c>
      <c r="K637" s="0">
        <v>390</v>
      </c>
      <c r="L637" s="13">
        <v>3</v>
      </c>
      <c r="M637" s="0">
        <v>7</v>
      </c>
      <c r="N637" s="0">
        <v>6</v>
      </c>
      <c r="T637" s="0" t="str">
        <f>_xlfn.TEXTJOIN("_",TRUE,C637,"node_eff",D637,M637,N637)</f>
        <v>s1_node_eff_relic_7_6</v>
      </c>
    </row>
    <row r="638" spans="1:20" x14ac:dyDescent="0.45">
      <c r="A638" s="0" t="str">
        <f>_xlfn.TEXTJOIN("_",TRUE,C638,"node",D638,M638,N638)</f>
        <v>s1_node_relic_8_2</v>
      </c>
      <c r="B638" s="0" t="s">
        <v>0</v>
      </c>
      <c r="C638" s="0" t="s">
        <v>26</v>
      </c>
      <c r="D638" s="0" t="s">
        <v>105</v>
      </c>
      <c r="E638" s="0" t="str">
        <f>"s1_node_"&amp;D638&amp;"_name"</f>
        <v>s1_node_relic_name</v>
      </c>
      <c r="F638" s="13" t="str">
        <f>"s1_node_"&amp;D638&amp;"_desc"</f>
        <v>s1_node_relic_desc</v>
      </c>
      <c r="G638" s="0" t="s">
        <v>149</v>
      </c>
      <c r="H638" s="0">
        <v>1</v>
      </c>
      <c r="I638" s="0" t="s">
        <v>27</v>
      </c>
      <c r="J638" s="0" t="s">
        <v>167</v>
      </c>
      <c r="K638" s="0">
        <v>430</v>
      </c>
      <c r="L638" s="13">
        <v>3</v>
      </c>
      <c r="M638" s="0">
        <v>8</v>
      </c>
      <c r="N638" s="0">
        <v>2</v>
      </c>
      <c r="P638" s="0" t="s">
        <v>802</v>
      </c>
      <c r="T638" s="0" t="str">
        <f>_xlfn.TEXTJOIN("_",TRUE,C638,"node_eff",D638,M638,N638)</f>
        <v>s1_node_eff_relic_8_2</v>
      </c>
    </row>
    <row r="639" spans="1:20" x14ac:dyDescent="0.45">
      <c r="A639" s="0" t="str">
        <f>_xlfn.TEXTJOIN("_",TRUE,C639,"node",D639,M639,N639)</f>
        <v>s1_node_relic_8_6</v>
      </c>
      <c r="B639" s="0" t="s">
        <v>0</v>
      </c>
      <c r="C639" s="0" t="s">
        <v>26</v>
      </c>
      <c r="D639" s="0" t="s">
        <v>105</v>
      </c>
      <c r="E639" s="0" t="str">
        <f>"s1_node_"&amp;D639&amp;"_name"</f>
        <v>s1_node_relic_name</v>
      </c>
      <c r="F639" s="13" t="str">
        <f>"s1_node_"&amp;D639&amp;"_desc"</f>
        <v>s1_node_relic_desc</v>
      </c>
      <c r="G639" s="0" t="s">
        <v>149</v>
      </c>
      <c r="H639" s="0">
        <v>1</v>
      </c>
      <c r="I639" s="0" t="s">
        <v>27</v>
      </c>
      <c r="J639" s="0" t="s">
        <v>167</v>
      </c>
      <c r="K639" s="0">
        <v>430</v>
      </c>
      <c r="L639" s="13">
        <v>3</v>
      </c>
      <c r="M639" s="0">
        <v>8</v>
      </c>
      <c r="N639" s="0">
        <v>6</v>
      </c>
      <c r="P639" s="0" t="s">
        <v>803</v>
      </c>
      <c r="T639" s="0" t="str">
        <f>_xlfn.TEXTJOIN("_",TRUE,C639,"node_eff",D639,M639,N639)</f>
        <v>s1_node_eff_relic_8_6</v>
      </c>
    </row>
    <row r="640" spans="1:20" x14ac:dyDescent="0.45">
      <c r="A640" s="0" t="str">
        <f>_xlfn.TEXTJOIN("_",TRUE,C640,"node",D640,M640,N640)</f>
        <v>s1_node_relic_9_2</v>
      </c>
      <c r="B640" s="0" t="s">
        <v>0</v>
      </c>
      <c r="C640" s="0" t="s">
        <v>26</v>
      </c>
      <c r="D640" s="0" t="s">
        <v>105</v>
      </c>
      <c r="E640" s="0" t="str">
        <f>"s1_node_"&amp;D640&amp;"_name"</f>
        <v>s1_node_relic_name</v>
      </c>
      <c r="F640" s="13" t="str">
        <f>"s1_node_"&amp;D640&amp;"_desc"</f>
        <v>s1_node_relic_desc</v>
      </c>
      <c r="G640" s="0" t="s">
        <v>795</v>
      </c>
      <c r="H640" s="0">
        <v>1</v>
      </c>
      <c r="I640" s="0" t="s">
        <v>27</v>
      </c>
      <c r="J640" s="0" t="s">
        <v>170</v>
      </c>
      <c r="K640" s="0">
        <v>460</v>
      </c>
      <c r="L640" s="13">
        <v>3</v>
      </c>
      <c r="M640" s="0">
        <v>9</v>
      </c>
      <c r="N640" s="0">
        <v>2</v>
      </c>
      <c r="T640" s="0" t="str">
        <f>_xlfn.TEXTJOIN("_",TRUE,C640,"node_eff",D640,M640,N640)</f>
        <v>s1_node_eff_relic_9_2</v>
      </c>
    </row>
    <row r="641" spans="1:20" x14ac:dyDescent="0.45">
      <c r="A641" s="0" t="str">
        <f>_xlfn.TEXTJOIN("_",TRUE,C641,"node",D641,M641,N641)</f>
        <v>s1_node_relic_9_4</v>
      </c>
      <c r="B641" s="0" t="s">
        <v>0</v>
      </c>
      <c r="C641" s="0" t="s">
        <v>26</v>
      </c>
      <c r="D641" s="0" t="s">
        <v>105</v>
      </c>
      <c r="E641" s="0" t="str">
        <f>"s1_node_"&amp;D641&amp;"_name"</f>
        <v>s1_node_relic_name</v>
      </c>
      <c r="F641" s="13" t="str">
        <f>"s1_node_"&amp;D641&amp;"_desc"</f>
        <v>s1_node_relic_desc</v>
      </c>
      <c r="G641" s="0" t="s">
        <v>138</v>
      </c>
      <c r="H641" s="0">
        <v>1</v>
      </c>
      <c r="I641" s="0" t="s">
        <v>27</v>
      </c>
      <c r="J641" s="0" t="s">
        <v>170</v>
      </c>
      <c r="K641" s="0">
        <v>460</v>
      </c>
      <c r="L641" s="13">
        <v>3</v>
      </c>
      <c r="M641" s="0">
        <v>9</v>
      </c>
      <c r="N641" s="0">
        <v>4</v>
      </c>
      <c r="P641" s="0" t="s">
        <v>804</v>
      </c>
      <c r="T641" s="0" t="str">
        <f>_xlfn.TEXTJOIN("_",TRUE,C641,"node_eff",D641,M641,N641)</f>
        <v>s1_node_eff_relic_9_4</v>
      </c>
    </row>
    <row r="642" spans="1:20" x14ac:dyDescent="0.45">
      <c r="A642" s="0" t="str">
        <f>_xlfn.TEXTJOIN("_",TRUE,C642,"node",D642,M642,N642)</f>
        <v>s1_node_relic_9_6</v>
      </c>
      <c r="B642" s="0" t="s">
        <v>0</v>
      </c>
      <c r="C642" s="0" t="s">
        <v>26</v>
      </c>
      <c r="D642" s="0" t="s">
        <v>105</v>
      </c>
      <c r="E642" s="0" t="str">
        <f>"s1_node_"&amp;D642&amp;"_name"</f>
        <v>s1_node_relic_name</v>
      </c>
      <c r="F642" s="13" t="str">
        <f>"s1_node_"&amp;D642&amp;"_desc"</f>
        <v>s1_node_relic_desc</v>
      </c>
      <c r="G642" s="0" t="s">
        <v>149</v>
      </c>
      <c r="H642" s="0">
        <v>1</v>
      </c>
      <c r="I642" s="0" t="s">
        <v>27</v>
      </c>
      <c r="J642" s="0" t="s">
        <v>170</v>
      </c>
      <c r="K642" s="0">
        <v>460</v>
      </c>
      <c r="L642" s="13">
        <v>3</v>
      </c>
      <c r="M642" s="0">
        <v>9</v>
      </c>
      <c r="N642" s="0">
        <v>6</v>
      </c>
      <c r="T642" s="0" t="str">
        <f>_xlfn.TEXTJOIN("_",TRUE,C642,"node_eff",D642,M642,N642)</f>
        <v>s1_node_eff_relic_9_6</v>
      </c>
    </row>
    <row r="643" spans="1:20" x14ac:dyDescent="0.45">
      <c r="A643" s="0" t="str">
        <f>_xlfn.TEXTJOIN("_",TRUE,C643,"node",D643,M643,N643)</f>
        <v>s1_node_relic_10_2</v>
      </c>
      <c r="B643" s="0" t="s">
        <v>0</v>
      </c>
      <c r="C643" s="0" t="s">
        <v>26</v>
      </c>
      <c r="D643" s="0" t="s">
        <v>105</v>
      </c>
      <c r="E643" s="0" t="str">
        <f>"s1_node_"&amp;D643&amp;"_name"</f>
        <v>s1_node_relic_name</v>
      </c>
      <c r="F643" s="13" t="str">
        <f>"s1_node_"&amp;D643&amp;"_desc"</f>
        <v>s1_node_relic_desc</v>
      </c>
      <c r="G643" s="0" t="s">
        <v>788</v>
      </c>
      <c r="H643" s="0">
        <v>1</v>
      </c>
      <c r="I643" s="0" t="s">
        <v>27</v>
      </c>
      <c r="J643" s="0" t="s">
        <v>172</v>
      </c>
      <c r="K643" s="0">
        <v>500</v>
      </c>
      <c r="L643" s="13">
        <v>3</v>
      </c>
      <c r="M643" s="0">
        <v>10</v>
      </c>
      <c r="N643" s="0">
        <v>2</v>
      </c>
      <c r="P643" s="0" t="s">
        <v>805</v>
      </c>
      <c r="T643" s="0" t="str">
        <f>_xlfn.TEXTJOIN("_",TRUE,C643,"node_eff",D643,M643,N643)</f>
        <v>s1_node_eff_relic_10_2</v>
      </c>
    </row>
    <row r="644" spans="1:20" x14ac:dyDescent="0.45">
      <c r="A644" s="0" t="str">
        <f>_xlfn.TEXTJOIN("_",TRUE,C644,"node",D644,M644,N644)</f>
        <v>s1_node_relic_10_6</v>
      </c>
      <c r="B644" s="0" t="s">
        <v>0</v>
      </c>
      <c r="C644" s="0" t="s">
        <v>26</v>
      </c>
      <c r="D644" s="0" t="s">
        <v>105</v>
      </c>
      <c r="E644" s="0" t="str">
        <f>"s1_node_"&amp;D644&amp;"_name"</f>
        <v>s1_node_relic_name</v>
      </c>
      <c r="F644" s="13" t="str">
        <f>"s1_node_"&amp;D644&amp;"_desc"</f>
        <v>s1_node_relic_desc</v>
      </c>
      <c r="G644" s="0" t="s">
        <v>149</v>
      </c>
      <c r="H644" s="0">
        <v>1</v>
      </c>
      <c r="I644" s="0" t="s">
        <v>27</v>
      </c>
      <c r="J644" s="0" t="s">
        <v>172</v>
      </c>
      <c r="K644" s="0">
        <v>500</v>
      </c>
      <c r="L644" s="13">
        <v>3</v>
      </c>
      <c r="M644" s="0">
        <v>10</v>
      </c>
      <c r="N644" s="0">
        <v>6</v>
      </c>
      <c r="P644" s="0" t="s">
        <v>806</v>
      </c>
      <c r="T644" s="0" t="str">
        <f>_xlfn.TEXTJOIN("_",TRUE,C644,"node_eff",D644,M644,N644)</f>
        <v>s1_node_eff_relic_10_6</v>
      </c>
    </row>
    <row r="645" spans="1:20" x14ac:dyDescent="0.45">
      <c r="A645" s="0" t="str">
        <f>_xlfn.TEXTJOIN("_",TRUE,C645,"node",D645,M645,N645)</f>
        <v>s1_node_relic_11_4</v>
      </c>
      <c r="B645" s="0" t="s">
        <v>0</v>
      </c>
      <c r="C645" s="0" t="s">
        <v>26</v>
      </c>
      <c r="D645" s="0" t="s">
        <v>105</v>
      </c>
      <c r="E645" s="0" t="str">
        <f>"s1_node_"&amp;D645&amp;"_name"</f>
        <v>s1_node_relic_name</v>
      </c>
      <c r="F645" s="13" t="str">
        <f>"s1_node_"&amp;D645&amp;"_desc"</f>
        <v>s1_node_relic_desc</v>
      </c>
      <c r="G645" s="0" t="s">
        <v>142</v>
      </c>
      <c r="H645" s="0">
        <v>1</v>
      </c>
      <c r="I645" s="0" t="s">
        <v>27</v>
      </c>
      <c r="J645" s="0" t="s">
        <v>437</v>
      </c>
      <c r="K645" s="0">
        <v>540</v>
      </c>
      <c r="L645" s="13">
        <v>3</v>
      </c>
      <c r="M645" s="0">
        <v>11</v>
      </c>
      <c r="N645" s="0">
        <v>4</v>
      </c>
      <c r="P645" s="0" t="s">
        <v>807</v>
      </c>
      <c r="T645" s="0" t="str">
        <f>_xlfn.TEXTJOIN("_",TRUE,C645,"node_eff",D645,M645,N645)</f>
        <v>s1_node_eff_relic_11_4</v>
      </c>
    </row>
    <row r="646" spans="1:20" x14ac:dyDescent="0.45">
      <c r="A646" s="0" t="str">
        <f>_xlfn.TEXTJOIN("_",TRUE,C646,"node",D646,M646,N646)</f>
        <v>s1_node_relic_12_2</v>
      </c>
      <c r="B646" s="0" t="s">
        <v>0</v>
      </c>
      <c r="C646" s="0" t="s">
        <v>26</v>
      </c>
      <c r="D646" s="0" t="s">
        <v>105</v>
      </c>
      <c r="E646" s="0" t="str">
        <f>"s1_node_"&amp;D646&amp;"_name"</f>
        <v>s1_node_relic_name</v>
      </c>
      <c r="F646" s="13" t="str">
        <f>"s1_node_"&amp;D646&amp;"_desc"</f>
        <v>s1_node_relic_desc</v>
      </c>
      <c r="G646" s="0" t="s">
        <v>419</v>
      </c>
      <c r="H646" s="0">
        <v>1</v>
      </c>
      <c r="I646" s="0" t="s">
        <v>27</v>
      </c>
      <c r="J646" s="0" t="s">
        <v>440</v>
      </c>
      <c r="K646" s="0">
        <v>580</v>
      </c>
      <c r="L646" s="13">
        <v>3</v>
      </c>
      <c r="M646" s="0">
        <v>12</v>
      </c>
      <c r="N646" s="0">
        <v>2</v>
      </c>
      <c r="T646" s="0" t="str">
        <f>_xlfn.TEXTJOIN("_",TRUE,C646,"node_eff",D646,M646,N646)</f>
        <v>s1_node_eff_relic_12_2</v>
      </c>
    </row>
    <row r="647" spans="1:20" x14ac:dyDescent="0.45">
      <c r="A647" s="0" t="str">
        <f>_xlfn.TEXTJOIN("_",TRUE,C647,"node",D647,M647,N647)</f>
        <v>s1_node_relic_12_4</v>
      </c>
      <c r="B647" s="0" t="s">
        <v>0</v>
      </c>
      <c r="C647" s="0" t="s">
        <v>26</v>
      </c>
      <c r="D647" s="0" t="s">
        <v>105</v>
      </c>
      <c r="E647" s="0" t="str">
        <f>"s1_node_"&amp;D647&amp;"_name"</f>
        <v>s1_node_relic_name</v>
      </c>
      <c r="F647" s="13" t="str">
        <f>"s1_node_"&amp;D647&amp;"_desc"</f>
        <v>s1_node_relic_desc</v>
      </c>
      <c r="G647" s="0" t="s">
        <v>138</v>
      </c>
      <c r="H647" s="0">
        <v>1</v>
      </c>
      <c r="I647" s="0" t="s">
        <v>27</v>
      </c>
      <c r="J647" s="0" t="s">
        <v>440</v>
      </c>
      <c r="K647" s="0">
        <v>580</v>
      </c>
      <c r="L647" s="13">
        <v>3</v>
      </c>
      <c r="M647" s="0">
        <v>12</v>
      </c>
      <c r="N647" s="0">
        <v>4</v>
      </c>
      <c r="T647" s="0" t="str">
        <f>_xlfn.TEXTJOIN("_",TRUE,C647,"node_eff",D647,M647,N647)</f>
        <v>s1_node_eff_relic_12_4</v>
      </c>
    </row>
    <row r="648" spans="1:20" x14ac:dyDescent="0.45">
      <c r="A648" s="0" t="str">
        <f>_xlfn.TEXTJOIN("_",TRUE,C648,"node",D648,M648,N648)</f>
        <v>s1_node_relic_12_6</v>
      </c>
      <c r="B648" s="0" t="s">
        <v>0</v>
      </c>
      <c r="C648" s="0" t="s">
        <v>26</v>
      </c>
      <c r="D648" s="0" t="s">
        <v>105</v>
      </c>
      <c r="E648" s="0" t="str">
        <f>"s1_node_"&amp;D648&amp;"_name"</f>
        <v>s1_node_relic_name</v>
      </c>
      <c r="F648" s="13" t="str">
        <f>"s1_node_"&amp;D648&amp;"_desc"</f>
        <v>s1_node_relic_desc</v>
      </c>
      <c r="G648" s="0" t="s">
        <v>149</v>
      </c>
      <c r="H648" s="0">
        <v>1</v>
      </c>
      <c r="I648" s="0" t="s">
        <v>27</v>
      </c>
      <c r="J648" s="0" t="s">
        <v>440</v>
      </c>
      <c r="K648" s="0">
        <v>580</v>
      </c>
      <c r="L648" s="13">
        <v>3</v>
      </c>
      <c r="M648" s="0">
        <v>12</v>
      </c>
      <c r="N648" s="0">
        <v>6</v>
      </c>
      <c r="T648" s="0" t="str">
        <f>_xlfn.TEXTJOIN("_",TRUE,C648,"node_eff",D648,M648,N648)</f>
        <v>s1_node_eff_relic_12_6</v>
      </c>
    </row>
    <row r="649" spans="1:20" x14ac:dyDescent="0.45">
      <c r="A649" s="0" t="str">
        <f>_xlfn.TEXTJOIN("_",TRUE,C649,"node",D649,M649,N649)</f>
        <v>s1_node_relic_13_2</v>
      </c>
      <c r="B649" s="0" t="s">
        <v>0</v>
      </c>
      <c r="C649" s="0" t="s">
        <v>26</v>
      </c>
      <c r="D649" s="0" t="s">
        <v>105</v>
      </c>
      <c r="E649" s="0" t="str">
        <f>"s1_node_"&amp;D649&amp;"_name"</f>
        <v>s1_node_relic_name</v>
      </c>
      <c r="F649" s="13" t="str">
        <f>"s1_node_"&amp;D649&amp;"_desc"</f>
        <v>s1_node_relic_desc</v>
      </c>
      <c r="G649" s="0" t="s">
        <v>149</v>
      </c>
      <c r="H649" s="0">
        <v>1</v>
      </c>
      <c r="I649" s="0" t="s">
        <v>27</v>
      </c>
      <c r="J649" s="0" t="s">
        <v>808</v>
      </c>
      <c r="K649" s="0">
        <v>620</v>
      </c>
      <c r="L649" s="13">
        <v>3</v>
      </c>
      <c r="M649" s="0">
        <v>13</v>
      </c>
      <c r="N649" s="0">
        <v>2</v>
      </c>
      <c r="P649" s="0" t="s">
        <v>809</v>
      </c>
      <c r="T649" s="0" t="str">
        <f>_xlfn.TEXTJOIN("_",TRUE,C649,"node_eff",D649,M649,N649)</f>
        <v>s1_node_eff_relic_13_2</v>
      </c>
    </row>
    <row r="650" spans="1:20" x14ac:dyDescent="0.45">
      <c r="A650" s="0" t="str">
        <f>_xlfn.TEXTJOIN("_",TRUE,C650,"node",D650,M650,N650)</f>
        <v>s1_node_relic_13_6</v>
      </c>
      <c r="B650" s="0" t="s">
        <v>0</v>
      </c>
      <c r="C650" s="0" t="s">
        <v>26</v>
      </c>
      <c r="D650" s="0" t="s">
        <v>105</v>
      </c>
      <c r="E650" s="0" t="str">
        <f>"s1_node_"&amp;D650&amp;"_name"</f>
        <v>s1_node_relic_name</v>
      </c>
      <c r="F650" s="13" t="str">
        <f>"s1_node_"&amp;D650&amp;"_desc"</f>
        <v>s1_node_relic_desc</v>
      </c>
      <c r="G650" s="0" t="s">
        <v>795</v>
      </c>
      <c r="H650" s="0">
        <v>1</v>
      </c>
      <c r="I650" s="0" t="s">
        <v>27</v>
      </c>
      <c r="J650" s="0" t="s">
        <v>808</v>
      </c>
      <c r="K650" s="0">
        <v>620</v>
      </c>
      <c r="L650" s="13">
        <v>3</v>
      </c>
      <c r="M650" s="0">
        <v>13</v>
      </c>
      <c r="N650" s="0">
        <v>6</v>
      </c>
      <c r="P650" s="0" t="s">
        <v>810</v>
      </c>
      <c r="T650" s="0" t="str">
        <f>_xlfn.TEXTJOIN("_",TRUE,C650,"node_eff",D650,M650,N650)</f>
        <v>s1_node_eff_relic_13_6</v>
      </c>
    </row>
    <row r="651" spans="1:20" x14ac:dyDescent="0.45">
      <c r="A651" s="0" t="str">
        <f>_xlfn.TEXTJOIN("_",TRUE,C651,"node",D651,M651,N651)</f>
        <v>s1_node_relic_14_2</v>
      </c>
      <c r="B651" s="0" t="s">
        <v>0</v>
      </c>
      <c r="C651" s="0" t="s">
        <v>26</v>
      </c>
      <c r="D651" s="0" t="s">
        <v>105</v>
      </c>
      <c r="E651" s="0" t="str">
        <f>"s1_node_"&amp;D651&amp;"_name"</f>
        <v>s1_node_relic_name</v>
      </c>
      <c r="F651" s="13" t="str">
        <f>"s1_node_"&amp;D651&amp;"_desc"</f>
        <v>s1_node_relic_desc</v>
      </c>
      <c r="G651" s="0" t="s">
        <v>138</v>
      </c>
      <c r="H651" s="0">
        <v>1</v>
      </c>
      <c r="I651" s="0" t="s">
        <v>27</v>
      </c>
      <c r="J651" s="0" t="s">
        <v>445</v>
      </c>
      <c r="K651" s="0">
        <v>650</v>
      </c>
      <c r="L651" s="13">
        <v>3</v>
      </c>
      <c r="M651" s="0">
        <v>14</v>
      </c>
      <c r="N651" s="0">
        <v>2</v>
      </c>
      <c r="T651" s="0" t="str">
        <f>_xlfn.TEXTJOIN("_",TRUE,C651,"node_eff",D651,M651,N651)</f>
        <v>s1_node_eff_relic_14_2</v>
      </c>
    </row>
    <row r="652" spans="1:20" x14ac:dyDescent="0.45">
      <c r="A652" s="0" t="str">
        <f>_xlfn.TEXTJOIN("_",TRUE,C652,"node",D652,M652,N652)</f>
        <v>s1_node_relic_14_4</v>
      </c>
      <c r="B652" s="0" t="s">
        <v>0</v>
      </c>
      <c r="C652" s="0" t="s">
        <v>26</v>
      </c>
      <c r="D652" s="0" t="s">
        <v>105</v>
      </c>
      <c r="E652" s="0" t="str">
        <f>"s1_node_"&amp;D652&amp;"_name"</f>
        <v>s1_node_relic_name</v>
      </c>
      <c r="F652" s="13" t="str">
        <f>"s1_node_"&amp;D652&amp;"_desc"</f>
        <v>s1_node_relic_desc</v>
      </c>
      <c r="G652" s="0" t="s">
        <v>149</v>
      </c>
      <c r="H652" s="0">
        <v>1</v>
      </c>
      <c r="I652" s="0" t="s">
        <v>27</v>
      </c>
      <c r="J652" s="0" t="s">
        <v>445</v>
      </c>
      <c r="K652" s="0">
        <v>650</v>
      </c>
      <c r="L652" s="13">
        <v>3</v>
      </c>
      <c r="M652" s="0">
        <v>14</v>
      </c>
      <c r="N652" s="0">
        <v>4</v>
      </c>
      <c r="P652" s="0" t="s">
        <v>811</v>
      </c>
      <c r="T652" s="0" t="str">
        <f>_xlfn.TEXTJOIN("_",TRUE,C652,"node_eff",D652,M652,N652)</f>
        <v>s1_node_eff_relic_14_4</v>
      </c>
    </row>
    <row r="653" spans="1:20" x14ac:dyDescent="0.45">
      <c r="A653" s="0" t="str">
        <f>_xlfn.TEXTJOIN("_",TRUE,C653,"node",D653,M653,N653)</f>
        <v>s1_node_relic_14_6</v>
      </c>
      <c r="B653" s="0" t="s">
        <v>0</v>
      </c>
      <c r="C653" s="0" t="s">
        <v>26</v>
      </c>
      <c r="D653" s="0" t="s">
        <v>105</v>
      </c>
      <c r="E653" s="0" t="str">
        <f>"s1_node_"&amp;D653&amp;"_name"</f>
        <v>s1_node_relic_name</v>
      </c>
      <c r="F653" s="13" t="str">
        <f>"s1_node_"&amp;D653&amp;"_desc"</f>
        <v>s1_node_relic_desc</v>
      </c>
      <c r="G653" s="0" t="s">
        <v>788</v>
      </c>
      <c r="H653" s="0">
        <v>1</v>
      </c>
      <c r="I653" s="0" t="s">
        <v>27</v>
      </c>
      <c r="J653" s="0" t="s">
        <v>445</v>
      </c>
      <c r="K653" s="0">
        <v>650</v>
      </c>
      <c r="L653" s="13">
        <v>3</v>
      </c>
      <c r="M653" s="0">
        <v>14</v>
      </c>
      <c r="N653" s="0">
        <v>6</v>
      </c>
      <c r="T653" s="0" t="str">
        <f>_xlfn.TEXTJOIN("_",TRUE,C653,"node_eff",D653,M653,N653)</f>
        <v>s1_node_eff_relic_14_6</v>
      </c>
    </row>
    <row r="654" spans="1:20" x14ac:dyDescent="0.45">
      <c r="A654" s="0" t="str">
        <f>_xlfn.TEXTJOIN("_",TRUE,C654,"node",D654,M654,N654)</f>
        <v>s1_node_relic_15_2</v>
      </c>
      <c r="B654" s="0" t="s">
        <v>0</v>
      </c>
      <c r="C654" s="0" t="s">
        <v>26</v>
      </c>
      <c r="D654" s="0" t="s">
        <v>105</v>
      </c>
      <c r="E654" s="0" t="str">
        <f>"s1_node_"&amp;D654&amp;"_name"</f>
        <v>s1_node_relic_name</v>
      </c>
      <c r="F654" s="13" t="str">
        <f>"s1_node_"&amp;D654&amp;"_desc"</f>
        <v>s1_node_relic_desc</v>
      </c>
      <c r="G654" s="0" t="s">
        <v>149</v>
      </c>
      <c r="H654" s="0">
        <v>1</v>
      </c>
      <c r="I654" s="0" t="s">
        <v>27</v>
      </c>
      <c r="J654" s="0" t="s">
        <v>812</v>
      </c>
      <c r="K654" s="0">
        <v>690</v>
      </c>
      <c r="L654" s="13">
        <v>3</v>
      </c>
      <c r="M654" s="0">
        <v>15</v>
      </c>
      <c r="N654" s="0">
        <v>2</v>
      </c>
      <c r="P654" s="0" t="s">
        <v>813</v>
      </c>
      <c r="T654" s="0" t="str">
        <f>_xlfn.TEXTJOIN("_",TRUE,C654,"node_eff",D654,M654,N654)</f>
        <v>s1_node_eff_relic_15_2</v>
      </c>
    </row>
    <row r="655" spans="1:20" x14ac:dyDescent="0.45">
      <c r="A655" s="0" t="str">
        <f>_xlfn.TEXTJOIN("_",TRUE,C655,"node",D655,M655,N655)</f>
        <v>s1_node_relic_15_6</v>
      </c>
      <c r="B655" s="0" t="s">
        <v>0</v>
      </c>
      <c r="C655" s="0" t="s">
        <v>26</v>
      </c>
      <c r="D655" s="0" t="s">
        <v>105</v>
      </c>
      <c r="E655" s="0" t="str">
        <f>"s1_node_"&amp;D655&amp;"_name"</f>
        <v>s1_node_relic_name</v>
      </c>
      <c r="F655" s="13" t="str">
        <f>"s1_node_"&amp;D655&amp;"_desc"</f>
        <v>s1_node_relic_desc</v>
      </c>
      <c r="G655" s="0" t="s">
        <v>142</v>
      </c>
      <c r="H655" s="0">
        <v>1</v>
      </c>
      <c r="I655" s="0" t="s">
        <v>27</v>
      </c>
      <c r="J655" s="0" t="s">
        <v>812</v>
      </c>
      <c r="K655" s="0">
        <v>690</v>
      </c>
      <c r="L655" s="13">
        <v>3</v>
      </c>
      <c r="M655" s="0">
        <v>15</v>
      </c>
      <c r="N655" s="0">
        <v>6</v>
      </c>
      <c r="P655" s="0" t="s">
        <v>814</v>
      </c>
      <c r="T655" s="0" t="str">
        <f>_xlfn.TEXTJOIN("_",TRUE,C655,"node_eff",D655,M655,N655)</f>
        <v>s1_node_eff_relic_15_6</v>
      </c>
    </row>
    <row r="656" spans="1:20" x14ac:dyDescent="0.45">
      <c r="A656" s="0" t="str">
        <f>_xlfn.TEXTJOIN("_",TRUE,C656,"node",D656,M656,N656)</f>
        <v>s1_node_relic_16_4</v>
      </c>
      <c r="B656" s="0" t="s">
        <v>0</v>
      </c>
      <c r="C656" s="0" t="s">
        <v>26</v>
      </c>
      <c r="D656" s="0" t="s">
        <v>105</v>
      </c>
      <c r="E656" s="0" t="str">
        <f>"s1_node_"&amp;D656&amp;"_name"</f>
        <v>s1_node_relic_name</v>
      </c>
      <c r="F656" s="13" t="str">
        <f>"s1_node_"&amp;D656&amp;"_desc"</f>
        <v>s1_node_relic_desc</v>
      </c>
      <c r="G656" s="0" t="s">
        <v>419</v>
      </c>
      <c r="H656" s="0">
        <v>1</v>
      </c>
      <c r="I656" s="0" t="s">
        <v>27</v>
      </c>
      <c r="J656" s="0" t="s">
        <v>815</v>
      </c>
      <c r="K656" s="0">
        <v>730</v>
      </c>
      <c r="L656" s="13">
        <v>3</v>
      </c>
      <c r="M656" s="0">
        <v>16</v>
      </c>
      <c r="N656" s="0">
        <v>4</v>
      </c>
      <c r="P656" s="0" t="s">
        <v>816</v>
      </c>
      <c r="T656" s="0" t="str">
        <f>_xlfn.TEXTJOIN("_",TRUE,C656,"node_eff",D656,M656,N656)</f>
        <v>s1_node_eff_relic_16_4</v>
      </c>
    </row>
    <row r="657" spans="1:20" x14ac:dyDescent="0.45">
      <c r="A657" s="0" t="str">
        <f>_xlfn.TEXTJOIN("_",TRUE,C657,"node",D657,M657,N657)</f>
        <v>s1_node_relic_17_2</v>
      </c>
      <c r="B657" s="0" t="s">
        <v>0</v>
      </c>
      <c r="C657" s="0" t="s">
        <v>26</v>
      </c>
      <c r="D657" s="0" t="s">
        <v>105</v>
      </c>
      <c r="E657" s="0" t="str">
        <f>"s1_node_"&amp;D657&amp;"_name"</f>
        <v>s1_node_relic_name</v>
      </c>
      <c r="F657" s="13" t="str">
        <f>"s1_node_"&amp;D657&amp;"_desc"</f>
        <v>s1_node_relic_desc</v>
      </c>
      <c r="G657" s="0" t="s">
        <v>138</v>
      </c>
      <c r="H657" s="0">
        <v>1</v>
      </c>
      <c r="I657" s="0" t="s">
        <v>27</v>
      </c>
      <c r="J657" s="0" t="s">
        <v>817</v>
      </c>
      <c r="K657" s="0">
        <v>770</v>
      </c>
      <c r="L657" s="13">
        <v>3</v>
      </c>
      <c r="M657" s="0">
        <v>17</v>
      </c>
      <c r="N657" s="0">
        <v>2</v>
      </c>
      <c r="T657" s="0" t="str">
        <f>_xlfn.TEXTJOIN("_",TRUE,C657,"node_eff",D657,M657,N657)</f>
        <v>s1_node_eff_relic_17_2</v>
      </c>
    </row>
    <row r="658" spans="1:20" x14ac:dyDescent="0.45">
      <c r="A658" s="0" t="str">
        <f>_xlfn.TEXTJOIN("_",TRUE,C658,"node",D658,M658,N658)</f>
        <v>s1_node_relic_17_4</v>
      </c>
      <c r="B658" s="0" t="s">
        <v>0</v>
      </c>
      <c r="C658" s="0" t="s">
        <v>26</v>
      </c>
      <c r="D658" s="0" t="s">
        <v>105</v>
      </c>
      <c r="E658" s="0" t="str">
        <f>"s1_node_"&amp;D658&amp;"_name"</f>
        <v>s1_node_relic_name</v>
      </c>
      <c r="F658" s="13" t="str">
        <f>"s1_node_"&amp;D658&amp;"_desc"</f>
        <v>s1_node_relic_desc</v>
      </c>
      <c r="G658" s="0" t="s">
        <v>149</v>
      </c>
      <c r="H658" s="0">
        <v>1</v>
      </c>
      <c r="I658" s="0" t="s">
        <v>27</v>
      </c>
      <c r="J658" s="0" t="s">
        <v>817</v>
      </c>
      <c r="K658" s="0">
        <v>770</v>
      </c>
      <c r="L658" s="13">
        <v>3</v>
      </c>
      <c r="M658" s="0">
        <v>17</v>
      </c>
      <c r="N658" s="0">
        <v>4</v>
      </c>
      <c r="T658" s="0" t="str">
        <f>_xlfn.TEXTJOIN("_",TRUE,C658,"node_eff",D658,M658,N658)</f>
        <v>s1_node_eff_relic_17_4</v>
      </c>
    </row>
    <row r="659" spans="1:20" x14ac:dyDescent="0.45">
      <c r="A659" s="0" t="str">
        <f>_xlfn.TEXTJOIN("_",TRUE,C659,"node",D659,M659,N659)</f>
        <v>s1_node_relic_17_6</v>
      </c>
      <c r="B659" s="0" t="s">
        <v>0</v>
      </c>
      <c r="C659" s="0" t="s">
        <v>26</v>
      </c>
      <c r="D659" s="0" t="s">
        <v>105</v>
      </c>
      <c r="E659" s="0" t="str">
        <f>"s1_node_"&amp;D659&amp;"_name"</f>
        <v>s1_node_relic_name</v>
      </c>
      <c r="F659" s="13" t="str">
        <f>"s1_node_"&amp;D659&amp;"_desc"</f>
        <v>s1_node_relic_desc</v>
      </c>
      <c r="G659" s="0" t="s">
        <v>149</v>
      </c>
      <c r="H659" s="0">
        <v>1</v>
      </c>
      <c r="I659" s="0" t="s">
        <v>27</v>
      </c>
      <c r="J659" s="0" t="s">
        <v>817</v>
      </c>
      <c r="K659" s="0">
        <v>770</v>
      </c>
      <c r="L659" s="13">
        <v>3</v>
      </c>
      <c r="M659" s="0">
        <v>17</v>
      </c>
      <c r="N659" s="0">
        <v>6</v>
      </c>
      <c r="T659" s="0" t="str">
        <f>_xlfn.TEXTJOIN("_",TRUE,C659,"node_eff",D659,M659,N659)</f>
        <v>s1_node_eff_relic_17_6</v>
      </c>
    </row>
    <row r="660" spans="1:20" x14ac:dyDescent="0.45">
      <c r="A660" s="0" t="str">
        <f>_xlfn.TEXTJOIN("_",TRUE,C660,"node",D660,M660,N660)</f>
        <v>s1_node_relic_18_2</v>
      </c>
      <c r="B660" s="0" t="s">
        <v>0</v>
      </c>
      <c r="C660" s="0" t="s">
        <v>26</v>
      </c>
      <c r="D660" s="0" t="s">
        <v>105</v>
      </c>
      <c r="E660" s="0" t="str">
        <f>"s1_node_"&amp;D660&amp;"_name"</f>
        <v>s1_node_relic_name</v>
      </c>
      <c r="F660" s="13" t="str">
        <f>"s1_node_"&amp;D660&amp;"_desc"</f>
        <v>s1_node_relic_desc</v>
      </c>
      <c r="G660" s="0" t="s">
        <v>795</v>
      </c>
      <c r="H660" s="0">
        <v>1</v>
      </c>
      <c r="I660" s="0" t="s">
        <v>27</v>
      </c>
      <c r="J660" s="0" t="s">
        <v>198</v>
      </c>
      <c r="K660" s="0">
        <v>810</v>
      </c>
      <c r="L660" s="13">
        <v>3</v>
      </c>
      <c r="M660" s="0">
        <v>18</v>
      </c>
      <c r="N660" s="0">
        <v>2</v>
      </c>
      <c r="P660" s="0" t="s">
        <v>818</v>
      </c>
      <c r="T660" s="0" t="str">
        <f>_xlfn.TEXTJOIN("_",TRUE,C660,"node_eff",D660,M660,N660)</f>
        <v>s1_node_eff_relic_18_2</v>
      </c>
    </row>
    <row r="661" spans="1:20" x14ac:dyDescent="0.45">
      <c r="A661" s="0" t="str">
        <f>_xlfn.TEXTJOIN("_",TRUE,C661,"node",D661,M661,N661)</f>
        <v>s1_node_relic_18_6</v>
      </c>
      <c r="B661" s="0" t="s">
        <v>0</v>
      </c>
      <c r="C661" s="0" t="s">
        <v>26</v>
      </c>
      <c r="D661" s="0" t="s">
        <v>105</v>
      </c>
      <c r="E661" s="0" t="str">
        <f>"s1_node_"&amp;D661&amp;"_name"</f>
        <v>s1_node_relic_name</v>
      </c>
      <c r="F661" s="13" t="str">
        <f>"s1_node_"&amp;D661&amp;"_desc"</f>
        <v>s1_node_relic_desc</v>
      </c>
      <c r="G661" s="0" t="s">
        <v>138</v>
      </c>
      <c r="H661" s="0">
        <v>1</v>
      </c>
      <c r="I661" s="0" t="s">
        <v>27</v>
      </c>
      <c r="J661" s="0" t="s">
        <v>198</v>
      </c>
      <c r="K661" s="0">
        <v>810</v>
      </c>
      <c r="L661" s="13">
        <v>3</v>
      </c>
      <c r="M661" s="0">
        <v>18</v>
      </c>
      <c r="N661" s="0">
        <v>6</v>
      </c>
      <c r="P661" s="0" t="s">
        <v>819</v>
      </c>
      <c r="T661" s="0" t="str">
        <f>_xlfn.TEXTJOIN("_",TRUE,C661,"node_eff",D661,M661,N661)</f>
        <v>s1_node_eff_relic_18_6</v>
      </c>
    </row>
    <row r="662" spans="1:20" x14ac:dyDescent="0.45">
      <c r="A662" s="0" t="str">
        <f>_xlfn.TEXTJOIN("_",TRUE,C662,"node",D662,M662,N662)</f>
        <v>s1_node_relic_19_2</v>
      </c>
      <c r="B662" s="0" t="s">
        <v>0</v>
      </c>
      <c r="C662" s="0" t="s">
        <v>26</v>
      </c>
      <c r="D662" s="0" t="s">
        <v>105</v>
      </c>
      <c r="E662" s="0" t="str">
        <f>"s1_node_"&amp;D662&amp;"_name"</f>
        <v>s1_node_relic_name</v>
      </c>
      <c r="F662" s="13" t="str">
        <f>"s1_node_"&amp;D662&amp;"_desc"</f>
        <v>s1_node_relic_desc</v>
      </c>
      <c r="G662" s="0" t="s">
        <v>149</v>
      </c>
      <c r="H662" s="0">
        <v>1</v>
      </c>
      <c r="I662" s="0" t="s">
        <v>27</v>
      </c>
      <c r="J662" s="0" t="s">
        <v>200</v>
      </c>
      <c r="K662" s="0">
        <v>840</v>
      </c>
      <c r="L662" s="13">
        <v>3</v>
      </c>
      <c r="M662" s="0">
        <v>19</v>
      </c>
      <c r="N662" s="0">
        <v>2</v>
      </c>
      <c r="T662" s="0" t="str">
        <f>_xlfn.TEXTJOIN("_",TRUE,C662,"node_eff",D662,M662,N662)</f>
        <v>s1_node_eff_relic_19_2</v>
      </c>
    </row>
    <row r="663" spans="1:20" x14ac:dyDescent="0.45">
      <c r="A663" s="0" t="str">
        <f>_xlfn.TEXTJOIN("_",TRUE,C663,"node",D663,M663,N663)</f>
        <v>s1_node_relic_19_4</v>
      </c>
      <c r="B663" s="0" t="s">
        <v>0</v>
      </c>
      <c r="C663" s="0" t="s">
        <v>26</v>
      </c>
      <c r="D663" s="0" t="s">
        <v>105</v>
      </c>
      <c r="E663" s="0" t="str">
        <f>"s1_node_"&amp;D663&amp;"_name"</f>
        <v>s1_node_relic_name</v>
      </c>
      <c r="F663" s="13" t="str">
        <f>"s1_node_"&amp;D663&amp;"_desc"</f>
        <v>s1_node_relic_desc</v>
      </c>
      <c r="G663" s="0" t="s">
        <v>788</v>
      </c>
      <c r="H663" s="0">
        <v>1</v>
      </c>
      <c r="I663" s="0" t="s">
        <v>27</v>
      </c>
      <c r="J663" s="0" t="s">
        <v>200</v>
      </c>
      <c r="K663" s="0">
        <v>840</v>
      </c>
      <c r="L663" s="13">
        <v>3</v>
      </c>
      <c r="M663" s="0">
        <v>19</v>
      </c>
      <c r="N663" s="0">
        <v>4</v>
      </c>
      <c r="P663" s="0" t="s">
        <v>820</v>
      </c>
      <c r="T663" s="0" t="str">
        <f>_xlfn.TEXTJOIN("_",TRUE,C663,"node_eff",D663,M663,N663)</f>
        <v>s1_node_eff_relic_19_4</v>
      </c>
    </row>
    <row r="664" spans="1:20" x14ac:dyDescent="0.45">
      <c r="A664" s="0" t="str">
        <f>_xlfn.TEXTJOIN("_",TRUE,C664,"node",D664,M664,N664)</f>
        <v>s1_node_relic_19_6</v>
      </c>
      <c r="B664" s="0" t="s">
        <v>0</v>
      </c>
      <c r="C664" s="0" t="s">
        <v>26</v>
      </c>
      <c r="D664" s="0" t="s">
        <v>105</v>
      </c>
      <c r="E664" s="0" t="str">
        <f>"s1_node_"&amp;D664&amp;"_name"</f>
        <v>s1_node_relic_name</v>
      </c>
      <c r="F664" s="13" t="str">
        <f>"s1_node_"&amp;D664&amp;"_desc"</f>
        <v>s1_node_relic_desc</v>
      </c>
      <c r="G664" s="0" t="s">
        <v>149</v>
      </c>
      <c r="H664" s="0">
        <v>1</v>
      </c>
      <c r="I664" s="0" t="s">
        <v>27</v>
      </c>
      <c r="J664" s="0" t="s">
        <v>200</v>
      </c>
      <c r="K664" s="0">
        <v>840</v>
      </c>
      <c r="L664" s="13">
        <v>3</v>
      </c>
      <c r="M664" s="0">
        <v>19</v>
      </c>
      <c r="N664" s="0">
        <v>6</v>
      </c>
      <c r="T664" s="0" t="str">
        <f>_xlfn.TEXTJOIN("_",TRUE,C664,"node_eff",D664,M664,N664)</f>
        <v>s1_node_eff_relic_19_6</v>
      </c>
    </row>
    <row r="665" spans="1:20" x14ac:dyDescent="0.45">
      <c r="A665" s="0" t="str">
        <f>_xlfn.TEXTJOIN("_",TRUE,C665,"node",D665,M665,N665)</f>
        <v>s1_node_relic_20_2</v>
      </c>
      <c r="B665" s="0" t="s">
        <v>0</v>
      </c>
      <c r="C665" s="0" t="s">
        <v>26</v>
      </c>
      <c r="D665" s="0" t="s">
        <v>105</v>
      </c>
      <c r="E665" s="0" t="str">
        <f>"s1_node_"&amp;D665&amp;"_name"</f>
        <v>s1_node_relic_name</v>
      </c>
      <c r="F665" s="13" t="str">
        <f>"s1_node_"&amp;D665&amp;"_desc"</f>
        <v>s1_node_relic_desc</v>
      </c>
      <c r="G665" s="0" t="s">
        <v>142</v>
      </c>
      <c r="H665" s="0">
        <v>1</v>
      </c>
      <c r="I665" s="0" t="s">
        <v>27</v>
      </c>
      <c r="J665" s="0" t="s">
        <v>203</v>
      </c>
      <c r="K665" s="0">
        <v>880</v>
      </c>
      <c r="L665" s="13">
        <v>3</v>
      </c>
      <c r="M665" s="0">
        <v>20</v>
      </c>
      <c r="N665" s="0">
        <v>2</v>
      </c>
      <c r="P665" s="0" t="s">
        <v>821</v>
      </c>
      <c r="T665" s="0" t="str">
        <f>_xlfn.TEXTJOIN("_",TRUE,C665,"node_eff",D665,M665,N665)</f>
        <v>s1_node_eff_relic_20_2</v>
      </c>
    </row>
    <row r="666" spans="1:20" x14ac:dyDescent="0.45">
      <c r="A666" s="0" t="str">
        <f>_xlfn.TEXTJOIN("_",TRUE,C666,"node",D666,M666,N666)</f>
        <v>s1_node_relic_20_6</v>
      </c>
      <c r="B666" s="0" t="s">
        <v>0</v>
      </c>
      <c r="C666" s="0" t="s">
        <v>26</v>
      </c>
      <c r="D666" s="0" t="s">
        <v>105</v>
      </c>
      <c r="E666" s="0" t="str">
        <f>"s1_node_"&amp;D666&amp;"_name"</f>
        <v>s1_node_relic_name</v>
      </c>
      <c r="F666" s="13" t="str">
        <f>"s1_node_"&amp;D666&amp;"_desc"</f>
        <v>s1_node_relic_desc</v>
      </c>
      <c r="G666" s="0" t="s">
        <v>419</v>
      </c>
      <c r="H666" s="0">
        <v>1</v>
      </c>
      <c r="I666" s="0" t="s">
        <v>27</v>
      </c>
      <c r="J666" s="0" t="s">
        <v>203</v>
      </c>
      <c r="K666" s="0">
        <v>880</v>
      </c>
      <c r="L666" s="13">
        <v>3</v>
      </c>
      <c r="M666" s="0">
        <v>20</v>
      </c>
      <c r="N666" s="0">
        <v>6</v>
      </c>
      <c r="P666" s="0" t="s">
        <v>822</v>
      </c>
      <c r="T666" s="0" t="str">
        <f>_xlfn.TEXTJOIN("_",TRUE,C666,"node_eff",D666,M666,N666)</f>
        <v>s1_node_eff_relic_20_6</v>
      </c>
    </row>
    <row r="667" spans="1:20" x14ac:dyDescent="0.45">
      <c r="A667" s="0" t="str">
        <f>_xlfn.TEXTJOIN("_",TRUE,C667,"node",D667,M667,N667)</f>
        <v>s1_node_relic_21_4</v>
      </c>
      <c r="B667" s="0" t="s">
        <v>0</v>
      </c>
      <c r="C667" s="0" t="s">
        <v>26</v>
      </c>
      <c r="D667" s="0" t="s">
        <v>105</v>
      </c>
      <c r="E667" s="0" t="str">
        <f>"s1_node_"&amp;D667&amp;"_name"</f>
        <v>s1_node_relic_name</v>
      </c>
      <c r="F667" s="13" t="str">
        <f>"s1_node_"&amp;D667&amp;"_desc"</f>
        <v>s1_node_relic_desc</v>
      </c>
      <c r="G667" s="0" t="s">
        <v>138</v>
      </c>
      <c r="H667" s="0">
        <v>2</v>
      </c>
      <c r="I667" s="0" t="s">
        <v>27</v>
      </c>
      <c r="J667" s="0" t="s">
        <v>823</v>
      </c>
      <c r="K667" s="0">
        <v>920</v>
      </c>
      <c r="L667" s="13">
        <v>3</v>
      </c>
      <c r="M667" s="0">
        <v>21</v>
      </c>
      <c r="N667" s="0">
        <v>4</v>
      </c>
      <c r="P667" s="0" t="s">
        <v>824</v>
      </c>
      <c r="T667" s="0" t="str">
        <f>_xlfn.TEXTJOIN("_",TRUE,C667,"node_eff",D667,M667,N667)</f>
        <v>s1_node_eff_relic_21_4</v>
      </c>
    </row>
    <row r="668" spans="1:20" x14ac:dyDescent="0.45">
      <c r="A668" s="0" t="str">
        <f>_xlfn.TEXTJOIN("_",TRUE,C668,"node",D668,M668,N668)</f>
        <v>s1_node_relic_22_2</v>
      </c>
      <c r="B668" s="0" t="s">
        <v>0</v>
      </c>
      <c r="C668" s="0" t="s">
        <v>26</v>
      </c>
      <c r="D668" s="0" t="s">
        <v>105</v>
      </c>
      <c r="E668" s="0" t="str">
        <f>"s1_node_"&amp;D668&amp;"_name"</f>
        <v>s1_node_relic_name</v>
      </c>
      <c r="F668" s="13" t="str">
        <f>"s1_node_"&amp;D668&amp;"_desc"</f>
        <v>s1_node_relic_desc</v>
      </c>
      <c r="G668" s="0" t="s">
        <v>149</v>
      </c>
      <c r="H668" s="0">
        <v>2</v>
      </c>
      <c r="I668" s="0" t="s">
        <v>27</v>
      </c>
      <c r="J668" s="0" t="s">
        <v>652</v>
      </c>
      <c r="K668" s="0">
        <v>960</v>
      </c>
      <c r="L668" s="13">
        <v>3</v>
      </c>
      <c r="M668" s="0">
        <v>22</v>
      </c>
      <c r="N668" s="0">
        <v>2</v>
      </c>
      <c r="T668" s="0" t="str">
        <f>_xlfn.TEXTJOIN("_",TRUE,C668,"node_eff",D668,M668,N668)</f>
        <v>s1_node_eff_relic_22_2</v>
      </c>
    </row>
    <row r="669" spans="1:20" x14ac:dyDescent="0.45">
      <c r="A669" s="0" t="str">
        <f>_xlfn.TEXTJOIN("_",TRUE,C669,"node",D669,M669,N669)</f>
        <v>s1_node_relic_22_4</v>
      </c>
      <c r="B669" s="0" t="s">
        <v>0</v>
      </c>
      <c r="C669" s="0" t="s">
        <v>26</v>
      </c>
      <c r="D669" s="0" t="s">
        <v>105</v>
      </c>
      <c r="E669" s="0" t="str">
        <f>"s1_node_"&amp;D669&amp;"_name"</f>
        <v>s1_node_relic_name</v>
      </c>
      <c r="F669" s="13" t="str">
        <f>"s1_node_"&amp;D669&amp;"_desc"</f>
        <v>s1_node_relic_desc</v>
      </c>
      <c r="G669" s="0" t="s">
        <v>149</v>
      </c>
      <c r="H669" s="0">
        <v>2</v>
      </c>
      <c r="I669" s="0" t="s">
        <v>27</v>
      </c>
      <c r="J669" s="0" t="s">
        <v>652</v>
      </c>
      <c r="K669" s="0">
        <v>960</v>
      </c>
      <c r="L669" s="13">
        <v>3</v>
      </c>
      <c r="M669" s="0">
        <v>22</v>
      </c>
      <c r="N669" s="0">
        <v>4</v>
      </c>
      <c r="T669" s="0" t="str">
        <f>_xlfn.TEXTJOIN("_",TRUE,C669,"node_eff",D669,M669,N669)</f>
        <v>s1_node_eff_relic_22_4</v>
      </c>
    </row>
    <row r="670" spans="1:20" x14ac:dyDescent="0.45">
      <c r="A670" s="0" t="str">
        <f>_xlfn.TEXTJOIN("_",TRUE,C670,"node",D670,M670,N670)</f>
        <v>s1_node_relic_22_6</v>
      </c>
      <c r="B670" s="0" t="s">
        <v>0</v>
      </c>
      <c r="C670" s="0" t="s">
        <v>26</v>
      </c>
      <c r="D670" s="0" t="s">
        <v>105</v>
      </c>
      <c r="E670" s="0" t="str">
        <f>"s1_node_"&amp;D670&amp;"_name"</f>
        <v>s1_node_relic_name</v>
      </c>
      <c r="F670" s="13" t="str">
        <f>"s1_node_"&amp;D670&amp;"_desc"</f>
        <v>s1_node_relic_desc</v>
      </c>
      <c r="G670" s="0" t="s">
        <v>795</v>
      </c>
      <c r="H670" s="0">
        <v>2</v>
      </c>
      <c r="I670" s="0" t="s">
        <v>27</v>
      </c>
      <c r="J670" s="0" t="s">
        <v>652</v>
      </c>
      <c r="K670" s="0">
        <v>960</v>
      </c>
      <c r="L670" s="13">
        <v>3</v>
      </c>
      <c r="M670" s="0">
        <v>22</v>
      </c>
      <c r="N670" s="0">
        <v>6</v>
      </c>
      <c r="T670" s="0" t="str">
        <f>_xlfn.TEXTJOIN("_",TRUE,C670,"node_eff",D670,M670,N670)</f>
        <v>s1_node_eff_relic_22_6</v>
      </c>
    </row>
    <row r="671" spans="1:20" x14ac:dyDescent="0.45">
      <c r="A671" s="0" t="str">
        <f>_xlfn.TEXTJOIN("_",TRUE,C671,"node",D671,M671,N671)</f>
        <v>s1_node_relic_23_2</v>
      </c>
      <c r="B671" s="0" t="s">
        <v>0</v>
      </c>
      <c r="C671" s="0" t="s">
        <v>26</v>
      </c>
      <c r="D671" s="0" t="s">
        <v>105</v>
      </c>
      <c r="E671" s="0" t="str">
        <f>"s1_node_"&amp;D671&amp;"_name"</f>
        <v>s1_node_relic_name</v>
      </c>
      <c r="F671" s="13" t="str">
        <f>"s1_node_"&amp;D671&amp;"_desc"</f>
        <v>s1_node_relic_desc</v>
      </c>
      <c r="G671" s="0" t="s">
        <v>138</v>
      </c>
      <c r="H671" s="0">
        <v>2</v>
      </c>
      <c r="I671" s="0" t="s">
        <v>27</v>
      </c>
      <c r="J671" s="0" t="s">
        <v>467</v>
      </c>
      <c r="K671" s="0">
        <v>1000</v>
      </c>
      <c r="L671" s="13">
        <v>3</v>
      </c>
      <c r="M671" s="0">
        <v>23</v>
      </c>
      <c r="N671" s="0">
        <v>2</v>
      </c>
      <c r="P671" s="0" t="s">
        <v>825</v>
      </c>
      <c r="T671" s="0" t="str">
        <f>_xlfn.TEXTJOIN("_",TRUE,C671,"node_eff",D671,M671,N671)</f>
        <v>s1_node_eff_relic_23_2</v>
      </c>
    </row>
    <row r="672" spans="1:20" x14ac:dyDescent="0.45">
      <c r="A672" s="0" t="str">
        <f>_xlfn.TEXTJOIN("_",TRUE,C672,"node",D672,M672,N672)</f>
        <v>s1_node_relic_23_6</v>
      </c>
      <c r="B672" s="0" t="s">
        <v>0</v>
      </c>
      <c r="C672" s="0" t="s">
        <v>26</v>
      </c>
      <c r="D672" s="0" t="s">
        <v>105</v>
      </c>
      <c r="E672" s="0" t="str">
        <f>"s1_node_"&amp;D672&amp;"_name"</f>
        <v>s1_node_relic_name</v>
      </c>
      <c r="F672" s="13" t="str">
        <f>"s1_node_"&amp;D672&amp;"_desc"</f>
        <v>s1_node_relic_desc</v>
      </c>
      <c r="G672" s="0" t="s">
        <v>149</v>
      </c>
      <c r="H672" s="0">
        <v>2</v>
      </c>
      <c r="I672" s="0" t="s">
        <v>27</v>
      </c>
      <c r="J672" s="0" t="s">
        <v>467</v>
      </c>
      <c r="K672" s="0">
        <v>1000</v>
      </c>
      <c r="L672" s="13">
        <v>3</v>
      </c>
      <c r="M672" s="0">
        <v>23</v>
      </c>
      <c r="N672" s="0">
        <v>6</v>
      </c>
      <c r="P672" s="0" t="s">
        <v>826</v>
      </c>
      <c r="T672" s="0" t="str">
        <f>_xlfn.TEXTJOIN("_",TRUE,C672,"node_eff",D672,M672,N672)</f>
        <v>s1_node_eff_relic_23_6</v>
      </c>
    </row>
    <row r="673" spans="1:20" x14ac:dyDescent="0.45">
      <c r="A673" s="0" t="str">
        <f>_xlfn.TEXTJOIN("_",TRUE,C673,"node",D673,M673,N673)</f>
        <v>s1_node_relic_24_2</v>
      </c>
      <c r="B673" s="0" t="s">
        <v>0</v>
      </c>
      <c r="C673" s="0" t="s">
        <v>26</v>
      </c>
      <c r="D673" s="0" t="s">
        <v>105</v>
      </c>
      <c r="E673" s="0" t="str">
        <f>"s1_node_"&amp;D673&amp;"_name"</f>
        <v>s1_node_relic_name</v>
      </c>
      <c r="F673" s="13" t="str">
        <f>"s1_node_"&amp;D673&amp;"_desc"</f>
        <v>s1_node_relic_desc</v>
      </c>
      <c r="G673" s="0" t="s">
        <v>788</v>
      </c>
      <c r="H673" s="0">
        <v>2</v>
      </c>
      <c r="I673" s="0" t="s">
        <v>27</v>
      </c>
      <c r="J673" s="0" t="s">
        <v>827</v>
      </c>
      <c r="K673" s="0">
        <v>1030</v>
      </c>
      <c r="L673" s="13">
        <v>3</v>
      </c>
      <c r="M673" s="0">
        <v>24</v>
      </c>
      <c r="N673" s="0">
        <v>2</v>
      </c>
      <c r="T673" s="0" t="str">
        <f>_xlfn.TEXTJOIN("_",TRUE,C673,"node_eff",D673,M673,N673)</f>
        <v>s1_node_eff_relic_24_2</v>
      </c>
    </row>
    <row r="674" spans="1:20" x14ac:dyDescent="0.45">
      <c r="A674" s="0" t="str">
        <f>_xlfn.TEXTJOIN("_",TRUE,C674,"node",D674,M674,N674)</f>
        <v>s1_node_relic_24_4</v>
      </c>
      <c r="B674" s="0" t="s">
        <v>0</v>
      </c>
      <c r="C674" s="0" t="s">
        <v>26</v>
      </c>
      <c r="D674" s="0" t="s">
        <v>105</v>
      </c>
      <c r="E674" s="0" t="str">
        <f>"s1_node_"&amp;D674&amp;"_name"</f>
        <v>s1_node_relic_name</v>
      </c>
      <c r="F674" s="13" t="str">
        <f>"s1_node_"&amp;D674&amp;"_desc"</f>
        <v>s1_node_relic_desc</v>
      </c>
      <c r="G674" s="0" t="s">
        <v>149</v>
      </c>
      <c r="H674" s="0">
        <v>2</v>
      </c>
      <c r="I674" s="0" t="s">
        <v>27</v>
      </c>
      <c r="J674" s="0" t="s">
        <v>827</v>
      </c>
      <c r="K674" s="0">
        <v>1030</v>
      </c>
      <c r="L674" s="13">
        <v>3</v>
      </c>
      <c r="M674" s="0">
        <v>24</v>
      </c>
      <c r="N674" s="0">
        <v>4</v>
      </c>
      <c r="P674" s="0" t="s">
        <v>828</v>
      </c>
      <c r="T674" s="0" t="str">
        <f>_xlfn.TEXTJOIN("_",TRUE,C674,"node_eff",D674,M674,N674)</f>
        <v>s1_node_eff_relic_24_4</v>
      </c>
    </row>
    <row r="675" spans="1:20" x14ac:dyDescent="0.45">
      <c r="A675" s="0" t="str">
        <f>_xlfn.TEXTJOIN("_",TRUE,C675,"node",D675,M675,N675)</f>
        <v>s1_node_relic_24_6</v>
      </c>
      <c r="B675" s="0" t="s">
        <v>0</v>
      </c>
      <c r="C675" s="0" t="s">
        <v>26</v>
      </c>
      <c r="D675" s="0" t="s">
        <v>105</v>
      </c>
      <c r="E675" s="0" t="str">
        <f>"s1_node_"&amp;D675&amp;"_name"</f>
        <v>s1_node_relic_name</v>
      </c>
      <c r="F675" s="13" t="str">
        <f>"s1_node_"&amp;D675&amp;"_desc"</f>
        <v>s1_node_relic_desc</v>
      </c>
      <c r="G675" s="0" t="s">
        <v>142</v>
      </c>
      <c r="H675" s="0">
        <v>2</v>
      </c>
      <c r="I675" s="0" t="s">
        <v>27</v>
      </c>
      <c r="J675" s="0" t="s">
        <v>827</v>
      </c>
      <c r="K675" s="0">
        <v>1030</v>
      </c>
      <c r="L675" s="13">
        <v>3</v>
      </c>
      <c r="M675" s="0">
        <v>24</v>
      </c>
      <c r="N675" s="0">
        <v>6</v>
      </c>
      <c r="T675" s="0" t="str">
        <f>_xlfn.TEXTJOIN("_",TRUE,C675,"node_eff",D675,M675,N675)</f>
        <v>s1_node_eff_relic_24_6</v>
      </c>
    </row>
    <row r="676" spans="1:20" x14ac:dyDescent="0.45">
      <c r="A676" s="0" t="str">
        <f>_xlfn.TEXTJOIN("_",TRUE,C676,"node",D676,M676,N676)</f>
        <v>s1_node_relic_25_2</v>
      </c>
      <c r="B676" s="0" t="s">
        <v>0</v>
      </c>
      <c r="C676" s="0" t="s">
        <v>26</v>
      </c>
      <c r="D676" s="0" t="s">
        <v>105</v>
      </c>
      <c r="E676" s="0" t="str">
        <f>"s1_node_"&amp;D676&amp;"_name"</f>
        <v>s1_node_relic_name</v>
      </c>
      <c r="F676" s="13" t="str">
        <f>"s1_node_"&amp;D676&amp;"_desc"</f>
        <v>s1_node_relic_desc</v>
      </c>
      <c r="G676" s="0" t="s">
        <v>419</v>
      </c>
      <c r="H676" s="0">
        <v>2</v>
      </c>
      <c r="I676" s="0" t="s">
        <v>27</v>
      </c>
      <c r="J676" s="0" t="s">
        <v>829</v>
      </c>
      <c r="K676" s="0">
        <v>1070</v>
      </c>
      <c r="L676" s="13">
        <v>3</v>
      </c>
      <c r="M676" s="0">
        <v>25</v>
      </c>
      <c r="N676" s="0">
        <v>2</v>
      </c>
      <c r="P676" s="0" t="s">
        <v>830</v>
      </c>
      <c r="T676" s="0" t="str">
        <f>_xlfn.TEXTJOIN("_",TRUE,C676,"node_eff",D676,M676,N676)</f>
        <v>s1_node_eff_relic_25_2</v>
      </c>
    </row>
    <row r="677" spans="1:20" x14ac:dyDescent="0.45">
      <c r="A677" s="0" t="str">
        <f>_xlfn.TEXTJOIN("_",TRUE,C677,"node",D677,M677,N677)</f>
        <v>s1_node_relic_25_6</v>
      </c>
      <c r="B677" s="0" t="s">
        <v>0</v>
      </c>
      <c r="C677" s="0" t="s">
        <v>26</v>
      </c>
      <c r="D677" s="0" t="s">
        <v>105</v>
      </c>
      <c r="E677" s="0" t="str">
        <f>"s1_node_"&amp;D677&amp;"_name"</f>
        <v>s1_node_relic_name</v>
      </c>
      <c r="F677" s="13" t="str">
        <f>"s1_node_"&amp;D677&amp;"_desc"</f>
        <v>s1_node_relic_desc</v>
      </c>
      <c r="G677" s="0" t="s">
        <v>138</v>
      </c>
      <c r="H677" s="0">
        <v>2</v>
      </c>
      <c r="I677" s="0" t="s">
        <v>27</v>
      </c>
      <c r="J677" s="0" t="s">
        <v>829</v>
      </c>
      <c r="K677" s="0">
        <v>1070</v>
      </c>
      <c r="L677" s="13">
        <v>3</v>
      </c>
      <c r="M677" s="0">
        <v>25</v>
      </c>
      <c r="N677" s="0">
        <v>6</v>
      </c>
      <c r="P677" s="0" t="s">
        <v>831</v>
      </c>
      <c r="T677" s="0" t="str">
        <f>_xlfn.TEXTJOIN("_",TRUE,C677,"node_eff",D677,M677,N677)</f>
        <v>s1_node_eff_relic_25_6</v>
      </c>
    </row>
    <row r="678" spans="1:20" x14ac:dyDescent="0.45">
      <c r="A678" s="0" t="str">
        <f>_xlfn.TEXTJOIN("_",TRUE,C678,"node",D678,M678,N678)</f>
        <v>s1_node_relic_26_4</v>
      </c>
      <c r="B678" s="0" t="s">
        <v>0</v>
      </c>
      <c r="C678" s="0" t="s">
        <v>26</v>
      </c>
      <c r="D678" s="0" t="s">
        <v>105</v>
      </c>
      <c r="E678" s="0" t="str">
        <f>"s1_node_"&amp;D678&amp;"_name"</f>
        <v>s1_node_relic_name</v>
      </c>
      <c r="F678" s="13" t="str">
        <f>"s1_node_"&amp;D678&amp;"_desc"</f>
        <v>s1_node_relic_desc</v>
      </c>
      <c r="G678" s="0" t="s">
        <v>149</v>
      </c>
      <c r="H678" s="0">
        <v>2</v>
      </c>
      <c r="I678" s="0" t="s">
        <v>27</v>
      </c>
      <c r="J678" s="0" t="s">
        <v>473</v>
      </c>
      <c r="K678" s="0">
        <v>1110</v>
      </c>
      <c r="L678" s="13">
        <v>3</v>
      </c>
      <c r="M678" s="0">
        <v>26</v>
      </c>
      <c r="N678" s="0">
        <v>4</v>
      </c>
      <c r="P678" s="0" t="s">
        <v>832</v>
      </c>
      <c r="T678" s="0" t="str">
        <f>_xlfn.TEXTJOIN("_",TRUE,C678,"node_eff",D678,M678,N678)</f>
        <v>s1_node_eff_relic_26_4</v>
      </c>
    </row>
    <row r="679" spans="1:20" x14ac:dyDescent="0.45">
      <c r="A679" s="0" t="str">
        <f>_xlfn.TEXTJOIN("_",TRUE,C679,"node",D679,M679,N679)</f>
        <v>s1_node_relic_27_2</v>
      </c>
      <c r="B679" s="0" t="s">
        <v>0</v>
      </c>
      <c r="C679" s="0" t="s">
        <v>26</v>
      </c>
      <c r="D679" s="0" t="s">
        <v>105</v>
      </c>
      <c r="E679" s="0" t="str">
        <f>"s1_node_"&amp;D679&amp;"_name"</f>
        <v>s1_node_relic_name</v>
      </c>
      <c r="F679" s="13" t="str">
        <f>"s1_node_"&amp;D679&amp;"_desc"</f>
        <v>s1_node_relic_desc</v>
      </c>
      <c r="G679" s="0" t="s">
        <v>149</v>
      </c>
      <c r="H679" s="0">
        <v>2</v>
      </c>
      <c r="I679" s="0" t="s">
        <v>27</v>
      </c>
      <c r="J679" s="0" t="s">
        <v>475</v>
      </c>
      <c r="K679" s="0">
        <v>1150</v>
      </c>
      <c r="L679" s="13">
        <v>3</v>
      </c>
      <c r="M679" s="0">
        <v>27</v>
      </c>
      <c r="N679" s="0">
        <v>2</v>
      </c>
      <c r="T679" s="0" t="str">
        <f>_xlfn.TEXTJOIN("_",TRUE,C679,"node_eff",D679,M679,N679)</f>
        <v>s1_node_eff_relic_27_2</v>
      </c>
    </row>
    <row r="680" spans="1:20" x14ac:dyDescent="0.45">
      <c r="A680" s="0" t="str">
        <f>_xlfn.TEXTJOIN("_",TRUE,C680,"node",D680,M680,N680)</f>
        <v>s1_node_relic_27_4</v>
      </c>
      <c r="B680" s="0" t="s">
        <v>0</v>
      </c>
      <c r="C680" s="0" t="s">
        <v>26</v>
      </c>
      <c r="D680" s="0" t="s">
        <v>105</v>
      </c>
      <c r="E680" s="0" t="str">
        <f>"s1_node_"&amp;D680&amp;"_name"</f>
        <v>s1_node_relic_name</v>
      </c>
      <c r="F680" s="13" t="str">
        <f>"s1_node_"&amp;D680&amp;"_desc"</f>
        <v>s1_node_relic_desc</v>
      </c>
      <c r="G680" s="0" t="s">
        <v>795</v>
      </c>
      <c r="H680" s="0">
        <v>2</v>
      </c>
      <c r="I680" s="0" t="s">
        <v>27</v>
      </c>
      <c r="J680" s="0" t="s">
        <v>475</v>
      </c>
      <c r="K680" s="0">
        <v>1150</v>
      </c>
      <c r="L680" s="13">
        <v>3</v>
      </c>
      <c r="M680" s="0">
        <v>27</v>
      </c>
      <c r="N680" s="0">
        <v>4</v>
      </c>
      <c r="T680" s="0" t="str">
        <f>_xlfn.TEXTJOIN("_",TRUE,C680,"node_eff",D680,M680,N680)</f>
        <v>s1_node_eff_relic_27_4</v>
      </c>
    </row>
    <row r="681" spans="1:20" x14ac:dyDescent="0.45">
      <c r="A681" s="0" t="str">
        <f>_xlfn.TEXTJOIN("_",TRUE,C681,"node",D681,M681,N681)</f>
        <v>s1_node_relic_27_6</v>
      </c>
      <c r="B681" s="0" t="s">
        <v>0</v>
      </c>
      <c r="C681" s="0" t="s">
        <v>26</v>
      </c>
      <c r="D681" s="0" t="s">
        <v>105</v>
      </c>
      <c r="E681" s="0" t="str">
        <f>"s1_node_"&amp;D681&amp;"_name"</f>
        <v>s1_node_relic_name</v>
      </c>
      <c r="F681" s="13" t="str">
        <f>"s1_node_"&amp;D681&amp;"_desc"</f>
        <v>s1_node_relic_desc</v>
      </c>
      <c r="G681" s="0" t="s">
        <v>138</v>
      </c>
      <c r="H681" s="0">
        <v>2</v>
      </c>
      <c r="I681" s="0" t="s">
        <v>27</v>
      </c>
      <c r="J681" s="0" t="s">
        <v>475</v>
      </c>
      <c r="K681" s="0">
        <v>1150</v>
      </c>
      <c r="L681" s="13">
        <v>3</v>
      </c>
      <c r="M681" s="0">
        <v>27</v>
      </c>
      <c r="N681" s="0">
        <v>6</v>
      </c>
      <c r="T681" s="0" t="str">
        <f>_xlfn.TEXTJOIN("_",TRUE,C681,"node_eff",D681,M681,N681)</f>
        <v>s1_node_eff_relic_27_6</v>
      </c>
    </row>
    <row r="682" spans="1:20" x14ac:dyDescent="0.45">
      <c r="A682" s="0" t="str">
        <f>_xlfn.TEXTJOIN("_",TRUE,C682,"node",D682,M682,N682)</f>
        <v>s1_node_relic_28_2</v>
      </c>
      <c r="B682" s="0" t="s">
        <v>0</v>
      </c>
      <c r="C682" s="0" t="s">
        <v>26</v>
      </c>
      <c r="D682" s="0" t="s">
        <v>105</v>
      </c>
      <c r="E682" s="0" t="str">
        <f>"s1_node_"&amp;D682&amp;"_name"</f>
        <v>s1_node_relic_name</v>
      </c>
      <c r="F682" s="13" t="str">
        <f>"s1_node_"&amp;D682&amp;"_desc"</f>
        <v>s1_node_relic_desc</v>
      </c>
      <c r="G682" s="0" t="s">
        <v>149</v>
      </c>
      <c r="H682" s="0">
        <v>2</v>
      </c>
      <c r="I682" s="0" t="s">
        <v>27</v>
      </c>
      <c r="J682" s="0" t="s">
        <v>228</v>
      </c>
      <c r="K682" s="0">
        <v>1190</v>
      </c>
      <c r="L682" s="13">
        <v>3</v>
      </c>
      <c r="M682" s="0">
        <v>28</v>
      </c>
      <c r="N682" s="0">
        <v>2</v>
      </c>
      <c r="P682" s="0" t="s">
        <v>833</v>
      </c>
      <c r="T682" s="0" t="str">
        <f>_xlfn.TEXTJOIN("_",TRUE,C682,"node_eff",D682,M682,N682)</f>
        <v>s1_node_eff_relic_28_2</v>
      </c>
    </row>
    <row r="683" spans="1:20" x14ac:dyDescent="0.45">
      <c r="A683" s="0" t="str">
        <f>_xlfn.TEXTJOIN("_",TRUE,C683,"node",D683,M683,N683)</f>
        <v>s1_node_relic_28_6</v>
      </c>
      <c r="B683" s="0" t="s">
        <v>0</v>
      </c>
      <c r="C683" s="0" t="s">
        <v>26</v>
      </c>
      <c r="D683" s="0" t="s">
        <v>105</v>
      </c>
      <c r="E683" s="0" t="str">
        <f>"s1_node_"&amp;D683&amp;"_name"</f>
        <v>s1_node_relic_name</v>
      </c>
      <c r="F683" s="13" t="str">
        <f>"s1_node_"&amp;D683&amp;"_desc"</f>
        <v>s1_node_relic_desc</v>
      </c>
      <c r="G683" s="0" t="s">
        <v>788</v>
      </c>
      <c r="H683" s="0">
        <v>2</v>
      </c>
      <c r="I683" s="0" t="s">
        <v>27</v>
      </c>
      <c r="J683" s="0" t="s">
        <v>228</v>
      </c>
      <c r="K683" s="0">
        <v>1190</v>
      </c>
      <c r="L683" s="13">
        <v>3</v>
      </c>
      <c r="M683" s="0">
        <v>28</v>
      </c>
      <c r="N683" s="0">
        <v>6</v>
      </c>
      <c r="P683" s="0" t="s">
        <v>834</v>
      </c>
      <c r="T683" s="0" t="str">
        <f>_xlfn.TEXTJOIN("_",TRUE,C683,"node_eff",D683,M683,N683)</f>
        <v>s1_node_eff_relic_28_6</v>
      </c>
    </row>
    <row r="684" spans="1:20" x14ac:dyDescent="0.45">
      <c r="A684" s="0" t="str">
        <f>_xlfn.TEXTJOIN("_",TRUE,C684,"node",D684,M684,N684)</f>
        <v>s1_node_relic_29_2</v>
      </c>
      <c r="B684" s="0" t="s">
        <v>0</v>
      </c>
      <c r="C684" s="0" t="s">
        <v>26</v>
      </c>
      <c r="D684" s="0" t="s">
        <v>105</v>
      </c>
      <c r="E684" s="0" t="str">
        <f>"s1_node_"&amp;D684&amp;"_name"</f>
        <v>s1_node_relic_name</v>
      </c>
      <c r="F684" s="13" t="str">
        <f>"s1_node_"&amp;D684&amp;"_desc"</f>
        <v>s1_node_relic_desc</v>
      </c>
      <c r="G684" s="0" t="s">
        <v>149</v>
      </c>
      <c r="H684" s="0">
        <v>2</v>
      </c>
      <c r="I684" s="0" t="s">
        <v>27</v>
      </c>
      <c r="J684" s="0" t="s">
        <v>480</v>
      </c>
      <c r="K684" s="0">
        <v>1220</v>
      </c>
      <c r="L684" s="13">
        <v>3</v>
      </c>
      <c r="M684" s="0">
        <v>29</v>
      </c>
      <c r="N684" s="0">
        <v>2</v>
      </c>
      <c r="T684" s="0" t="str">
        <f>_xlfn.TEXTJOIN("_",TRUE,C684,"node_eff",D684,M684,N684)</f>
        <v>s1_node_eff_relic_29_2</v>
      </c>
    </row>
    <row r="685" spans="1:20" x14ac:dyDescent="0.45">
      <c r="A685" s="0" t="str">
        <f>_xlfn.TEXTJOIN("_",TRUE,C685,"node",D685,M685,N685)</f>
        <v>s1_node_relic_29_4</v>
      </c>
      <c r="B685" s="0" t="s">
        <v>0</v>
      </c>
      <c r="C685" s="0" t="s">
        <v>26</v>
      </c>
      <c r="D685" s="0" t="s">
        <v>105</v>
      </c>
      <c r="E685" s="0" t="str">
        <f>"s1_node_"&amp;D685&amp;"_name"</f>
        <v>s1_node_relic_name</v>
      </c>
      <c r="F685" s="13" t="str">
        <f>"s1_node_"&amp;D685&amp;"_desc"</f>
        <v>s1_node_relic_desc</v>
      </c>
      <c r="G685" s="0" t="s">
        <v>142</v>
      </c>
      <c r="H685" s="0">
        <v>2</v>
      </c>
      <c r="I685" s="0" t="s">
        <v>27</v>
      </c>
      <c r="J685" s="0" t="s">
        <v>480</v>
      </c>
      <c r="K685" s="0">
        <v>1220</v>
      </c>
      <c r="L685" s="13">
        <v>3</v>
      </c>
      <c r="M685" s="0">
        <v>29</v>
      </c>
      <c r="N685" s="0">
        <v>4</v>
      </c>
      <c r="P685" s="0" t="s">
        <v>835</v>
      </c>
      <c r="T685" s="0" t="str">
        <f>_xlfn.TEXTJOIN("_",TRUE,C685,"node_eff",D685,M685,N685)</f>
        <v>s1_node_eff_relic_29_4</v>
      </c>
    </row>
    <row r="686" spans="1:20" x14ac:dyDescent="0.45">
      <c r="A686" s="0" t="str">
        <f>_xlfn.TEXTJOIN("_",TRUE,C686,"node",D686,M686,N686)</f>
        <v>s1_node_relic_29_6</v>
      </c>
      <c r="B686" s="0" t="s">
        <v>0</v>
      </c>
      <c r="C686" s="0" t="s">
        <v>26</v>
      </c>
      <c r="D686" s="0" t="s">
        <v>105</v>
      </c>
      <c r="E686" s="0" t="str">
        <f>"s1_node_"&amp;D686&amp;"_name"</f>
        <v>s1_node_relic_name</v>
      </c>
      <c r="F686" s="13" t="str">
        <f>"s1_node_"&amp;D686&amp;"_desc"</f>
        <v>s1_node_relic_desc</v>
      </c>
      <c r="G686" s="0" t="s">
        <v>419</v>
      </c>
      <c r="H686" s="0">
        <v>2</v>
      </c>
      <c r="I686" s="0" t="s">
        <v>27</v>
      </c>
      <c r="J686" s="0" t="s">
        <v>480</v>
      </c>
      <c r="K686" s="0">
        <v>1220</v>
      </c>
      <c r="L686" s="13">
        <v>3</v>
      </c>
      <c r="M686" s="0">
        <v>29</v>
      </c>
      <c r="N686" s="0">
        <v>6</v>
      </c>
      <c r="T686" s="0" t="str">
        <f>_xlfn.TEXTJOIN("_",TRUE,C686,"node_eff",D686,M686,N686)</f>
        <v>s1_node_eff_relic_29_6</v>
      </c>
    </row>
    <row r="687" spans="1:20" x14ac:dyDescent="0.45">
      <c r="A687" s="0" t="str">
        <f>_xlfn.TEXTJOIN("_",TRUE,C687,"node",D687,M687,N687)</f>
        <v>s1_node_relic_30_2</v>
      </c>
      <c r="B687" s="0" t="s">
        <v>0</v>
      </c>
      <c r="C687" s="0" t="s">
        <v>26</v>
      </c>
      <c r="D687" s="0" t="s">
        <v>105</v>
      </c>
      <c r="E687" s="0" t="str">
        <f>"s1_node_"&amp;D687&amp;"_name"</f>
        <v>s1_node_relic_name</v>
      </c>
      <c r="F687" s="13" t="str">
        <f>"s1_node_"&amp;D687&amp;"_desc"</f>
        <v>s1_node_relic_desc</v>
      </c>
      <c r="G687" s="0" t="s">
        <v>138</v>
      </c>
      <c r="H687" s="0">
        <v>2</v>
      </c>
      <c r="I687" s="0" t="s">
        <v>27</v>
      </c>
      <c r="J687" s="0" t="s">
        <v>234</v>
      </c>
      <c r="K687" s="0">
        <v>1260</v>
      </c>
      <c r="L687" s="13">
        <v>3</v>
      </c>
      <c r="M687" s="0">
        <v>30</v>
      </c>
      <c r="N687" s="0">
        <v>2</v>
      </c>
      <c r="P687" s="0" t="s">
        <v>836</v>
      </c>
      <c r="T687" s="0" t="str">
        <f>_xlfn.TEXTJOIN("_",TRUE,C687,"node_eff",D687,M687,N687)</f>
        <v>s1_node_eff_relic_30_2</v>
      </c>
    </row>
    <row r="688" spans="1:20" x14ac:dyDescent="0.45">
      <c r="A688" s="0" t="str">
        <f>_xlfn.TEXTJOIN("_",TRUE,C688,"node",D688,M688,N688)</f>
        <v>s1_node_relic_30_6</v>
      </c>
      <c r="B688" s="0" t="s">
        <v>0</v>
      </c>
      <c r="C688" s="0" t="s">
        <v>26</v>
      </c>
      <c r="D688" s="0" t="s">
        <v>105</v>
      </c>
      <c r="E688" s="0" t="str">
        <f>"s1_node_"&amp;D688&amp;"_name"</f>
        <v>s1_node_relic_name</v>
      </c>
      <c r="F688" s="13" t="str">
        <f>"s1_node_"&amp;D688&amp;"_desc"</f>
        <v>s1_node_relic_desc</v>
      </c>
      <c r="G688" s="0" t="s">
        <v>149</v>
      </c>
      <c r="H688" s="0">
        <v>2</v>
      </c>
      <c r="I688" s="0" t="s">
        <v>27</v>
      </c>
      <c r="J688" s="0" t="s">
        <v>234</v>
      </c>
      <c r="K688" s="0">
        <v>1260</v>
      </c>
      <c r="L688" s="13">
        <v>3</v>
      </c>
      <c r="M688" s="0">
        <v>30</v>
      </c>
      <c r="N688" s="0">
        <v>6</v>
      </c>
      <c r="P688" s="0" t="s">
        <v>837</v>
      </c>
      <c r="T688" s="0" t="str">
        <f>_xlfn.TEXTJOIN("_",TRUE,C688,"node_eff",D688,M688,N688)</f>
        <v>s1_node_eff_relic_30_6</v>
      </c>
    </row>
    <row r="689" spans="1:20" x14ac:dyDescent="0.45">
      <c r="A689" s="0" t="str">
        <f>_xlfn.TEXTJOIN("_",TRUE,C689,"node",D689,M689,N689)</f>
        <v>s1_node_relic_31_4</v>
      </c>
      <c r="B689" s="0" t="s">
        <v>0</v>
      </c>
      <c r="C689" s="0" t="s">
        <v>26</v>
      </c>
      <c r="D689" s="0" t="s">
        <v>105</v>
      </c>
      <c r="E689" s="0" t="str">
        <f>"s1_node_"&amp;D689&amp;"_name"</f>
        <v>s1_node_relic_name</v>
      </c>
      <c r="F689" s="13" t="str">
        <f>"s1_node_"&amp;D689&amp;"_desc"</f>
        <v>s1_node_relic_desc</v>
      </c>
      <c r="G689" s="0" t="s">
        <v>149</v>
      </c>
      <c r="H689" s="0">
        <v>2</v>
      </c>
      <c r="I689" s="0" t="s">
        <v>27</v>
      </c>
      <c r="J689" s="0" t="s">
        <v>237</v>
      </c>
      <c r="K689" s="0">
        <v>1300</v>
      </c>
      <c r="L689" s="13">
        <v>3</v>
      </c>
      <c r="M689" s="0">
        <v>31</v>
      </c>
      <c r="N689" s="0">
        <v>4</v>
      </c>
      <c r="P689" s="0" t="s">
        <v>838</v>
      </c>
      <c r="T689" s="0" t="str">
        <f>_xlfn.TEXTJOIN("_",TRUE,C689,"node_eff",D689,M689,N689)</f>
        <v>s1_node_eff_relic_31_4</v>
      </c>
    </row>
    <row r="690" spans="1:20" x14ac:dyDescent="0.45">
      <c r="A690" s="0" t="str">
        <f>_xlfn.TEXTJOIN("_",TRUE,C690,"node",D690,M690,N690)</f>
        <v>s1_node_relic_32_2</v>
      </c>
      <c r="B690" s="0" t="s">
        <v>0</v>
      </c>
      <c r="C690" s="0" t="s">
        <v>26</v>
      </c>
      <c r="D690" s="0" t="s">
        <v>105</v>
      </c>
      <c r="E690" s="0" t="str">
        <f>"s1_node_"&amp;D690&amp;"_name"</f>
        <v>s1_node_relic_name</v>
      </c>
      <c r="F690" s="13" t="str">
        <f>"s1_node_"&amp;D690&amp;"_desc"</f>
        <v>s1_node_relic_desc</v>
      </c>
      <c r="G690" s="0" t="s">
        <v>795</v>
      </c>
      <c r="H690" s="0">
        <v>2</v>
      </c>
      <c r="I690" s="0" t="s">
        <v>27</v>
      </c>
      <c r="J690" s="0" t="s">
        <v>665</v>
      </c>
      <c r="K690" s="0">
        <v>1340</v>
      </c>
      <c r="L690" s="13">
        <v>3</v>
      </c>
      <c r="M690" s="0">
        <v>32</v>
      </c>
      <c r="N690" s="0">
        <v>2</v>
      </c>
      <c r="T690" s="0" t="str">
        <f>_xlfn.TEXTJOIN("_",TRUE,C690,"node_eff",D690,M690,N690)</f>
        <v>s1_node_eff_relic_32_2</v>
      </c>
    </row>
    <row r="691" spans="1:20" x14ac:dyDescent="0.45">
      <c r="A691" s="0" t="str">
        <f>_xlfn.TEXTJOIN("_",TRUE,C691,"node",D691,M691,N691)</f>
        <v>s1_node_relic_32_4</v>
      </c>
      <c r="B691" s="0" t="s">
        <v>0</v>
      </c>
      <c r="C691" s="0" t="s">
        <v>26</v>
      </c>
      <c r="D691" s="0" t="s">
        <v>105</v>
      </c>
      <c r="E691" s="0" t="str">
        <f>"s1_node_"&amp;D691&amp;"_name"</f>
        <v>s1_node_relic_name</v>
      </c>
      <c r="F691" s="13" t="str">
        <f>"s1_node_"&amp;D691&amp;"_desc"</f>
        <v>s1_node_relic_desc</v>
      </c>
      <c r="G691" s="0" t="s">
        <v>138</v>
      </c>
      <c r="H691" s="0">
        <v>2</v>
      </c>
      <c r="I691" s="0" t="s">
        <v>27</v>
      </c>
      <c r="J691" s="0" t="s">
        <v>665</v>
      </c>
      <c r="K691" s="0">
        <v>1340</v>
      </c>
      <c r="L691" s="13">
        <v>3</v>
      </c>
      <c r="M691" s="0">
        <v>32</v>
      </c>
      <c r="N691" s="0">
        <v>4</v>
      </c>
      <c r="T691" s="0" t="str">
        <f>_xlfn.TEXTJOIN("_",TRUE,C691,"node_eff",D691,M691,N691)</f>
        <v>s1_node_eff_relic_32_4</v>
      </c>
    </row>
    <row r="692" spans="1:20" x14ac:dyDescent="0.45">
      <c r="A692" s="0" t="str">
        <f>_xlfn.TEXTJOIN("_",TRUE,C692,"node",D692,M692,N692)</f>
        <v>s1_node_relic_32_6</v>
      </c>
      <c r="B692" s="0" t="s">
        <v>0</v>
      </c>
      <c r="C692" s="0" t="s">
        <v>26</v>
      </c>
      <c r="D692" s="0" t="s">
        <v>105</v>
      </c>
      <c r="E692" s="0" t="str">
        <f>"s1_node_"&amp;D692&amp;"_name"</f>
        <v>s1_node_relic_name</v>
      </c>
      <c r="F692" s="13" t="str">
        <f>"s1_node_"&amp;D692&amp;"_desc"</f>
        <v>s1_node_relic_desc</v>
      </c>
      <c r="G692" s="0" t="s">
        <v>149</v>
      </c>
      <c r="H692" s="0">
        <v>2</v>
      </c>
      <c r="I692" s="0" t="s">
        <v>27</v>
      </c>
      <c r="J692" s="0" t="s">
        <v>665</v>
      </c>
      <c r="K692" s="0">
        <v>1340</v>
      </c>
      <c r="L692" s="13">
        <v>3</v>
      </c>
      <c r="M692" s="0">
        <v>32</v>
      </c>
      <c r="N692" s="0">
        <v>6</v>
      </c>
      <c r="T692" s="0" t="str">
        <f>_xlfn.TEXTJOIN("_",TRUE,C692,"node_eff",D692,M692,N692)</f>
        <v>s1_node_eff_relic_32_6</v>
      </c>
    </row>
    <row r="693" spans="1:20" x14ac:dyDescent="0.45">
      <c r="A693" s="0" t="str">
        <f>_xlfn.TEXTJOIN("_",TRUE,C693,"node",D693,M693,N693)</f>
        <v>s1_node_relic_33_2</v>
      </c>
      <c r="B693" s="0" t="s">
        <v>0</v>
      </c>
      <c r="C693" s="0" t="s">
        <v>26</v>
      </c>
      <c r="D693" s="0" t="s">
        <v>105</v>
      </c>
      <c r="E693" s="0" t="str">
        <f>"s1_node_"&amp;D693&amp;"_name"</f>
        <v>s1_node_relic_name</v>
      </c>
      <c r="F693" s="13" t="str">
        <f>"s1_node_"&amp;D693&amp;"_desc"</f>
        <v>s1_node_relic_desc</v>
      </c>
      <c r="G693" s="0" t="s">
        <v>788</v>
      </c>
      <c r="H693" s="0">
        <v>2</v>
      </c>
      <c r="I693" s="0" t="s">
        <v>27</v>
      </c>
      <c r="J693" s="0" t="s">
        <v>668</v>
      </c>
      <c r="K693" s="0">
        <v>1380</v>
      </c>
      <c r="L693" s="13">
        <v>3</v>
      </c>
      <c r="M693" s="0">
        <v>33</v>
      </c>
      <c r="N693" s="0">
        <v>2</v>
      </c>
      <c r="P693" s="0" t="s">
        <v>839</v>
      </c>
      <c r="T693" s="0" t="str">
        <f>_xlfn.TEXTJOIN("_",TRUE,C693,"node_eff",D693,M693,N693)</f>
        <v>s1_node_eff_relic_33_2</v>
      </c>
    </row>
    <row r="694" spans="1:20" x14ac:dyDescent="0.45">
      <c r="A694" s="0" t="str">
        <f>_xlfn.TEXTJOIN("_",TRUE,C694,"node",D694,M694,N694)</f>
        <v>s1_node_relic_33_6</v>
      </c>
      <c r="B694" s="0" t="s">
        <v>0</v>
      </c>
      <c r="C694" s="0" t="s">
        <v>26</v>
      </c>
      <c r="D694" s="0" t="s">
        <v>105</v>
      </c>
      <c r="E694" s="0" t="str">
        <f>"s1_node_"&amp;D694&amp;"_name"</f>
        <v>s1_node_relic_name</v>
      </c>
      <c r="F694" s="13" t="str">
        <f>"s1_node_"&amp;D694&amp;"_desc"</f>
        <v>s1_node_relic_desc</v>
      </c>
      <c r="G694" s="0" t="s">
        <v>149</v>
      </c>
      <c r="H694" s="0">
        <v>2</v>
      </c>
      <c r="I694" s="0" t="s">
        <v>27</v>
      </c>
      <c r="J694" s="0" t="s">
        <v>668</v>
      </c>
      <c r="K694" s="0">
        <v>1380</v>
      </c>
      <c r="L694" s="13">
        <v>3</v>
      </c>
      <c r="M694" s="0">
        <v>33</v>
      </c>
      <c r="N694" s="0">
        <v>6</v>
      </c>
      <c r="P694" s="0" t="s">
        <v>840</v>
      </c>
      <c r="T694" s="0" t="str">
        <f>_xlfn.TEXTJOIN("_",TRUE,C694,"node_eff",D694,M694,N694)</f>
        <v>s1_node_eff_relic_33_6</v>
      </c>
    </row>
    <row r="695" spans="1:20" x14ac:dyDescent="0.45">
      <c r="A695" s="0" t="str">
        <f>_xlfn.TEXTJOIN("_",TRUE,C695,"node",D695,M695,N695)</f>
        <v>s1_node_relic_34_2</v>
      </c>
      <c r="B695" s="0" t="s">
        <v>0</v>
      </c>
      <c r="C695" s="0" t="s">
        <v>26</v>
      </c>
      <c r="D695" s="0" t="s">
        <v>105</v>
      </c>
      <c r="E695" s="0" t="str">
        <f>"s1_node_"&amp;D695&amp;"_name"</f>
        <v>s1_node_relic_name</v>
      </c>
      <c r="F695" s="13" t="str">
        <f>"s1_node_"&amp;D695&amp;"_desc"</f>
        <v>s1_node_relic_desc</v>
      </c>
      <c r="G695" s="0" t="s">
        <v>142</v>
      </c>
      <c r="H695" s="0">
        <v>2</v>
      </c>
      <c r="I695" s="0" t="s">
        <v>27</v>
      </c>
      <c r="J695" s="0" t="s">
        <v>670</v>
      </c>
      <c r="K695" s="0">
        <v>1410</v>
      </c>
      <c r="L695" s="13">
        <v>3</v>
      </c>
      <c r="M695" s="0">
        <v>34</v>
      </c>
      <c r="N695" s="0">
        <v>2</v>
      </c>
      <c r="T695" s="0" t="str">
        <f>_xlfn.TEXTJOIN("_",TRUE,C695,"node_eff",D695,M695,N695)</f>
        <v>s1_node_eff_relic_34_2</v>
      </c>
    </row>
    <row r="696" spans="1:20" x14ac:dyDescent="0.45">
      <c r="A696" s="0" t="str">
        <f>_xlfn.TEXTJOIN("_",TRUE,C696,"node",D696,M696,N696)</f>
        <v>s1_node_relic_34_4</v>
      </c>
      <c r="B696" s="0" t="s">
        <v>0</v>
      </c>
      <c r="C696" s="0" t="s">
        <v>26</v>
      </c>
      <c r="D696" s="0" t="s">
        <v>105</v>
      </c>
      <c r="E696" s="0" t="str">
        <f>"s1_node_"&amp;D696&amp;"_name"</f>
        <v>s1_node_relic_name</v>
      </c>
      <c r="F696" s="13" t="str">
        <f>"s1_node_"&amp;D696&amp;"_desc"</f>
        <v>s1_node_relic_desc</v>
      </c>
      <c r="G696" s="0" t="s">
        <v>419</v>
      </c>
      <c r="H696" s="0">
        <v>2</v>
      </c>
      <c r="I696" s="0" t="s">
        <v>27</v>
      </c>
      <c r="J696" s="0" t="s">
        <v>670</v>
      </c>
      <c r="K696" s="0">
        <v>1410</v>
      </c>
      <c r="L696" s="13">
        <v>3</v>
      </c>
      <c r="M696" s="0">
        <v>34</v>
      </c>
      <c r="N696" s="0">
        <v>4</v>
      </c>
      <c r="P696" s="0" t="s">
        <v>841</v>
      </c>
      <c r="T696" s="0" t="str">
        <f>_xlfn.TEXTJOIN("_",TRUE,C696,"node_eff",D696,M696,N696)</f>
        <v>s1_node_eff_relic_34_4</v>
      </c>
    </row>
    <row r="697" spans="1:20" x14ac:dyDescent="0.45">
      <c r="A697" s="0" t="str">
        <f>_xlfn.TEXTJOIN("_",TRUE,C697,"node",D697,M697,N697)</f>
        <v>s1_node_relic_34_6</v>
      </c>
      <c r="B697" s="0" t="s">
        <v>0</v>
      </c>
      <c r="C697" s="0" t="s">
        <v>26</v>
      </c>
      <c r="D697" s="0" t="s">
        <v>105</v>
      </c>
      <c r="E697" s="0" t="str">
        <f>"s1_node_"&amp;D697&amp;"_name"</f>
        <v>s1_node_relic_name</v>
      </c>
      <c r="F697" s="13" t="str">
        <f>"s1_node_"&amp;D697&amp;"_desc"</f>
        <v>s1_node_relic_desc</v>
      </c>
      <c r="G697" s="0" t="s">
        <v>138</v>
      </c>
      <c r="H697" s="0">
        <v>2</v>
      </c>
      <c r="I697" s="0" t="s">
        <v>27</v>
      </c>
      <c r="J697" s="0" t="s">
        <v>670</v>
      </c>
      <c r="K697" s="0">
        <v>1410</v>
      </c>
      <c r="L697" s="13">
        <v>3</v>
      </c>
      <c r="M697" s="0">
        <v>34</v>
      </c>
      <c r="N697" s="0">
        <v>6</v>
      </c>
      <c r="T697" s="0" t="str">
        <f>_xlfn.TEXTJOIN("_",TRUE,C697,"node_eff",D697,M697,N697)</f>
        <v>s1_node_eff_relic_34_6</v>
      </c>
    </row>
    <row r="698" spans="1:20" x14ac:dyDescent="0.45">
      <c r="A698" s="0" t="str">
        <f>_xlfn.TEXTJOIN("_",TRUE,C698,"node",D698,M698,N698)</f>
        <v>s1_node_relic_35_2</v>
      </c>
      <c r="B698" s="0" t="s">
        <v>0</v>
      </c>
      <c r="C698" s="0" t="s">
        <v>26</v>
      </c>
      <c r="D698" s="0" t="s">
        <v>105</v>
      </c>
      <c r="E698" s="0" t="str">
        <f>"s1_node_"&amp;D698&amp;"_name"</f>
        <v>s1_node_relic_name</v>
      </c>
      <c r="F698" s="13" t="str">
        <f>"s1_node_"&amp;D698&amp;"_desc"</f>
        <v>s1_node_relic_desc</v>
      </c>
      <c r="G698" s="0" t="s">
        <v>149</v>
      </c>
      <c r="H698" s="0">
        <v>2</v>
      </c>
      <c r="I698" s="0" t="s">
        <v>27</v>
      </c>
      <c r="J698" s="0" t="s">
        <v>673</v>
      </c>
      <c r="K698" s="0">
        <v>1450</v>
      </c>
      <c r="L698" s="13">
        <v>3</v>
      </c>
      <c r="M698" s="0">
        <v>35</v>
      </c>
      <c r="N698" s="0">
        <v>2</v>
      </c>
      <c r="P698" s="0" t="s">
        <v>842</v>
      </c>
      <c r="T698" s="0" t="str">
        <f>_xlfn.TEXTJOIN("_",TRUE,C698,"node_eff",D698,M698,N698)</f>
        <v>s1_node_eff_relic_35_2</v>
      </c>
    </row>
    <row r="699" spans="1:20" x14ac:dyDescent="0.45">
      <c r="A699" s="0" t="str">
        <f>_xlfn.TEXTJOIN("_",TRUE,C699,"node",D699,M699,N699)</f>
        <v>s1_node_relic_35_6</v>
      </c>
      <c r="B699" s="0" t="s">
        <v>0</v>
      </c>
      <c r="C699" s="0" t="s">
        <v>26</v>
      </c>
      <c r="D699" s="0" t="s">
        <v>105</v>
      </c>
      <c r="E699" s="0" t="str">
        <f>"s1_node_"&amp;D699&amp;"_name"</f>
        <v>s1_node_relic_name</v>
      </c>
      <c r="F699" s="13" t="str">
        <f>"s1_node_"&amp;D699&amp;"_desc"</f>
        <v>s1_node_relic_desc</v>
      </c>
      <c r="G699" s="0" t="s">
        <v>149</v>
      </c>
      <c r="H699" s="0">
        <v>2</v>
      </c>
      <c r="I699" s="0" t="s">
        <v>27</v>
      </c>
      <c r="J699" s="0" t="s">
        <v>673</v>
      </c>
      <c r="K699" s="0">
        <v>1450</v>
      </c>
      <c r="L699" s="13">
        <v>3</v>
      </c>
      <c r="M699" s="0">
        <v>35</v>
      </c>
      <c r="N699" s="0">
        <v>6</v>
      </c>
      <c r="P699" s="0" t="s">
        <v>843</v>
      </c>
      <c r="T699" s="0" t="str">
        <f>_xlfn.TEXTJOIN("_",TRUE,C699,"node_eff",D699,M699,N699)</f>
        <v>s1_node_eff_relic_35_6</v>
      </c>
    </row>
    <row r="700" spans="1:20" x14ac:dyDescent="0.45">
      <c r="A700" s="0" t="str">
        <f>_xlfn.TEXTJOIN("_",TRUE,C700,"node",D700,M700,N700)</f>
        <v>s1_node_relic_36_4</v>
      </c>
      <c r="B700" s="0" t="s">
        <v>0</v>
      </c>
      <c r="C700" s="0" t="s">
        <v>26</v>
      </c>
      <c r="D700" s="0" t="s">
        <v>105</v>
      </c>
      <c r="E700" s="0" t="str">
        <f>"s1_node_"&amp;D700&amp;"_name"</f>
        <v>s1_node_relic_name</v>
      </c>
      <c r="F700" s="13" t="str">
        <f>"s1_node_"&amp;D700&amp;"_desc"</f>
        <v>s1_node_relic_desc</v>
      </c>
      <c r="G700" s="0" t="s">
        <v>795</v>
      </c>
      <c r="H700" s="0">
        <v>2</v>
      </c>
      <c r="I700" s="0" t="s">
        <v>27</v>
      </c>
      <c r="J700" s="0" t="s">
        <v>675</v>
      </c>
      <c r="K700" s="0">
        <v>1490</v>
      </c>
      <c r="L700" s="13">
        <v>3</v>
      </c>
      <c r="M700" s="0">
        <v>36</v>
      </c>
      <c r="N700" s="0">
        <v>4</v>
      </c>
      <c r="P700" s="0" t="s">
        <v>844</v>
      </c>
      <c r="T700" s="0" t="str">
        <f>_xlfn.TEXTJOIN("_",TRUE,C700,"node_eff",D700,M700,N700)</f>
        <v>s1_node_eff_relic_36_4</v>
      </c>
    </row>
    <row r="701" spans="1:20" x14ac:dyDescent="0.45">
      <c r="A701" s="0" t="str">
        <f>_xlfn.TEXTJOIN("_",TRUE,C701,"node",D701,M701,N701)</f>
        <v>s1_node_relic_37_2</v>
      </c>
      <c r="B701" s="0" t="s">
        <v>0</v>
      </c>
      <c r="C701" s="0" t="s">
        <v>26</v>
      </c>
      <c r="D701" s="0" t="s">
        <v>105</v>
      </c>
      <c r="E701" s="0" t="str">
        <f>"s1_node_"&amp;D701&amp;"_name"</f>
        <v>s1_node_relic_name</v>
      </c>
      <c r="F701" s="13" t="str">
        <f>"s1_node_"&amp;D701&amp;"_desc"</f>
        <v>s1_node_relic_desc</v>
      </c>
      <c r="G701" s="0" t="s">
        <v>138</v>
      </c>
      <c r="H701" s="0">
        <v>2</v>
      </c>
      <c r="I701" s="0" t="s">
        <v>27</v>
      </c>
      <c r="J701" s="0" t="s">
        <v>676</v>
      </c>
      <c r="K701" s="0">
        <v>1530</v>
      </c>
      <c r="L701" s="13">
        <v>3</v>
      </c>
      <c r="M701" s="0">
        <v>37</v>
      </c>
      <c r="N701" s="0">
        <v>2</v>
      </c>
      <c r="T701" s="0" t="str">
        <f>_xlfn.TEXTJOIN("_",TRUE,C701,"node_eff",D701,M701,N701)</f>
        <v>s1_node_eff_relic_37_2</v>
      </c>
    </row>
    <row r="702" spans="1:20" x14ac:dyDescent="0.45">
      <c r="A702" s="0" t="str">
        <f>_xlfn.TEXTJOIN("_",TRUE,C702,"node",D702,M702,N702)</f>
        <v>s1_node_relic_37_4</v>
      </c>
      <c r="B702" s="0" t="s">
        <v>0</v>
      </c>
      <c r="C702" s="0" t="s">
        <v>26</v>
      </c>
      <c r="D702" s="0" t="s">
        <v>105</v>
      </c>
      <c r="E702" s="0" t="str">
        <f>"s1_node_"&amp;D702&amp;"_name"</f>
        <v>s1_node_relic_name</v>
      </c>
      <c r="F702" s="13" t="str">
        <f>"s1_node_"&amp;D702&amp;"_desc"</f>
        <v>s1_node_relic_desc</v>
      </c>
      <c r="G702" s="0" t="s">
        <v>149</v>
      </c>
      <c r="H702" s="0">
        <v>2</v>
      </c>
      <c r="I702" s="0" t="s">
        <v>27</v>
      </c>
      <c r="J702" s="0" t="s">
        <v>676</v>
      </c>
      <c r="K702" s="0">
        <v>1530</v>
      </c>
      <c r="L702" s="13">
        <v>3</v>
      </c>
      <c r="M702" s="0">
        <v>37</v>
      </c>
      <c r="N702" s="0">
        <v>4</v>
      </c>
      <c r="T702" s="0" t="str">
        <f>_xlfn.TEXTJOIN("_",TRUE,C702,"node_eff",D702,M702,N702)</f>
        <v>s1_node_eff_relic_37_4</v>
      </c>
    </row>
    <row r="703" spans="1:20" x14ac:dyDescent="0.45">
      <c r="A703" s="0" t="str">
        <f>_xlfn.TEXTJOIN("_",TRUE,C703,"node",D703,M703,N703)</f>
        <v>s1_node_relic_37_6</v>
      </c>
      <c r="B703" s="0" t="s">
        <v>0</v>
      </c>
      <c r="C703" s="0" t="s">
        <v>26</v>
      </c>
      <c r="D703" s="0" t="s">
        <v>105</v>
      </c>
      <c r="E703" s="0" t="str">
        <f>"s1_node_"&amp;D703&amp;"_name"</f>
        <v>s1_node_relic_name</v>
      </c>
      <c r="F703" s="13" t="str">
        <f>"s1_node_"&amp;D703&amp;"_desc"</f>
        <v>s1_node_relic_desc</v>
      </c>
      <c r="G703" s="0" t="s">
        <v>788</v>
      </c>
      <c r="H703" s="0">
        <v>2</v>
      </c>
      <c r="I703" s="0" t="s">
        <v>27</v>
      </c>
      <c r="J703" s="0" t="s">
        <v>676</v>
      </c>
      <c r="K703" s="0">
        <v>1530</v>
      </c>
      <c r="L703" s="13">
        <v>3</v>
      </c>
      <c r="M703" s="0">
        <v>37</v>
      </c>
      <c r="N703" s="0">
        <v>6</v>
      </c>
      <c r="T703" s="0" t="str">
        <f>_xlfn.TEXTJOIN("_",TRUE,C703,"node_eff",D703,M703,N703)</f>
        <v>s1_node_eff_relic_37_6</v>
      </c>
    </row>
    <row r="704" spans="1:20" x14ac:dyDescent="0.45">
      <c r="A704" s="0" t="str">
        <f>_xlfn.TEXTJOIN("_",TRUE,C704,"node",D704,M704,N704)</f>
        <v>s1_node_relic_38_2</v>
      </c>
      <c r="B704" s="0" t="s">
        <v>0</v>
      </c>
      <c r="C704" s="0" t="s">
        <v>26</v>
      </c>
      <c r="D704" s="0" t="s">
        <v>105</v>
      </c>
      <c r="E704" s="0" t="str">
        <f>"s1_node_"&amp;D704&amp;"_name"</f>
        <v>s1_node_relic_name</v>
      </c>
      <c r="F704" s="13" t="str">
        <f>"s1_node_"&amp;D704&amp;"_desc"</f>
        <v>s1_node_relic_desc</v>
      </c>
      <c r="G704" s="0" t="s">
        <v>149</v>
      </c>
      <c r="H704" s="0">
        <v>2</v>
      </c>
      <c r="I704" s="0" t="s">
        <v>27</v>
      </c>
      <c r="J704" s="0" t="s">
        <v>259</v>
      </c>
      <c r="K704" s="0">
        <v>1570</v>
      </c>
      <c r="L704" s="13">
        <v>3</v>
      </c>
      <c r="M704" s="0">
        <v>38</v>
      </c>
      <c r="N704" s="0">
        <v>2</v>
      </c>
      <c r="P704" s="0" t="s">
        <v>845</v>
      </c>
      <c r="T704" s="0" t="str">
        <f>_xlfn.TEXTJOIN("_",TRUE,C704,"node_eff",D704,M704,N704)</f>
        <v>s1_node_eff_relic_38_2</v>
      </c>
    </row>
    <row r="705" spans="1:20" x14ac:dyDescent="0.45">
      <c r="A705" s="0" t="str">
        <f>_xlfn.TEXTJOIN("_",TRUE,C705,"node",D705,M705,N705)</f>
        <v>s1_node_relic_38_6</v>
      </c>
      <c r="B705" s="0" t="s">
        <v>0</v>
      </c>
      <c r="C705" s="0" t="s">
        <v>26</v>
      </c>
      <c r="D705" s="0" t="s">
        <v>105</v>
      </c>
      <c r="E705" s="0" t="str">
        <f>"s1_node_"&amp;D705&amp;"_name"</f>
        <v>s1_node_relic_name</v>
      </c>
      <c r="F705" s="13" t="str">
        <f>"s1_node_"&amp;D705&amp;"_desc"</f>
        <v>s1_node_relic_desc</v>
      </c>
      <c r="G705" s="0" t="s">
        <v>142</v>
      </c>
      <c r="H705" s="0">
        <v>2</v>
      </c>
      <c r="I705" s="0" t="s">
        <v>27</v>
      </c>
      <c r="J705" s="0" t="s">
        <v>259</v>
      </c>
      <c r="K705" s="0">
        <v>1570</v>
      </c>
      <c r="L705" s="13">
        <v>3</v>
      </c>
      <c r="M705" s="0">
        <v>38</v>
      </c>
      <c r="N705" s="0">
        <v>6</v>
      </c>
      <c r="P705" s="0" t="s">
        <v>846</v>
      </c>
      <c r="T705" s="0" t="str">
        <f>_xlfn.TEXTJOIN("_",TRUE,C705,"node_eff",D705,M705,N705)</f>
        <v>s1_node_eff_relic_38_6</v>
      </c>
    </row>
    <row r="706" spans="1:20" x14ac:dyDescent="0.45">
      <c r="A706" s="0" t="str">
        <f>_xlfn.TEXTJOIN("_",TRUE,C706,"node",D706,M706,N706)</f>
        <v>s1_node_relic_39_2</v>
      </c>
      <c r="B706" s="0" t="s">
        <v>0</v>
      </c>
      <c r="C706" s="0" t="s">
        <v>26</v>
      </c>
      <c r="D706" s="0" t="s">
        <v>105</v>
      </c>
      <c r="E706" s="0" t="str">
        <f>"s1_node_"&amp;D706&amp;"_name"</f>
        <v>s1_node_relic_name</v>
      </c>
      <c r="F706" s="13" t="str">
        <f>"s1_node_"&amp;D706&amp;"_desc"</f>
        <v>s1_node_relic_desc</v>
      </c>
      <c r="G706" s="0" t="s">
        <v>419</v>
      </c>
      <c r="H706" s="0">
        <v>2</v>
      </c>
      <c r="I706" s="0" t="s">
        <v>27</v>
      </c>
      <c r="J706" s="0" t="s">
        <v>681</v>
      </c>
      <c r="K706" s="0">
        <v>1600</v>
      </c>
      <c r="L706" s="13">
        <v>3</v>
      </c>
      <c r="M706" s="0">
        <v>39</v>
      </c>
      <c r="N706" s="0">
        <v>2</v>
      </c>
      <c r="T706" s="0" t="str">
        <f>_xlfn.TEXTJOIN("_",TRUE,C706,"node_eff",D706,M706,N706)</f>
        <v>s1_node_eff_relic_39_2</v>
      </c>
    </row>
    <row r="707" spans="1:20" x14ac:dyDescent="0.45">
      <c r="A707" s="0" t="str">
        <f>_xlfn.TEXTJOIN("_",TRUE,C707,"node",D707,M707,N707)</f>
        <v>s1_node_relic_39_4</v>
      </c>
      <c r="B707" s="0" t="s">
        <v>0</v>
      </c>
      <c r="C707" s="0" t="s">
        <v>26</v>
      </c>
      <c r="D707" s="0" t="s">
        <v>105</v>
      </c>
      <c r="E707" s="0" t="str">
        <f>"s1_node_"&amp;D707&amp;"_name"</f>
        <v>s1_node_relic_name</v>
      </c>
      <c r="F707" s="13" t="str">
        <f>"s1_node_"&amp;D707&amp;"_desc"</f>
        <v>s1_node_relic_desc</v>
      </c>
      <c r="G707" s="0" t="s">
        <v>138</v>
      </c>
      <c r="H707" s="0">
        <v>2</v>
      </c>
      <c r="I707" s="0" t="s">
        <v>27</v>
      </c>
      <c r="J707" s="0" t="s">
        <v>681</v>
      </c>
      <c r="K707" s="0">
        <v>1600</v>
      </c>
      <c r="L707" s="13">
        <v>3</v>
      </c>
      <c r="M707" s="0">
        <v>39</v>
      </c>
      <c r="N707" s="0">
        <v>4</v>
      </c>
      <c r="P707" s="0" t="s">
        <v>847</v>
      </c>
      <c r="T707" s="0" t="str">
        <f>_xlfn.TEXTJOIN("_",TRUE,C707,"node_eff",D707,M707,N707)</f>
        <v>s1_node_eff_relic_39_4</v>
      </c>
    </row>
    <row r="708" spans="1:20" x14ac:dyDescent="0.45">
      <c r="A708" s="0" t="str">
        <f>_xlfn.TEXTJOIN("_",TRUE,C708,"node",D708,M708,N708)</f>
        <v>s1_node_relic_39_6</v>
      </c>
      <c r="B708" s="0" t="s">
        <v>0</v>
      </c>
      <c r="C708" s="0" t="s">
        <v>26</v>
      </c>
      <c r="D708" s="0" t="s">
        <v>105</v>
      </c>
      <c r="E708" s="0" t="str">
        <f>"s1_node_"&amp;D708&amp;"_name"</f>
        <v>s1_node_relic_name</v>
      </c>
      <c r="F708" s="13" t="str">
        <f>"s1_node_"&amp;D708&amp;"_desc"</f>
        <v>s1_node_relic_desc</v>
      </c>
      <c r="G708" s="0" t="s">
        <v>149</v>
      </c>
      <c r="H708" s="0">
        <v>2</v>
      </c>
      <c r="I708" s="0" t="s">
        <v>27</v>
      </c>
      <c r="J708" s="0" t="s">
        <v>681</v>
      </c>
      <c r="K708" s="0">
        <v>1600</v>
      </c>
      <c r="L708" s="13">
        <v>3</v>
      </c>
      <c r="M708" s="0">
        <v>39</v>
      </c>
      <c r="N708" s="0">
        <v>6</v>
      </c>
      <c r="T708" s="0" t="str">
        <f>_xlfn.TEXTJOIN("_",TRUE,C708,"node_eff",D708,M708,N708)</f>
        <v>s1_node_eff_relic_39_6</v>
      </c>
    </row>
    <row r="709" spans="1:20" x14ac:dyDescent="0.45">
      <c r="A709" s="0" t="str">
        <f>_xlfn.TEXTJOIN("_",TRUE,C709,"node",D709,M709,N709)</f>
        <v>s1_node_relic_40_2</v>
      </c>
      <c r="B709" s="0" t="s">
        <v>0</v>
      </c>
      <c r="C709" s="0" t="s">
        <v>26</v>
      </c>
      <c r="D709" s="0" t="s">
        <v>105</v>
      </c>
      <c r="E709" s="0" t="str">
        <f>"s1_node_"&amp;D709&amp;"_name"</f>
        <v>s1_node_relic_name</v>
      </c>
      <c r="F709" s="13" t="str">
        <f>"s1_node_"&amp;D709&amp;"_desc"</f>
        <v>s1_node_relic_desc</v>
      </c>
      <c r="G709" s="0" t="s">
        <v>149</v>
      </c>
      <c r="H709" s="0">
        <v>2</v>
      </c>
      <c r="I709" s="0" t="s">
        <v>27</v>
      </c>
      <c r="J709" s="0" t="s">
        <v>265</v>
      </c>
      <c r="K709" s="0">
        <v>1640</v>
      </c>
      <c r="L709" s="13">
        <v>3</v>
      </c>
      <c r="M709" s="0">
        <v>40</v>
      </c>
      <c r="N709" s="0">
        <v>2</v>
      </c>
      <c r="P709" s="0" t="s">
        <v>848</v>
      </c>
      <c r="T709" s="0" t="str">
        <f>_xlfn.TEXTJOIN("_",TRUE,C709,"node_eff",D709,M709,N709)</f>
        <v>s1_node_eff_relic_40_2</v>
      </c>
    </row>
    <row r="710" spans="1:20" x14ac:dyDescent="0.45">
      <c r="A710" s="0" t="str">
        <f>_xlfn.TEXTJOIN("_",TRUE,C710,"node",D710,M710,N710)</f>
        <v>s1_node_relic_40_6</v>
      </c>
      <c r="B710" s="0" t="s">
        <v>0</v>
      </c>
      <c r="C710" s="0" t="s">
        <v>26</v>
      </c>
      <c r="D710" s="0" t="s">
        <v>105</v>
      </c>
      <c r="E710" s="0" t="str">
        <f>"s1_node_"&amp;D710&amp;"_name"</f>
        <v>s1_node_relic_name</v>
      </c>
      <c r="F710" s="13" t="str">
        <f>"s1_node_"&amp;D710&amp;"_desc"</f>
        <v>s1_node_relic_desc</v>
      </c>
      <c r="G710" s="0" t="s">
        <v>795</v>
      </c>
      <c r="H710" s="0">
        <v>2</v>
      </c>
      <c r="I710" s="0" t="s">
        <v>27</v>
      </c>
      <c r="J710" s="0" t="s">
        <v>265</v>
      </c>
      <c r="K710" s="0">
        <v>1640</v>
      </c>
      <c r="L710" s="13">
        <v>3</v>
      </c>
      <c r="M710" s="0">
        <v>40</v>
      </c>
      <c r="N710" s="0">
        <v>6</v>
      </c>
      <c r="P710" s="0" t="s">
        <v>849</v>
      </c>
      <c r="T710" s="0" t="str">
        <f>_xlfn.TEXTJOIN("_",TRUE,C710,"node_eff",D710,M710,N710)</f>
        <v>s1_node_eff_relic_40_6</v>
      </c>
    </row>
    <row r="711" spans="1:20" x14ac:dyDescent="0.45">
      <c r="A711" s="0" t="str">
        <f>_xlfn.TEXTJOIN("_",TRUE,C711,"node",D711,M711,N711)</f>
        <v>s1_node_relic_41_4</v>
      </c>
      <c r="B711" s="0" t="s">
        <v>0</v>
      </c>
      <c r="C711" s="0" t="s">
        <v>26</v>
      </c>
      <c r="D711" s="0" t="s">
        <v>105</v>
      </c>
      <c r="E711" s="0" t="str">
        <f>"s1_node_"&amp;D711&amp;"_name"</f>
        <v>s1_node_relic_name</v>
      </c>
      <c r="F711" s="13" t="str">
        <f>"s1_node_"&amp;D711&amp;"_desc"</f>
        <v>s1_node_relic_desc</v>
      </c>
      <c r="G711" s="0" t="s">
        <v>138</v>
      </c>
      <c r="H711" s="0">
        <v>3</v>
      </c>
      <c r="I711" s="0" t="s">
        <v>27</v>
      </c>
      <c r="J711" s="0" t="s">
        <v>268</v>
      </c>
      <c r="K711" s="0">
        <v>1680</v>
      </c>
      <c r="L711" s="13">
        <v>3</v>
      </c>
      <c r="M711" s="0">
        <v>41</v>
      </c>
      <c r="N711" s="0">
        <v>4</v>
      </c>
      <c r="P711" s="0" t="s">
        <v>850</v>
      </c>
      <c r="T711" s="0" t="str">
        <f>_xlfn.TEXTJOIN("_",TRUE,C711,"node_eff",D711,M711,N711)</f>
        <v>s1_node_eff_relic_41_4</v>
      </c>
    </row>
    <row r="712" spans="1:20" x14ac:dyDescent="0.45">
      <c r="A712" s="0" t="str">
        <f>_xlfn.TEXTJOIN("_",TRUE,C712,"node",D712,M712,N712)</f>
        <v>s1_node_relic_42_2</v>
      </c>
      <c r="B712" s="0" t="s">
        <v>0</v>
      </c>
      <c r="C712" s="0" t="s">
        <v>26</v>
      </c>
      <c r="D712" s="0" t="s">
        <v>105</v>
      </c>
      <c r="E712" s="0" t="str">
        <f>"s1_node_"&amp;D712&amp;"_name"</f>
        <v>s1_node_relic_name</v>
      </c>
      <c r="F712" s="13" t="str">
        <f>"s1_node_"&amp;D712&amp;"_desc"</f>
        <v>s1_node_relic_desc</v>
      </c>
      <c r="G712" s="0" t="s">
        <v>149</v>
      </c>
      <c r="H712" s="0">
        <v>3</v>
      </c>
      <c r="I712" s="0" t="s">
        <v>27</v>
      </c>
      <c r="J712" s="0" t="s">
        <v>504</v>
      </c>
      <c r="K712" s="0">
        <v>1720</v>
      </c>
      <c r="L712" s="13">
        <v>3</v>
      </c>
      <c r="M712" s="0">
        <v>42</v>
      </c>
      <c r="N712" s="0">
        <v>2</v>
      </c>
      <c r="T712" s="0" t="str">
        <f>_xlfn.TEXTJOIN("_",TRUE,C712,"node_eff",D712,M712,N712)</f>
        <v>s1_node_eff_relic_42_2</v>
      </c>
    </row>
    <row r="713" spans="1:20" x14ac:dyDescent="0.45">
      <c r="A713" s="0" t="str">
        <f>_xlfn.TEXTJOIN("_",TRUE,C713,"node",D713,M713,N713)</f>
        <v>s1_node_relic_42_4</v>
      </c>
      <c r="B713" s="0" t="s">
        <v>0</v>
      </c>
      <c r="C713" s="0" t="s">
        <v>26</v>
      </c>
      <c r="D713" s="0" t="s">
        <v>105</v>
      </c>
      <c r="E713" s="0" t="str">
        <f>"s1_node_"&amp;D713&amp;"_name"</f>
        <v>s1_node_relic_name</v>
      </c>
      <c r="F713" s="13" t="str">
        <f>"s1_node_"&amp;D713&amp;"_desc"</f>
        <v>s1_node_relic_desc</v>
      </c>
      <c r="G713" s="0" t="s">
        <v>788</v>
      </c>
      <c r="H713" s="0">
        <v>3</v>
      </c>
      <c r="I713" s="0" t="s">
        <v>27</v>
      </c>
      <c r="J713" s="0" t="s">
        <v>504</v>
      </c>
      <c r="K713" s="0">
        <v>1720</v>
      </c>
      <c r="L713" s="13">
        <v>3</v>
      </c>
      <c r="M713" s="0">
        <v>42</v>
      </c>
      <c r="N713" s="0">
        <v>4</v>
      </c>
      <c r="T713" s="0" t="str">
        <f>_xlfn.TEXTJOIN("_",TRUE,C713,"node_eff",D713,M713,N713)</f>
        <v>s1_node_eff_relic_42_4</v>
      </c>
    </row>
    <row r="714" spans="1:20" x14ac:dyDescent="0.45">
      <c r="A714" s="0" t="str">
        <f>_xlfn.TEXTJOIN("_",TRUE,C714,"node",D714,M714,N714)</f>
        <v>s1_node_relic_42_6</v>
      </c>
      <c r="B714" s="0" t="s">
        <v>0</v>
      </c>
      <c r="C714" s="0" t="s">
        <v>26</v>
      </c>
      <c r="D714" s="0" t="s">
        <v>105</v>
      </c>
      <c r="E714" s="0" t="str">
        <f>"s1_node_"&amp;D714&amp;"_name"</f>
        <v>s1_node_relic_name</v>
      </c>
      <c r="F714" s="13" t="str">
        <f>"s1_node_"&amp;D714&amp;"_desc"</f>
        <v>s1_node_relic_desc</v>
      </c>
      <c r="G714" s="0" t="s">
        <v>149</v>
      </c>
      <c r="H714" s="0">
        <v>3</v>
      </c>
      <c r="I714" s="0" t="s">
        <v>27</v>
      </c>
      <c r="J714" s="0" t="s">
        <v>504</v>
      </c>
      <c r="K714" s="0">
        <v>1720</v>
      </c>
      <c r="L714" s="13">
        <v>3</v>
      </c>
      <c r="M714" s="0">
        <v>42</v>
      </c>
      <c r="N714" s="0">
        <v>6</v>
      </c>
      <c r="T714" s="0" t="str">
        <f>_xlfn.TEXTJOIN("_",TRUE,C714,"node_eff",D714,M714,N714)</f>
        <v>s1_node_eff_relic_42_6</v>
      </c>
    </row>
    <row r="715" spans="1:20" x14ac:dyDescent="0.45">
      <c r="A715" s="0" t="str">
        <f>_xlfn.TEXTJOIN("_",TRUE,C715,"node",D715,M715,N715)</f>
        <v>s1_node_relic_43_2</v>
      </c>
      <c r="B715" s="0" t="s">
        <v>0</v>
      </c>
      <c r="C715" s="0" t="s">
        <v>26</v>
      </c>
      <c r="D715" s="0" t="s">
        <v>105</v>
      </c>
      <c r="E715" s="0" t="str">
        <f>"s1_node_"&amp;D715&amp;"_name"</f>
        <v>s1_node_relic_name</v>
      </c>
      <c r="F715" s="13" t="str">
        <f>"s1_node_"&amp;D715&amp;"_desc"</f>
        <v>s1_node_relic_desc</v>
      </c>
      <c r="G715" s="0" t="s">
        <v>142</v>
      </c>
      <c r="H715" s="0">
        <v>3</v>
      </c>
      <c r="I715" s="0" t="s">
        <v>27</v>
      </c>
      <c r="J715" s="0" t="s">
        <v>506</v>
      </c>
      <c r="K715" s="0">
        <v>1760</v>
      </c>
      <c r="L715" s="13">
        <v>3</v>
      </c>
      <c r="M715" s="0">
        <v>43</v>
      </c>
      <c r="N715" s="0">
        <v>2</v>
      </c>
      <c r="P715" s="0" t="s">
        <v>851</v>
      </c>
      <c r="T715" s="0" t="str">
        <f>_xlfn.TEXTJOIN("_",TRUE,C715,"node_eff",D715,M715,N715)</f>
        <v>s1_node_eff_relic_43_2</v>
      </c>
    </row>
    <row r="716" spans="1:20" x14ac:dyDescent="0.45">
      <c r="A716" s="0" t="str">
        <f>_xlfn.TEXTJOIN("_",TRUE,C716,"node",D716,M716,N716)</f>
        <v>s1_node_relic_43_6</v>
      </c>
      <c r="B716" s="0" t="s">
        <v>0</v>
      </c>
      <c r="C716" s="0" t="s">
        <v>26</v>
      </c>
      <c r="D716" s="0" t="s">
        <v>105</v>
      </c>
      <c r="E716" s="0" t="str">
        <f>"s1_node_"&amp;D716&amp;"_name"</f>
        <v>s1_node_relic_name</v>
      </c>
      <c r="F716" s="13" t="str">
        <f>"s1_node_"&amp;D716&amp;"_desc"</f>
        <v>s1_node_relic_desc</v>
      </c>
      <c r="G716" s="0" t="s">
        <v>419</v>
      </c>
      <c r="H716" s="0">
        <v>3</v>
      </c>
      <c r="I716" s="0" t="s">
        <v>27</v>
      </c>
      <c r="J716" s="0" t="s">
        <v>506</v>
      </c>
      <c r="K716" s="0">
        <v>1760</v>
      </c>
      <c r="L716" s="13">
        <v>3</v>
      </c>
      <c r="M716" s="0">
        <v>43</v>
      </c>
      <c r="N716" s="0">
        <v>6</v>
      </c>
      <c r="P716" s="0" t="s">
        <v>852</v>
      </c>
      <c r="T716" s="0" t="str">
        <f>_xlfn.TEXTJOIN("_",TRUE,C716,"node_eff",D716,M716,N716)</f>
        <v>s1_node_eff_relic_43_6</v>
      </c>
    </row>
    <row r="717" spans="1:20" x14ac:dyDescent="0.45">
      <c r="A717" s="0" t="str">
        <f>_xlfn.TEXTJOIN("_",TRUE,C717,"node",D717,M717,N717)</f>
        <v>s1_node_relic_44_2</v>
      </c>
      <c r="B717" s="0" t="s">
        <v>0</v>
      </c>
      <c r="C717" s="0" t="s">
        <v>26</v>
      </c>
      <c r="D717" s="0" t="s">
        <v>105</v>
      </c>
      <c r="E717" s="0" t="str">
        <f>"s1_node_"&amp;D717&amp;"_name"</f>
        <v>s1_node_relic_name</v>
      </c>
      <c r="F717" s="13" t="str">
        <f>"s1_node_"&amp;D717&amp;"_desc"</f>
        <v>s1_node_relic_desc</v>
      </c>
      <c r="G717" s="0" t="s">
        <v>138</v>
      </c>
      <c r="H717" s="0">
        <v>3</v>
      </c>
      <c r="I717" s="0" t="s">
        <v>27</v>
      </c>
      <c r="J717" s="0" t="s">
        <v>507</v>
      </c>
      <c r="K717" s="0">
        <v>1790</v>
      </c>
      <c r="L717" s="13">
        <v>3</v>
      </c>
      <c r="M717" s="0">
        <v>44</v>
      </c>
      <c r="N717" s="0">
        <v>2</v>
      </c>
      <c r="T717" s="0" t="str">
        <f>_xlfn.TEXTJOIN("_",TRUE,C717,"node_eff",D717,M717,N717)</f>
        <v>s1_node_eff_relic_44_2</v>
      </c>
    </row>
    <row r="718" spans="1:20" x14ac:dyDescent="0.45">
      <c r="A718" s="0" t="str">
        <f>_xlfn.TEXTJOIN("_",TRUE,C718,"node",D718,M718,N718)</f>
        <v>s1_node_relic_44_4</v>
      </c>
      <c r="B718" s="0" t="s">
        <v>0</v>
      </c>
      <c r="C718" s="0" t="s">
        <v>26</v>
      </c>
      <c r="D718" s="0" t="s">
        <v>105</v>
      </c>
      <c r="E718" s="0" t="str">
        <f>"s1_node_"&amp;D718&amp;"_name"</f>
        <v>s1_node_relic_name</v>
      </c>
      <c r="F718" s="13" t="str">
        <f>"s1_node_"&amp;D718&amp;"_desc"</f>
        <v>s1_node_relic_desc</v>
      </c>
      <c r="G718" s="0" t="s">
        <v>149</v>
      </c>
      <c r="H718" s="0">
        <v>3</v>
      </c>
      <c r="I718" s="0" t="s">
        <v>27</v>
      </c>
      <c r="J718" s="0" t="s">
        <v>507</v>
      </c>
      <c r="K718" s="0">
        <v>1790</v>
      </c>
      <c r="L718" s="13">
        <v>3</v>
      </c>
      <c r="M718" s="0">
        <v>44</v>
      </c>
      <c r="N718" s="0">
        <v>4</v>
      </c>
      <c r="P718" s="0" t="s">
        <v>853</v>
      </c>
      <c r="T718" s="0" t="str">
        <f>_xlfn.TEXTJOIN("_",TRUE,C718,"node_eff",D718,M718,N718)</f>
        <v>s1_node_eff_relic_44_4</v>
      </c>
    </row>
    <row r="719" spans="1:20" x14ac:dyDescent="0.45">
      <c r="A719" s="0" t="str">
        <f>_xlfn.TEXTJOIN("_",TRUE,C719,"node",D719,M719,N719)</f>
        <v>s1_node_relic_44_6</v>
      </c>
      <c r="B719" s="0" t="s">
        <v>0</v>
      </c>
      <c r="C719" s="0" t="s">
        <v>26</v>
      </c>
      <c r="D719" s="0" t="s">
        <v>105</v>
      </c>
      <c r="E719" s="0" t="str">
        <f>"s1_node_"&amp;D719&amp;"_name"</f>
        <v>s1_node_relic_name</v>
      </c>
      <c r="F719" s="13" t="str">
        <f>"s1_node_"&amp;D719&amp;"_desc"</f>
        <v>s1_node_relic_desc</v>
      </c>
      <c r="G719" s="0" t="s">
        <v>149</v>
      </c>
      <c r="H719" s="0">
        <v>3</v>
      </c>
      <c r="I719" s="0" t="s">
        <v>27</v>
      </c>
      <c r="J719" s="0" t="s">
        <v>507</v>
      </c>
      <c r="K719" s="0">
        <v>1790</v>
      </c>
      <c r="L719" s="13">
        <v>3</v>
      </c>
      <c r="M719" s="0">
        <v>44</v>
      </c>
      <c r="N719" s="0">
        <v>6</v>
      </c>
      <c r="T719" s="0" t="str">
        <f>_xlfn.TEXTJOIN("_",TRUE,C719,"node_eff",D719,M719,N719)</f>
        <v>s1_node_eff_relic_44_6</v>
      </c>
    </row>
    <row r="720" spans="1:20" x14ac:dyDescent="0.45">
      <c r="A720" s="0" t="str">
        <f>_xlfn.TEXTJOIN("_",TRUE,C720,"node",D720,M720,N720)</f>
        <v>s1_node_relic_45_2</v>
      </c>
      <c r="B720" s="0" t="s">
        <v>0</v>
      </c>
      <c r="C720" s="0" t="s">
        <v>26</v>
      </c>
      <c r="D720" s="0" t="s">
        <v>105</v>
      </c>
      <c r="E720" s="0" t="str">
        <f>"s1_node_"&amp;D720&amp;"_name"</f>
        <v>s1_node_relic_name</v>
      </c>
      <c r="F720" s="13" t="str">
        <f>"s1_node_"&amp;D720&amp;"_desc"</f>
        <v>s1_node_relic_desc</v>
      </c>
      <c r="G720" s="0" t="s">
        <v>795</v>
      </c>
      <c r="H720" s="0">
        <v>3</v>
      </c>
      <c r="I720" s="0" t="s">
        <v>27</v>
      </c>
      <c r="J720" s="0" t="s">
        <v>510</v>
      </c>
      <c r="K720" s="0">
        <v>1830</v>
      </c>
      <c r="L720" s="13">
        <v>3</v>
      </c>
      <c r="M720" s="0">
        <v>45</v>
      </c>
      <c r="N720" s="0">
        <v>2</v>
      </c>
      <c r="P720" s="0" t="s">
        <v>854</v>
      </c>
      <c r="T720" s="0" t="str">
        <f>_xlfn.TEXTJOIN("_",TRUE,C720,"node_eff",D720,M720,N720)</f>
        <v>s1_node_eff_relic_45_2</v>
      </c>
    </row>
    <row r="721" spans="1:20" x14ac:dyDescent="0.45">
      <c r="A721" s="0" t="str">
        <f>_xlfn.TEXTJOIN("_",TRUE,C721,"node",D721,M721,N721)</f>
        <v>s1_node_relic_45_6</v>
      </c>
      <c r="B721" s="0" t="s">
        <v>0</v>
      </c>
      <c r="C721" s="0" t="s">
        <v>26</v>
      </c>
      <c r="D721" s="0" t="s">
        <v>105</v>
      </c>
      <c r="E721" s="0" t="str">
        <f>"s1_node_"&amp;D721&amp;"_name"</f>
        <v>s1_node_relic_name</v>
      </c>
      <c r="F721" s="13" t="str">
        <f>"s1_node_"&amp;D721&amp;"_desc"</f>
        <v>s1_node_relic_desc</v>
      </c>
      <c r="G721" s="0" t="s">
        <v>138</v>
      </c>
      <c r="H721" s="0">
        <v>3</v>
      </c>
      <c r="I721" s="0" t="s">
        <v>27</v>
      </c>
      <c r="J721" s="0" t="s">
        <v>510</v>
      </c>
      <c r="K721" s="0">
        <v>1830</v>
      </c>
      <c r="L721" s="13">
        <v>3</v>
      </c>
      <c r="M721" s="0">
        <v>45</v>
      </c>
      <c r="N721" s="0">
        <v>6</v>
      </c>
      <c r="P721" s="0" t="s">
        <v>855</v>
      </c>
      <c r="T721" s="0" t="str">
        <f>_xlfn.TEXTJOIN("_",TRUE,C721,"node_eff",D721,M721,N721)</f>
        <v>s1_node_eff_relic_45_6</v>
      </c>
    </row>
    <row r="722" spans="1:20" x14ac:dyDescent="0.45">
      <c r="A722" s="0" t="str">
        <f>_xlfn.TEXTJOIN("_",TRUE,C722,"node",D722,M722,N722)</f>
        <v>s1_node_relic_46_4</v>
      </c>
      <c r="B722" s="0" t="s">
        <v>0</v>
      </c>
      <c r="C722" s="0" t="s">
        <v>26</v>
      </c>
      <c r="D722" s="0" t="s">
        <v>105</v>
      </c>
      <c r="E722" s="0" t="str">
        <f>"s1_node_"&amp;D722&amp;"_name"</f>
        <v>s1_node_relic_name</v>
      </c>
      <c r="F722" s="13" t="str">
        <f>"s1_node_"&amp;D722&amp;"_desc"</f>
        <v>s1_node_relic_desc</v>
      </c>
      <c r="G722" s="0" t="s">
        <v>149</v>
      </c>
      <c r="H722" s="0">
        <v>3</v>
      </c>
      <c r="I722" s="0" t="s">
        <v>27</v>
      </c>
      <c r="J722" s="0" t="s">
        <v>856</v>
      </c>
      <c r="K722" s="0">
        <v>1870</v>
      </c>
      <c r="L722" s="13">
        <v>3</v>
      </c>
      <c r="M722" s="0">
        <v>46</v>
      </c>
      <c r="N722" s="0">
        <v>4</v>
      </c>
      <c r="P722" s="0" t="s">
        <v>857</v>
      </c>
      <c r="T722" s="0" t="str">
        <f>_xlfn.TEXTJOIN("_",TRUE,C722,"node_eff",D722,M722,N722)</f>
        <v>s1_node_eff_relic_46_4</v>
      </c>
    </row>
    <row r="723" spans="1:20" x14ac:dyDescent="0.45">
      <c r="A723" s="0" t="str">
        <f>_xlfn.TEXTJOIN("_",TRUE,C723,"node",D723,M723,N723)</f>
        <v>s1_node_relic_47_2</v>
      </c>
      <c r="B723" s="0" t="s">
        <v>0</v>
      </c>
      <c r="C723" s="0" t="s">
        <v>26</v>
      </c>
      <c r="D723" s="0" t="s">
        <v>105</v>
      </c>
      <c r="E723" s="0" t="str">
        <f>"s1_node_"&amp;D723&amp;"_name"</f>
        <v>s1_node_relic_name</v>
      </c>
      <c r="F723" s="13" t="str">
        <f>"s1_node_"&amp;D723&amp;"_desc"</f>
        <v>s1_node_relic_desc</v>
      </c>
      <c r="G723" s="0" t="s">
        <v>788</v>
      </c>
      <c r="H723" s="0">
        <v>3</v>
      </c>
      <c r="I723" s="0" t="s">
        <v>27</v>
      </c>
      <c r="J723" s="0" t="s">
        <v>858</v>
      </c>
      <c r="K723" s="0">
        <v>1910</v>
      </c>
      <c r="L723" s="13">
        <v>3</v>
      </c>
      <c r="M723" s="0">
        <v>47</v>
      </c>
      <c r="N723" s="0">
        <v>2</v>
      </c>
      <c r="T723" s="0" t="str">
        <f>_xlfn.TEXTJOIN("_",TRUE,C723,"node_eff",D723,M723,N723)</f>
        <v>s1_node_eff_relic_47_2</v>
      </c>
    </row>
    <row r="724" spans="1:20" x14ac:dyDescent="0.45">
      <c r="A724" s="0" t="str">
        <f>_xlfn.TEXTJOIN("_",TRUE,C724,"node",D724,M724,N724)</f>
        <v>s1_node_relic_47_4</v>
      </c>
      <c r="B724" s="0" t="s">
        <v>0</v>
      </c>
      <c r="C724" s="0" t="s">
        <v>26</v>
      </c>
      <c r="D724" s="0" t="s">
        <v>105</v>
      </c>
      <c r="E724" s="0" t="str">
        <f>"s1_node_"&amp;D724&amp;"_name"</f>
        <v>s1_node_relic_name</v>
      </c>
      <c r="F724" s="13" t="str">
        <f>"s1_node_"&amp;D724&amp;"_desc"</f>
        <v>s1_node_relic_desc</v>
      </c>
      <c r="G724" s="0" t="s">
        <v>149</v>
      </c>
      <c r="H724" s="0">
        <v>3</v>
      </c>
      <c r="I724" s="0" t="s">
        <v>27</v>
      </c>
      <c r="J724" s="0" t="s">
        <v>858</v>
      </c>
      <c r="K724" s="0">
        <v>1910</v>
      </c>
      <c r="L724" s="13">
        <v>3</v>
      </c>
      <c r="M724" s="0">
        <v>47</v>
      </c>
      <c r="N724" s="0">
        <v>4</v>
      </c>
      <c r="T724" s="0" t="str">
        <f>_xlfn.TEXTJOIN("_",TRUE,C724,"node_eff",D724,M724,N724)</f>
        <v>s1_node_eff_relic_47_4</v>
      </c>
    </row>
    <row r="725" spans="1:20" x14ac:dyDescent="0.45">
      <c r="A725" s="0" t="str">
        <f>_xlfn.TEXTJOIN("_",TRUE,C725,"node",D725,M725,N725)</f>
        <v>s1_node_relic_47_6</v>
      </c>
      <c r="B725" s="0" t="s">
        <v>0</v>
      </c>
      <c r="C725" s="0" t="s">
        <v>26</v>
      </c>
      <c r="D725" s="0" t="s">
        <v>105</v>
      </c>
      <c r="E725" s="0" t="str">
        <f>"s1_node_"&amp;D725&amp;"_name"</f>
        <v>s1_node_relic_name</v>
      </c>
      <c r="F725" s="13" t="str">
        <f>"s1_node_"&amp;D725&amp;"_desc"</f>
        <v>s1_node_relic_desc</v>
      </c>
      <c r="G725" s="0" t="s">
        <v>142</v>
      </c>
      <c r="H725" s="0">
        <v>3</v>
      </c>
      <c r="I725" s="0" t="s">
        <v>27</v>
      </c>
      <c r="J725" s="0" t="s">
        <v>858</v>
      </c>
      <c r="K725" s="0">
        <v>1910</v>
      </c>
      <c r="L725" s="13">
        <v>3</v>
      </c>
      <c r="M725" s="0">
        <v>47</v>
      </c>
      <c r="N725" s="0">
        <v>6</v>
      </c>
      <c r="T725" s="0" t="str">
        <f>_xlfn.TEXTJOIN("_",TRUE,C725,"node_eff",D725,M725,N725)</f>
        <v>s1_node_eff_relic_47_6</v>
      </c>
    </row>
    <row r="726" spans="1:20" x14ac:dyDescent="0.45">
      <c r="A726" s="0" t="str">
        <f>_xlfn.TEXTJOIN("_",TRUE,C726,"node",D726,M726,N726)</f>
        <v>s1_node_relic_48_2</v>
      </c>
      <c r="B726" s="0" t="s">
        <v>0</v>
      </c>
      <c r="C726" s="0" t="s">
        <v>26</v>
      </c>
      <c r="D726" s="0" t="s">
        <v>105</v>
      </c>
      <c r="E726" s="0" t="str">
        <f>"s1_node_"&amp;D726&amp;"_name"</f>
        <v>s1_node_relic_name</v>
      </c>
      <c r="F726" s="13" t="str">
        <f>"s1_node_"&amp;D726&amp;"_desc"</f>
        <v>s1_node_relic_desc</v>
      </c>
      <c r="G726" s="0" t="s">
        <v>419</v>
      </c>
      <c r="H726" s="0">
        <v>3</v>
      </c>
      <c r="I726" s="0" t="s">
        <v>27</v>
      </c>
      <c r="J726" s="0" t="s">
        <v>859</v>
      </c>
      <c r="K726" s="0">
        <v>1950</v>
      </c>
      <c r="L726" s="13">
        <v>3</v>
      </c>
      <c r="M726" s="0">
        <v>48</v>
      </c>
      <c r="N726" s="0">
        <v>2</v>
      </c>
      <c r="P726" s="0" t="s">
        <v>860</v>
      </c>
      <c r="T726" s="0" t="str">
        <f>_xlfn.TEXTJOIN("_",TRUE,C726,"node_eff",D726,M726,N726)</f>
        <v>s1_node_eff_relic_48_2</v>
      </c>
    </row>
    <row r="727" spans="1:20" x14ac:dyDescent="0.45">
      <c r="A727" s="0" t="str">
        <f>_xlfn.TEXTJOIN("_",TRUE,C727,"node",D727,M727,N727)</f>
        <v>s1_node_relic_48_6</v>
      </c>
      <c r="B727" s="0" t="s">
        <v>0</v>
      </c>
      <c r="C727" s="0" t="s">
        <v>26</v>
      </c>
      <c r="D727" s="0" t="s">
        <v>105</v>
      </c>
      <c r="E727" s="0" t="str">
        <f>"s1_node_"&amp;D727&amp;"_name"</f>
        <v>s1_node_relic_name</v>
      </c>
      <c r="F727" s="13" t="str">
        <f>"s1_node_"&amp;D727&amp;"_desc"</f>
        <v>s1_node_relic_desc</v>
      </c>
      <c r="G727" s="0" t="s">
        <v>138</v>
      </c>
      <c r="H727" s="0">
        <v>3</v>
      </c>
      <c r="I727" s="0" t="s">
        <v>27</v>
      </c>
      <c r="J727" s="0" t="s">
        <v>859</v>
      </c>
      <c r="K727" s="0">
        <v>1950</v>
      </c>
      <c r="L727" s="13">
        <v>3</v>
      </c>
      <c r="M727" s="0">
        <v>48</v>
      </c>
      <c r="N727" s="0">
        <v>6</v>
      </c>
      <c r="P727" s="0" t="s">
        <v>861</v>
      </c>
      <c r="T727" s="0" t="str">
        <f>_xlfn.TEXTJOIN("_",TRUE,C727,"node_eff",D727,M727,N727)</f>
        <v>s1_node_eff_relic_48_6</v>
      </c>
    </row>
    <row r="728" spans="1:20" x14ac:dyDescent="0.45">
      <c r="A728" s="0" t="str">
        <f>_xlfn.TEXTJOIN("_",TRUE,C728,"node",D728,M728,N728)</f>
        <v>s1_node_relic_49_2</v>
      </c>
      <c r="B728" s="0" t="s">
        <v>0</v>
      </c>
      <c r="C728" s="0" t="s">
        <v>26</v>
      </c>
      <c r="D728" s="0" t="s">
        <v>105</v>
      </c>
      <c r="E728" s="0" t="str">
        <f>"s1_node_"&amp;D728&amp;"_name"</f>
        <v>s1_node_relic_name</v>
      </c>
      <c r="F728" s="13" t="str">
        <f>"s1_node_"&amp;D728&amp;"_desc"</f>
        <v>s1_node_relic_desc</v>
      </c>
      <c r="G728" s="0" t="s">
        <v>149</v>
      </c>
      <c r="H728" s="0">
        <v>3</v>
      </c>
      <c r="I728" s="0" t="s">
        <v>27</v>
      </c>
      <c r="J728" s="0" t="s">
        <v>695</v>
      </c>
      <c r="K728" s="0">
        <v>1980</v>
      </c>
      <c r="L728" s="13">
        <v>3</v>
      </c>
      <c r="M728" s="0">
        <v>49</v>
      </c>
      <c r="N728" s="0">
        <v>2</v>
      </c>
      <c r="T728" s="0" t="str">
        <f>_xlfn.TEXTJOIN("_",TRUE,C728,"node_eff",D728,M728,N728)</f>
        <v>s1_node_eff_relic_49_2</v>
      </c>
    </row>
    <row r="729" spans="1:20" x14ac:dyDescent="0.45">
      <c r="A729" s="0" t="str">
        <f>_xlfn.TEXTJOIN("_",TRUE,C729,"node",D729,M729,N729)</f>
        <v>s1_node_relic_49_4</v>
      </c>
      <c r="B729" s="0" t="s">
        <v>0</v>
      </c>
      <c r="C729" s="0" t="s">
        <v>26</v>
      </c>
      <c r="D729" s="0" t="s">
        <v>105</v>
      </c>
      <c r="E729" s="0" t="str">
        <f>"s1_node_"&amp;D729&amp;"_name"</f>
        <v>s1_node_relic_name</v>
      </c>
      <c r="F729" s="13" t="str">
        <f>"s1_node_"&amp;D729&amp;"_desc"</f>
        <v>s1_node_relic_desc</v>
      </c>
      <c r="G729" s="0" t="s">
        <v>149</v>
      </c>
      <c r="H729" s="0">
        <v>3</v>
      </c>
      <c r="I729" s="0" t="s">
        <v>27</v>
      </c>
      <c r="J729" s="0" t="s">
        <v>695</v>
      </c>
      <c r="K729" s="0">
        <v>1980</v>
      </c>
      <c r="L729" s="13">
        <v>3</v>
      </c>
      <c r="M729" s="0">
        <v>49</v>
      </c>
      <c r="N729" s="0">
        <v>4</v>
      </c>
      <c r="P729" s="0" t="s">
        <v>862</v>
      </c>
      <c r="T729" s="0" t="str">
        <f>_xlfn.TEXTJOIN("_",TRUE,C729,"node_eff",D729,M729,N729)</f>
        <v>s1_node_eff_relic_49_4</v>
      </c>
    </row>
    <row r="730" spans="1:20" x14ac:dyDescent="0.45">
      <c r="A730" s="0" t="str">
        <f>_xlfn.TEXTJOIN("_",TRUE,C730,"node",D730,M730,N730)</f>
        <v>s1_node_relic_49_6</v>
      </c>
      <c r="B730" s="0" t="s">
        <v>0</v>
      </c>
      <c r="C730" s="0" t="s">
        <v>26</v>
      </c>
      <c r="D730" s="0" t="s">
        <v>105</v>
      </c>
      <c r="E730" s="0" t="str">
        <f>"s1_node_"&amp;D730&amp;"_name"</f>
        <v>s1_node_relic_name</v>
      </c>
      <c r="F730" s="13" t="str">
        <f>"s1_node_"&amp;D730&amp;"_desc"</f>
        <v>s1_node_relic_desc</v>
      </c>
      <c r="G730" s="0" t="s">
        <v>795</v>
      </c>
      <c r="H730" s="0">
        <v>3</v>
      </c>
      <c r="I730" s="0" t="s">
        <v>27</v>
      </c>
      <c r="J730" s="0" t="s">
        <v>695</v>
      </c>
      <c r="K730" s="0">
        <v>1980</v>
      </c>
      <c r="L730" s="13">
        <v>3</v>
      </c>
      <c r="M730" s="0">
        <v>49</v>
      </c>
      <c r="N730" s="0">
        <v>6</v>
      </c>
      <c r="T730" s="0" t="str">
        <f>_xlfn.TEXTJOIN("_",TRUE,C730,"node_eff",D730,M730,N730)</f>
        <v>s1_node_eff_relic_49_6</v>
      </c>
    </row>
    <row r="731" spans="1:20" x14ac:dyDescent="0.45">
      <c r="A731" s="0" t="str">
        <f>_xlfn.TEXTJOIN("_",TRUE,C731,"node",D731,M731,N731)</f>
        <v>s1_node_relic_50_2</v>
      </c>
      <c r="B731" s="0" t="s">
        <v>0</v>
      </c>
      <c r="C731" s="0" t="s">
        <v>26</v>
      </c>
      <c r="D731" s="0" t="s">
        <v>105</v>
      </c>
      <c r="E731" s="0" t="str">
        <f>"s1_node_"&amp;D731&amp;"_name"</f>
        <v>s1_node_relic_name</v>
      </c>
      <c r="F731" s="13" t="str">
        <f>"s1_node_"&amp;D731&amp;"_desc"</f>
        <v>s1_node_relic_desc</v>
      </c>
      <c r="G731" s="0" t="s">
        <v>138</v>
      </c>
      <c r="H731" s="0">
        <v>3</v>
      </c>
      <c r="I731" s="0" t="s">
        <v>27</v>
      </c>
      <c r="J731" s="0" t="s">
        <v>863</v>
      </c>
      <c r="K731" s="0">
        <v>2020</v>
      </c>
      <c r="L731" s="13">
        <v>3</v>
      </c>
      <c r="M731" s="0">
        <v>50</v>
      </c>
      <c r="N731" s="0">
        <v>2</v>
      </c>
      <c r="P731" s="0" t="s">
        <v>864</v>
      </c>
      <c r="T731" s="0" t="str">
        <f>_xlfn.TEXTJOIN("_",TRUE,C731,"node_eff",D731,M731,N731)</f>
        <v>s1_node_eff_relic_50_2</v>
      </c>
    </row>
    <row r="732" spans="1:20" x14ac:dyDescent="0.45">
      <c r="A732" s="0" t="str">
        <f>_xlfn.TEXTJOIN("_",TRUE,C732,"node",D732,M732,N732)</f>
        <v>s1_node_relic_50_6</v>
      </c>
      <c r="B732" s="0" t="s">
        <v>0</v>
      </c>
      <c r="C732" s="0" t="s">
        <v>26</v>
      </c>
      <c r="D732" s="0" t="s">
        <v>105</v>
      </c>
      <c r="E732" s="0" t="str">
        <f>"s1_node_"&amp;D732&amp;"_name"</f>
        <v>s1_node_relic_name</v>
      </c>
      <c r="F732" s="13" t="str">
        <f>"s1_node_"&amp;D732&amp;"_desc"</f>
        <v>s1_node_relic_desc</v>
      </c>
      <c r="G732" s="0" t="s">
        <v>149</v>
      </c>
      <c r="H732" s="0">
        <v>3</v>
      </c>
      <c r="I732" s="0" t="s">
        <v>27</v>
      </c>
      <c r="J732" s="0" t="s">
        <v>863</v>
      </c>
      <c r="K732" s="0">
        <v>2020</v>
      </c>
      <c r="L732" s="13">
        <v>3</v>
      </c>
      <c r="M732" s="0">
        <v>50</v>
      </c>
      <c r="N732" s="0">
        <v>6</v>
      </c>
      <c r="P732" s="0" t="s">
        <v>865</v>
      </c>
      <c r="T732" s="0" t="str">
        <f>_xlfn.TEXTJOIN("_",TRUE,C732,"node_eff",D732,M732,N732)</f>
        <v>s1_node_eff_relic_50_6</v>
      </c>
    </row>
    <row r="733" spans="1:20" x14ac:dyDescent="0.45">
      <c r="A733" s="0" t="str">
        <f>_xlfn.TEXTJOIN("_",TRUE,C733,"node",D733,M733,N733)</f>
        <v>s1_node_relic_51_4</v>
      </c>
      <c r="B733" s="0" t="s">
        <v>0</v>
      </c>
      <c r="C733" s="0" t="s">
        <v>26</v>
      </c>
      <c r="D733" s="0" t="s">
        <v>105</v>
      </c>
      <c r="E733" s="0" t="str">
        <f>"s1_node_"&amp;D733&amp;"_name"</f>
        <v>s1_node_relic_name</v>
      </c>
      <c r="F733" s="13" t="str">
        <f>"s1_node_"&amp;D733&amp;"_desc"</f>
        <v>s1_node_relic_desc</v>
      </c>
      <c r="G733" s="0" t="s">
        <v>788</v>
      </c>
      <c r="H733" s="0">
        <v>3</v>
      </c>
      <c r="I733" s="0" t="s">
        <v>27</v>
      </c>
      <c r="J733" s="0" t="s">
        <v>298</v>
      </c>
      <c r="K733" s="0">
        <v>2060</v>
      </c>
      <c r="L733" s="13">
        <v>3</v>
      </c>
      <c r="M733" s="0">
        <v>51</v>
      </c>
      <c r="N733" s="0">
        <v>4</v>
      </c>
      <c r="P733" s="0" t="s">
        <v>866</v>
      </c>
      <c r="T733" s="0" t="str">
        <f>_xlfn.TEXTJOIN("_",TRUE,C733,"node_eff",D733,M733,N733)</f>
        <v>s1_node_eff_relic_51_4</v>
      </c>
    </row>
    <row r="734" spans="1:20" x14ac:dyDescent="0.45">
      <c r="A734" s="0" t="str">
        <f>_xlfn.TEXTJOIN("_",TRUE,C734,"node",D734,M734,N734)</f>
        <v>s1_node_relic_52_2</v>
      </c>
      <c r="B734" s="0" t="s">
        <v>0</v>
      </c>
      <c r="C734" s="0" t="s">
        <v>26</v>
      </c>
      <c r="D734" s="0" t="s">
        <v>105</v>
      </c>
      <c r="E734" s="0" t="str">
        <f>"s1_node_"&amp;D734&amp;"_name"</f>
        <v>s1_node_relic_name</v>
      </c>
      <c r="F734" s="13" t="str">
        <f>"s1_node_"&amp;D734&amp;"_desc"</f>
        <v>s1_node_relic_desc</v>
      </c>
      <c r="G734" s="0" t="s">
        <v>149</v>
      </c>
      <c r="H734" s="0">
        <v>3</v>
      </c>
      <c r="I734" s="0" t="s">
        <v>27</v>
      </c>
      <c r="J734" s="0" t="s">
        <v>301</v>
      </c>
      <c r="K734" s="0">
        <v>2100</v>
      </c>
      <c r="L734" s="13">
        <v>3</v>
      </c>
      <c r="M734" s="0">
        <v>52</v>
      </c>
      <c r="N734" s="0">
        <v>2</v>
      </c>
      <c r="T734" s="0" t="str">
        <f>_xlfn.TEXTJOIN("_",TRUE,C734,"node_eff",D734,M734,N734)</f>
        <v>s1_node_eff_relic_52_2</v>
      </c>
    </row>
    <row r="735" spans="1:20" x14ac:dyDescent="0.45">
      <c r="A735" s="0" t="str">
        <f>_xlfn.TEXTJOIN("_",TRUE,C735,"node",D735,M735,N735)</f>
        <v>s1_node_relic_52_4</v>
      </c>
      <c r="B735" s="0" t="s">
        <v>0</v>
      </c>
      <c r="C735" s="0" t="s">
        <v>26</v>
      </c>
      <c r="D735" s="0" t="s">
        <v>105</v>
      </c>
      <c r="E735" s="0" t="str">
        <f>"s1_node_"&amp;D735&amp;"_name"</f>
        <v>s1_node_relic_name</v>
      </c>
      <c r="F735" s="13" t="str">
        <f>"s1_node_"&amp;D735&amp;"_desc"</f>
        <v>s1_node_relic_desc</v>
      </c>
      <c r="G735" s="0" t="s">
        <v>142</v>
      </c>
      <c r="H735" s="0">
        <v>3</v>
      </c>
      <c r="I735" s="0" t="s">
        <v>27</v>
      </c>
      <c r="J735" s="0" t="s">
        <v>301</v>
      </c>
      <c r="K735" s="0">
        <v>2100</v>
      </c>
      <c r="L735" s="13">
        <v>3</v>
      </c>
      <c r="M735" s="0">
        <v>52</v>
      </c>
      <c r="N735" s="0">
        <v>4</v>
      </c>
      <c r="T735" s="0" t="str">
        <f>_xlfn.TEXTJOIN("_",TRUE,C735,"node_eff",D735,M735,N735)</f>
        <v>s1_node_eff_relic_52_4</v>
      </c>
    </row>
    <row r="736" spans="1:20" x14ac:dyDescent="0.45">
      <c r="A736" s="0" t="str">
        <f>_xlfn.TEXTJOIN("_",TRUE,C736,"node",D736,M736,N736)</f>
        <v>s1_node_relic_52_6</v>
      </c>
      <c r="B736" s="0" t="s">
        <v>0</v>
      </c>
      <c r="C736" s="0" t="s">
        <v>26</v>
      </c>
      <c r="D736" s="0" t="s">
        <v>105</v>
      </c>
      <c r="E736" s="0" t="str">
        <f>"s1_node_"&amp;D736&amp;"_name"</f>
        <v>s1_node_relic_name</v>
      </c>
      <c r="F736" s="13" t="str">
        <f>"s1_node_"&amp;D736&amp;"_desc"</f>
        <v>s1_node_relic_desc</v>
      </c>
      <c r="G736" s="0" t="s">
        <v>419</v>
      </c>
      <c r="H736" s="0">
        <v>3</v>
      </c>
      <c r="I736" s="0" t="s">
        <v>27</v>
      </c>
      <c r="J736" s="0" t="s">
        <v>301</v>
      </c>
      <c r="K736" s="0">
        <v>2100</v>
      </c>
      <c r="L736" s="13">
        <v>3</v>
      </c>
      <c r="M736" s="0">
        <v>52</v>
      </c>
      <c r="N736" s="0">
        <v>6</v>
      </c>
      <c r="T736" s="0" t="str">
        <f>_xlfn.TEXTJOIN("_",TRUE,C736,"node_eff",D736,M736,N736)</f>
        <v>s1_node_eff_relic_52_6</v>
      </c>
    </row>
    <row r="737" spans="1:20" x14ac:dyDescent="0.45">
      <c r="A737" s="0" t="str">
        <f>_xlfn.TEXTJOIN("_",TRUE,C737,"node",D737,M737,N737)</f>
        <v>s1_node_relic_53_2</v>
      </c>
      <c r="B737" s="0" t="s">
        <v>0</v>
      </c>
      <c r="C737" s="0" t="s">
        <v>26</v>
      </c>
      <c r="D737" s="0" t="s">
        <v>105</v>
      </c>
      <c r="E737" s="0" t="str">
        <f>"s1_node_"&amp;D737&amp;"_name"</f>
        <v>s1_node_relic_name</v>
      </c>
      <c r="F737" s="13" t="str">
        <f>"s1_node_"&amp;D737&amp;"_desc"</f>
        <v>s1_node_relic_desc</v>
      </c>
      <c r="G737" s="0" t="s">
        <v>138</v>
      </c>
      <c r="H737" s="0">
        <v>3</v>
      </c>
      <c r="I737" s="0" t="s">
        <v>27</v>
      </c>
      <c r="J737" s="0" t="s">
        <v>867</v>
      </c>
      <c r="K737" s="0">
        <v>2140</v>
      </c>
      <c r="L737" s="13">
        <v>3</v>
      </c>
      <c r="M737" s="0">
        <v>53</v>
      </c>
      <c r="N737" s="0">
        <v>2</v>
      </c>
      <c r="P737" s="0" t="s">
        <v>868</v>
      </c>
      <c r="T737" s="0" t="str">
        <f>_xlfn.TEXTJOIN("_",TRUE,C737,"node_eff",D737,M737,N737)</f>
        <v>s1_node_eff_relic_53_2</v>
      </c>
    </row>
    <row r="738" spans="1:20" x14ac:dyDescent="0.45">
      <c r="A738" s="0" t="str">
        <f>_xlfn.TEXTJOIN("_",TRUE,C738,"node",D738,M738,N738)</f>
        <v>s1_node_relic_53_6</v>
      </c>
      <c r="B738" s="0" t="s">
        <v>0</v>
      </c>
      <c r="C738" s="0" t="s">
        <v>26</v>
      </c>
      <c r="D738" s="0" t="s">
        <v>105</v>
      </c>
      <c r="E738" s="0" t="str">
        <f>"s1_node_"&amp;D738&amp;"_name"</f>
        <v>s1_node_relic_name</v>
      </c>
      <c r="F738" s="13" t="str">
        <f>"s1_node_"&amp;D738&amp;"_desc"</f>
        <v>s1_node_relic_desc</v>
      </c>
      <c r="G738" s="0" t="s">
        <v>149</v>
      </c>
      <c r="H738" s="0">
        <v>3</v>
      </c>
      <c r="I738" s="0" t="s">
        <v>27</v>
      </c>
      <c r="J738" s="0" t="s">
        <v>867</v>
      </c>
      <c r="K738" s="0">
        <v>2140</v>
      </c>
      <c r="L738" s="13">
        <v>3</v>
      </c>
      <c r="M738" s="0">
        <v>53</v>
      </c>
      <c r="N738" s="0">
        <v>6</v>
      </c>
      <c r="P738" s="0" t="s">
        <v>869</v>
      </c>
      <c r="T738" s="0" t="str">
        <f>_xlfn.TEXTJOIN("_",TRUE,C738,"node_eff",D738,M738,N738)</f>
        <v>s1_node_eff_relic_53_6</v>
      </c>
    </row>
    <row r="739" spans="1:20" x14ac:dyDescent="0.45">
      <c r="A739" s="0" t="str">
        <f>_xlfn.TEXTJOIN("_",TRUE,C739,"node",D739,M739,N739)</f>
        <v>s1_node_relic_54_2</v>
      </c>
      <c r="B739" s="0" t="s">
        <v>0</v>
      </c>
      <c r="C739" s="0" t="s">
        <v>26</v>
      </c>
      <c r="D739" s="0" t="s">
        <v>105</v>
      </c>
      <c r="E739" s="0" t="str">
        <f>"s1_node_"&amp;D739&amp;"_name"</f>
        <v>s1_node_relic_name</v>
      </c>
      <c r="F739" s="13" t="str">
        <f>"s1_node_"&amp;D739&amp;"_desc"</f>
        <v>s1_node_relic_desc</v>
      </c>
      <c r="G739" s="0" t="s">
        <v>149</v>
      </c>
      <c r="H739" s="0">
        <v>3</v>
      </c>
      <c r="I739" s="0" t="s">
        <v>27</v>
      </c>
      <c r="J739" s="0" t="s">
        <v>307</v>
      </c>
      <c r="K739" s="0">
        <v>2170</v>
      </c>
      <c r="L739" s="13">
        <v>3</v>
      </c>
      <c r="M739" s="0">
        <v>54</v>
      </c>
      <c r="N739" s="0">
        <v>2</v>
      </c>
      <c r="T739" s="0" t="str">
        <f>_xlfn.TEXTJOIN("_",TRUE,C739,"node_eff",D739,M739,N739)</f>
        <v>s1_node_eff_relic_54_2</v>
      </c>
    </row>
    <row r="740" spans="1:20" x14ac:dyDescent="0.45">
      <c r="A740" s="0" t="str">
        <f>_xlfn.TEXTJOIN("_",TRUE,C740,"node",D740,M740,N740)</f>
        <v>s1_node_relic_54_4</v>
      </c>
      <c r="B740" s="0" t="s">
        <v>0</v>
      </c>
      <c r="C740" s="0" t="s">
        <v>26</v>
      </c>
      <c r="D740" s="0" t="s">
        <v>105</v>
      </c>
      <c r="E740" s="0" t="str">
        <f>"s1_node_"&amp;D740&amp;"_name"</f>
        <v>s1_node_relic_name</v>
      </c>
      <c r="F740" s="13" t="str">
        <f>"s1_node_"&amp;D740&amp;"_desc"</f>
        <v>s1_node_relic_desc</v>
      </c>
      <c r="G740" s="0" t="s">
        <v>795</v>
      </c>
      <c r="H740" s="0">
        <v>3</v>
      </c>
      <c r="I740" s="0" t="s">
        <v>27</v>
      </c>
      <c r="J740" s="0" t="s">
        <v>307</v>
      </c>
      <c r="K740" s="0">
        <v>2170</v>
      </c>
      <c r="L740" s="13">
        <v>3</v>
      </c>
      <c r="M740" s="0">
        <v>54</v>
      </c>
      <c r="N740" s="0">
        <v>4</v>
      </c>
      <c r="P740" s="0" t="s">
        <v>870</v>
      </c>
      <c r="T740" s="0" t="str">
        <f>_xlfn.TEXTJOIN("_",TRUE,C740,"node_eff",D740,M740,N740)</f>
        <v>s1_node_eff_relic_54_4</v>
      </c>
    </row>
    <row r="741" spans="1:20" x14ac:dyDescent="0.45">
      <c r="A741" s="0" t="str">
        <f>_xlfn.TEXTJOIN("_",TRUE,C741,"node",D741,M741,N741)</f>
        <v>s1_node_relic_54_6</v>
      </c>
      <c r="B741" s="0" t="s">
        <v>0</v>
      </c>
      <c r="C741" s="0" t="s">
        <v>26</v>
      </c>
      <c r="D741" s="0" t="s">
        <v>105</v>
      </c>
      <c r="E741" s="0" t="str">
        <f>"s1_node_"&amp;D741&amp;"_name"</f>
        <v>s1_node_relic_name</v>
      </c>
      <c r="F741" s="13" t="str">
        <f>"s1_node_"&amp;D741&amp;"_desc"</f>
        <v>s1_node_relic_desc</v>
      </c>
      <c r="G741" s="0" t="s">
        <v>138</v>
      </c>
      <c r="H741" s="0">
        <v>3</v>
      </c>
      <c r="I741" s="0" t="s">
        <v>27</v>
      </c>
      <c r="J741" s="0" t="s">
        <v>307</v>
      </c>
      <c r="K741" s="0">
        <v>2170</v>
      </c>
      <c r="L741" s="13">
        <v>3</v>
      </c>
      <c r="M741" s="0">
        <v>54</v>
      </c>
      <c r="N741" s="0">
        <v>6</v>
      </c>
      <c r="T741" s="0" t="str">
        <f>_xlfn.TEXTJOIN("_",TRUE,C741,"node_eff",D741,M741,N741)</f>
        <v>s1_node_eff_relic_54_6</v>
      </c>
    </row>
    <row r="742" spans="1:20" x14ac:dyDescent="0.45">
      <c r="A742" s="0" t="str">
        <f>_xlfn.TEXTJOIN("_",TRUE,C742,"node",D742,M742,N742)</f>
        <v>s1_node_relic_55_2</v>
      </c>
      <c r="B742" s="0" t="s">
        <v>0</v>
      </c>
      <c r="C742" s="0" t="s">
        <v>26</v>
      </c>
      <c r="D742" s="0" t="s">
        <v>105</v>
      </c>
      <c r="E742" s="0" t="str">
        <f>"s1_node_"&amp;D742&amp;"_name"</f>
        <v>s1_node_relic_name</v>
      </c>
      <c r="F742" s="13" t="str">
        <f>"s1_node_"&amp;D742&amp;"_desc"</f>
        <v>s1_node_relic_desc</v>
      </c>
      <c r="G742" s="0" t="s">
        <v>149</v>
      </c>
      <c r="H742" s="0">
        <v>3</v>
      </c>
      <c r="I742" s="0" t="s">
        <v>27</v>
      </c>
      <c r="J742" s="0" t="s">
        <v>871</v>
      </c>
      <c r="K742" s="0">
        <v>2210</v>
      </c>
      <c r="L742" s="13">
        <v>3</v>
      </c>
      <c r="M742" s="0">
        <v>55</v>
      </c>
      <c r="N742" s="0">
        <v>2</v>
      </c>
      <c r="P742" s="0" t="s">
        <v>872</v>
      </c>
      <c r="T742" s="0" t="str">
        <f>_xlfn.TEXTJOIN("_",TRUE,C742,"node_eff",D742,M742,N742)</f>
        <v>s1_node_eff_relic_55_2</v>
      </c>
    </row>
    <row r="743" spans="1:20" x14ac:dyDescent="0.45">
      <c r="A743" s="0" t="str">
        <f>_xlfn.TEXTJOIN("_",TRUE,C743,"node",D743,M743,N743)</f>
        <v>s1_node_relic_55_6</v>
      </c>
      <c r="B743" s="0" t="s">
        <v>0</v>
      </c>
      <c r="C743" s="0" t="s">
        <v>26</v>
      </c>
      <c r="D743" s="0" t="s">
        <v>105</v>
      </c>
      <c r="E743" s="0" t="str">
        <f>"s1_node_"&amp;D743&amp;"_name"</f>
        <v>s1_node_relic_name</v>
      </c>
      <c r="F743" s="13" t="str">
        <f>"s1_node_"&amp;D743&amp;"_desc"</f>
        <v>s1_node_relic_desc</v>
      </c>
      <c r="G743" s="0" t="s">
        <v>788</v>
      </c>
      <c r="H743" s="0">
        <v>3</v>
      </c>
      <c r="I743" s="0" t="s">
        <v>27</v>
      </c>
      <c r="J743" s="0" t="s">
        <v>871</v>
      </c>
      <c r="K743" s="0">
        <v>2210</v>
      </c>
      <c r="L743" s="13">
        <v>3</v>
      </c>
      <c r="M743" s="0">
        <v>55</v>
      </c>
      <c r="N743" s="0">
        <v>6</v>
      </c>
      <c r="P743" s="0" t="s">
        <v>873</v>
      </c>
      <c r="T743" s="0" t="str">
        <f>_xlfn.TEXTJOIN("_",TRUE,C743,"node_eff",D743,M743,N743)</f>
        <v>s1_node_eff_relic_55_6</v>
      </c>
    </row>
    <row r="744" spans="1:20" x14ac:dyDescent="0.45">
      <c r="A744" s="0" t="str">
        <f>_xlfn.TEXTJOIN("_",TRUE,C744,"node",D744,M744,N744)</f>
        <v>s1_node_relic_56_4</v>
      </c>
      <c r="B744" s="0" t="s">
        <v>0</v>
      </c>
      <c r="C744" s="0" t="s">
        <v>26</v>
      </c>
      <c r="D744" s="0" t="s">
        <v>105</v>
      </c>
      <c r="E744" s="0" t="str">
        <f>"s1_node_"&amp;D744&amp;"_name"</f>
        <v>s1_node_relic_name</v>
      </c>
      <c r="F744" s="13" t="str">
        <f>"s1_node_"&amp;D744&amp;"_desc"</f>
        <v>s1_node_relic_desc</v>
      </c>
      <c r="G744" s="0" t="s">
        <v>149</v>
      </c>
      <c r="H744" s="0">
        <v>3</v>
      </c>
      <c r="I744" s="0" t="s">
        <v>27</v>
      </c>
      <c r="J744" s="0" t="s">
        <v>874</v>
      </c>
      <c r="K744" s="0">
        <v>2250</v>
      </c>
      <c r="L744" s="13">
        <v>3</v>
      </c>
      <c r="M744" s="0">
        <v>56</v>
      </c>
      <c r="N744" s="0">
        <v>4</v>
      </c>
      <c r="P744" s="0" t="s">
        <v>875</v>
      </c>
      <c r="T744" s="0" t="str">
        <f>_xlfn.TEXTJOIN("_",TRUE,C744,"node_eff",D744,M744,N744)</f>
        <v>s1_node_eff_relic_56_4</v>
      </c>
    </row>
    <row r="745" spans="1:20" x14ac:dyDescent="0.45">
      <c r="A745" s="0" t="str">
        <f>_xlfn.TEXTJOIN("_",TRUE,C745,"node",D745,M745,N745)</f>
        <v>s1_node_relic_57_2</v>
      </c>
      <c r="B745" s="0" t="s">
        <v>0</v>
      </c>
      <c r="C745" s="0" t="s">
        <v>26</v>
      </c>
      <c r="D745" s="0" t="s">
        <v>105</v>
      </c>
      <c r="E745" s="0" t="str">
        <f>"s1_node_"&amp;D745&amp;"_name"</f>
        <v>s1_node_relic_name</v>
      </c>
      <c r="F745" s="13" t="str">
        <f>"s1_node_"&amp;D745&amp;"_desc"</f>
        <v>s1_node_relic_desc</v>
      </c>
      <c r="G745" s="0" t="s">
        <v>142</v>
      </c>
      <c r="H745" s="0">
        <v>3</v>
      </c>
      <c r="I745" s="0" t="s">
        <v>27</v>
      </c>
      <c r="J745" s="0" t="s">
        <v>539</v>
      </c>
      <c r="K745" s="0">
        <v>2290</v>
      </c>
      <c r="L745" s="13">
        <v>3</v>
      </c>
      <c r="M745" s="0">
        <v>57</v>
      </c>
      <c r="N745" s="0">
        <v>2</v>
      </c>
      <c r="T745" s="0" t="str">
        <f>_xlfn.TEXTJOIN("_",TRUE,C745,"node_eff",D745,M745,N745)</f>
        <v>s1_node_eff_relic_57_2</v>
      </c>
    </row>
    <row r="746" spans="1:20" x14ac:dyDescent="0.45">
      <c r="A746" s="0" t="str">
        <f>_xlfn.TEXTJOIN("_",TRUE,C746,"node",D746,M746,N746)</f>
        <v>s1_node_relic_57_4</v>
      </c>
      <c r="B746" s="0" t="s">
        <v>0</v>
      </c>
      <c r="C746" s="0" t="s">
        <v>26</v>
      </c>
      <c r="D746" s="0" t="s">
        <v>105</v>
      </c>
      <c r="E746" s="0" t="str">
        <f>"s1_node_"&amp;D746&amp;"_name"</f>
        <v>s1_node_relic_name</v>
      </c>
      <c r="F746" s="13" t="str">
        <f>"s1_node_"&amp;D746&amp;"_desc"</f>
        <v>s1_node_relic_desc</v>
      </c>
      <c r="G746" s="0" t="s">
        <v>419</v>
      </c>
      <c r="H746" s="0">
        <v>3</v>
      </c>
      <c r="I746" s="0" t="s">
        <v>27</v>
      </c>
      <c r="J746" s="0" t="s">
        <v>539</v>
      </c>
      <c r="K746" s="0">
        <v>2290</v>
      </c>
      <c r="L746" s="13">
        <v>3</v>
      </c>
      <c r="M746" s="0">
        <v>57</v>
      </c>
      <c r="N746" s="0">
        <v>4</v>
      </c>
      <c r="T746" s="0" t="str">
        <f>_xlfn.TEXTJOIN("_",TRUE,C746,"node_eff",D746,M746,N746)</f>
        <v>s1_node_eff_relic_57_4</v>
      </c>
    </row>
    <row r="747" spans="1:20" x14ac:dyDescent="0.45">
      <c r="A747" s="0" t="str">
        <f>_xlfn.TEXTJOIN("_",TRUE,C747,"node",D747,M747,N747)</f>
        <v>s1_node_relic_57_6</v>
      </c>
      <c r="B747" s="0" t="s">
        <v>0</v>
      </c>
      <c r="C747" s="0" t="s">
        <v>26</v>
      </c>
      <c r="D747" s="0" t="s">
        <v>105</v>
      </c>
      <c r="E747" s="0" t="str">
        <f>"s1_node_"&amp;D747&amp;"_name"</f>
        <v>s1_node_relic_name</v>
      </c>
      <c r="F747" s="13" t="str">
        <f>"s1_node_"&amp;D747&amp;"_desc"</f>
        <v>s1_node_relic_desc</v>
      </c>
      <c r="G747" s="0" t="s">
        <v>138</v>
      </c>
      <c r="H747" s="0">
        <v>3</v>
      </c>
      <c r="I747" s="0" t="s">
        <v>27</v>
      </c>
      <c r="J747" s="0" t="s">
        <v>539</v>
      </c>
      <c r="K747" s="0">
        <v>2290</v>
      </c>
      <c r="L747" s="13">
        <v>3</v>
      </c>
      <c r="M747" s="0">
        <v>57</v>
      </c>
      <c r="N747" s="0">
        <v>6</v>
      </c>
      <c r="T747" s="0" t="str">
        <f>_xlfn.TEXTJOIN("_",TRUE,C747,"node_eff",D747,M747,N747)</f>
        <v>s1_node_eff_relic_57_6</v>
      </c>
    </row>
    <row r="748" spans="1:20" x14ac:dyDescent="0.45">
      <c r="A748" s="0" t="str">
        <f>_xlfn.TEXTJOIN("_",TRUE,C748,"node",D748,M748,N748)</f>
        <v>s1_node_relic_58_2</v>
      </c>
      <c r="B748" s="0" t="s">
        <v>0</v>
      </c>
      <c r="C748" s="0" t="s">
        <v>26</v>
      </c>
      <c r="D748" s="0" t="s">
        <v>105</v>
      </c>
      <c r="E748" s="0" t="str">
        <f>"s1_node_"&amp;D748&amp;"_name"</f>
        <v>s1_node_relic_name</v>
      </c>
      <c r="F748" s="13" t="str">
        <f>"s1_node_"&amp;D748&amp;"_desc"</f>
        <v>s1_node_relic_desc</v>
      </c>
      <c r="G748" s="0" t="s">
        <v>149</v>
      </c>
      <c r="H748" s="0">
        <v>3</v>
      </c>
      <c r="I748" s="0" t="s">
        <v>27</v>
      </c>
      <c r="J748" s="0" t="s">
        <v>540</v>
      </c>
      <c r="K748" s="0">
        <v>2330</v>
      </c>
      <c r="L748" s="13">
        <v>3</v>
      </c>
      <c r="M748" s="0">
        <v>58</v>
      </c>
      <c r="N748" s="0">
        <v>2</v>
      </c>
      <c r="P748" s="0" t="s">
        <v>876</v>
      </c>
      <c r="T748" s="0" t="str">
        <f>_xlfn.TEXTJOIN("_",TRUE,C748,"node_eff",D748,M748,N748)</f>
        <v>s1_node_eff_relic_58_2</v>
      </c>
    </row>
    <row r="749" spans="1:20" x14ac:dyDescent="0.45">
      <c r="A749" s="0" t="str">
        <f>_xlfn.TEXTJOIN("_",TRUE,C749,"node",D749,M749,N749)</f>
        <v>s1_node_relic_58_6</v>
      </c>
      <c r="B749" s="0" t="s">
        <v>0</v>
      </c>
      <c r="C749" s="0" t="s">
        <v>26</v>
      </c>
      <c r="D749" s="0" t="s">
        <v>105</v>
      </c>
      <c r="E749" s="0" t="str">
        <f>"s1_node_"&amp;D749&amp;"_name"</f>
        <v>s1_node_relic_name</v>
      </c>
      <c r="F749" s="13" t="str">
        <f>"s1_node_"&amp;D749&amp;"_desc"</f>
        <v>s1_node_relic_desc</v>
      </c>
      <c r="G749" s="0" t="s">
        <v>149</v>
      </c>
      <c r="H749" s="0">
        <v>3</v>
      </c>
      <c r="I749" s="0" t="s">
        <v>27</v>
      </c>
      <c r="J749" s="0" t="s">
        <v>540</v>
      </c>
      <c r="K749" s="0">
        <v>2330</v>
      </c>
      <c r="L749" s="13">
        <v>3</v>
      </c>
      <c r="M749" s="0">
        <v>58</v>
      </c>
      <c r="N749" s="0">
        <v>6</v>
      </c>
      <c r="P749" s="0" t="s">
        <v>877</v>
      </c>
      <c r="T749" s="0" t="str">
        <f>_xlfn.TEXTJOIN("_",TRUE,C749,"node_eff",D749,M749,N749)</f>
        <v>s1_node_eff_relic_58_6</v>
      </c>
    </row>
    <row r="750" spans="1:20" x14ac:dyDescent="0.45">
      <c r="A750" s="0" t="str">
        <f>_xlfn.TEXTJOIN("_",TRUE,C750,"node",D750,M750,N750)</f>
        <v>s1_node_relic_59_2</v>
      </c>
      <c r="B750" s="0" t="s">
        <v>0</v>
      </c>
      <c r="C750" s="0" t="s">
        <v>26</v>
      </c>
      <c r="D750" s="0" t="s">
        <v>105</v>
      </c>
      <c r="E750" s="0" t="str">
        <f>"s1_node_"&amp;D750&amp;"_name"</f>
        <v>s1_node_relic_name</v>
      </c>
      <c r="F750" s="13" t="str">
        <f>"s1_node_"&amp;D750&amp;"_desc"</f>
        <v>s1_node_relic_desc</v>
      </c>
      <c r="G750" s="0" t="s">
        <v>795</v>
      </c>
      <c r="H750" s="0">
        <v>3</v>
      </c>
      <c r="I750" s="0" t="s">
        <v>27</v>
      </c>
      <c r="J750" s="0" t="s">
        <v>543</v>
      </c>
      <c r="K750" s="0">
        <v>2360</v>
      </c>
      <c r="L750" s="13">
        <v>3</v>
      </c>
      <c r="M750" s="0">
        <v>59</v>
      </c>
      <c r="N750" s="0">
        <v>2</v>
      </c>
      <c r="T750" s="0" t="str">
        <f>_xlfn.TEXTJOIN("_",TRUE,C750,"node_eff",D750,M750,N750)</f>
        <v>s1_node_eff_relic_59_2</v>
      </c>
    </row>
    <row r="751" spans="1:20" x14ac:dyDescent="0.45">
      <c r="A751" s="0" t="str">
        <f>_xlfn.TEXTJOIN("_",TRUE,C751,"node",D751,M751,N751)</f>
        <v>s1_node_relic_59_4</v>
      </c>
      <c r="B751" s="0" t="s">
        <v>0</v>
      </c>
      <c r="C751" s="0" t="s">
        <v>26</v>
      </c>
      <c r="D751" s="0" t="s">
        <v>105</v>
      </c>
      <c r="E751" s="0" t="str">
        <f>"s1_node_"&amp;D751&amp;"_name"</f>
        <v>s1_node_relic_name</v>
      </c>
      <c r="F751" s="13" t="str">
        <f>"s1_node_"&amp;D751&amp;"_desc"</f>
        <v>s1_node_relic_desc</v>
      </c>
      <c r="G751" s="0" t="s">
        <v>138</v>
      </c>
      <c r="H751" s="0">
        <v>3</v>
      </c>
      <c r="I751" s="0" t="s">
        <v>27</v>
      </c>
      <c r="J751" s="0" t="s">
        <v>543</v>
      </c>
      <c r="K751" s="0">
        <v>2360</v>
      </c>
      <c r="L751" s="13">
        <v>3</v>
      </c>
      <c r="M751" s="0">
        <v>59</v>
      </c>
      <c r="N751" s="0">
        <v>4</v>
      </c>
      <c r="P751" s="0" t="s">
        <v>878</v>
      </c>
      <c r="T751" s="0" t="str">
        <f>_xlfn.TEXTJOIN("_",TRUE,C751,"node_eff",D751,M751,N751)</f>
        <v>s1_node_eff_relic_59_4</v>
      </c>
    </row>
    <row r="752" spans="1:20" x14ac:dyDescent="0.45">
      <c r="A752" s="0" t="str">
        <f>_xlfn.TEXTJOIN("_",TRUE,C752,"node",D752,M752,N752)</f>
        <v>s1_node_relic_59_6</v>
      </c>
      <c r="B752" s="0" t="s">
        <v>0</v>
      </c>
      <c r="C752" s="0" t="s">
        <v>26</v>
      </c>
      <c r="D752" s="0" t="s">
        <v>105</v>
      </c>
      <c r="E752" s="0" t="str">
        <f>"s1_node_"&amp;D752&amp;"_name"</f>
        <v>s1_node_relic_name</v>
      </c>
      <c r="F752" s="13" t="str">
        <f>"s1_node_"&amp;D752&amp;"_desc"</f>
        <v>s1_node_relic_desc</v>
      </c>
      <c r="G752" s="0" t="s">
        <v>149</v>
      </c>
      <c r="H752" s="0">
        <v>3</v>
      </c>
      <c r="I752" s="0" t="s">
        <v>27</v>
      </c>
      <c r="J752" s="0" t="s">
        <v>543</v>
      </c>
      <c r="K752" s="0">
        <v>2360</v>
      </c>
      <c r="L752" s="13">
        <v>3</v>
      </c>
      <c r="M752" s="0">
        <v>59</v>
      </c>
      <c r="N752" s="0">
        <v>6</v>
      </c>
      <c r="T752" s="0" t="str">
        <f>_xlfn.TEXTJOIN("_",TRUE,C752,"node_eff",D752,M752,N752)</f>
        <v>s1_node_eff_relic_59_6</v>
      </c>
    </row>
    <row r="753" spans="1:20" x14ac:dyDescent="0.45">
      <c r="A753" s="0" t="str">
        <f>_xlfn.TEXTJOIN("_",TRUE,C753,"node",D753,M753,N753)</f>
        <v>s1_node_relic_60_2</v>
      </c>
      <c r="B753" s="0" t="s">
        <v>0</v>
      </c>
      <c r="C753" s="0" t="s">
        <v>26</v>
      </c>
      <c r="D753" s="0" t="s">
        <v>105</v>
      </c>
      <c r="E753" s="0" t="str">
        <f>"s1_node_"&amp;D753&amp;"_name"</f>
        <v>s1_node_relic_name</v>
      </c>
      <c r="F753" s="13" t="str">
        <f>"s1_node_"&amp;D753&amp;"_desc"</f>
        <v>s1_node_relic_desc</v>
      </c>
      <c r="G753" s="0" t="s">
        <v>788</v>
      </c>
      <c r="H753" s="0">
        <v>3</v>
      </c>
      <c r="I753" s="0" t="s">
        <v>27</v>
      </c>
      <c r="J753" s="0" t="s">
        <v>545</v>
      </c>
      <c r="K753" s="0">
        <v>2400</v>
      </c>
      <c r="L753" s="13">
        <v>3</v>
      </c>
      <c r="M753" s="0">
        <v>60</v>
      </c>
      <c r="N753" s="0">
        <v>2</v>
      </c>
      <c r="P753" s="0" t="s">
        <v>879</v>
      </c>
      <c r="T753" s="0" t="str">
        <f>_xlfn.TEXTJOIN("_",TRUE,C753,"node_eff",D753,M753,N753)</f>
        <v>s1_node_eff_relic_60_2</v>
      </c>
    </row>
    <row r="754" spans="1:20" x14ac:dyDescent="0.45">
      <c r="A754" s="0" t="str">
        <f>_xlfn.TEXTJOIN("_",TRUE,C754,"node",D754,M754,N754)</f>
        <v>s1_node_relic_60_6</v>
      </c>
      <c r="B754" s="0" t="s">
        <v>0</v>
      </c>
      <c r="C754" s="0" t="s">
        <v>26</v>
      </c>
      <c r="D754" s="0" t="s">
        <v>105</v>
      </c>
      <c r="E754" s="0" t="str">
        <f>"s1_node_"&amp;D754&amp;"_name"</f>
        <v>s1_node_relic_name</v>
      </c>
      <c r="F754" s="13" t="str">
        <f>"s1_node_"&amp;D754&amp;"_desc"</f>
        <v>s1_node_relic_desc</v>
      </c>
      <c r="G754" s="0" t="s">
        <v>149</v>
      </c>
      <c r="H754" s="0">
        <v>3</v>
      </c>
      <c r="I754" s="0" t="s">
        <v>27</v>
      </c>
      <c r="J754" s="0" t="s">
        <v>545</v>
      </c>
      <c r="K754" s="0">
        <v>2400</v>
      </c>
      <c r="L754" s="13">
        <v>3</v>
      </c>
      <c r="M754" s="0">
        <v>60</v>
      </c>
      <c r="N754" s="0">
        <v>6</v>
      </c>
      <c r="P754" s="0" t="s">
        <v>880</v>
      </c>
      <c r="T754" s="0" t="str">
        <f>_xlfn.TEXTJOIN("_",TRUE,C754,"node_eff",D754,M754,N754)</f>
        <v>s1_node_eff_relic_60_6</v>
      </c>
    </row>
    <row r="755" spans="1:20" x14ac:dyDescent="0.45">
      <c r="A755" s="0" t="str">
        <f>_xlfn.TEXTJOIN("_",TRUE,C755,"node",D755,M755,N755)</f>
        <v>s1_node_relic_61_4</v>
      </c>
      <c r="B755" s="0" t="s">
        <v>0</v>
      </c>
      <c r="C755" s="0" t="s">
        <v>26</v>
      </c>
      <c r="D755" s="0" t="s">
        <v>105</v>
      </c>
      <c r="E755" s="0" t="str">
        <f>"s1_node_"&amp;D755&amp;"_name"</f>
        <v>s1_node_relic_name</v>
      </c>
      <c r="F755" s="13" t="str">
        <f>"s1_node_"&amp;D755&amp;"_desc"</f>
        <v>s1_node_relic_desc</v>
      </c>
      <c r="G755" s="0" t="s">
        <v>142</v>
      </c>
      <c r="H755" s="0">
        <v>4</v>
      </c>
      <c r="I755" s="0" t="s">
        <v>27</v>
      </c>
      <c r="J755" s="0" t="s">
        <v>329</v>
      </c>
      <c r="K755" s="0">
        <v>2440</v>
      </c>
      <c r="L755" s="13">
        <v>3</v>
      </c>
      <c r="M755" s="0">
        <v>61</v>
      </c>
      <c r="N755" s="0">
        <v>4</v>
      </c>
      <c r="P755" s="0" t="s">
        <v>881</v>
      </c>
      <c r="T755" s="0" t="str">
        <f>_xlfn.TEXTJOIN("_",TRUE,C755,"node_eff",D755,M755,N755)</f>
        <v>s1_node_eff_relic_61_4</v>
      </c>
    </row>
    <row r="756" spans="1:20" x14ac:dyDescent="0.45">
      <c r="A756" s="0" t="str">
        <f>_xlfn.TEXTJOIN("_",TRUE,C756,"node",D756,M756,N756)</f>
        <v>s1_node_relic_62_2</v>
      </c>
      <c r="B756" s="0" t="s">
        <v>0</v>
      </c>
      <c r="C756" s="0" t="s">
        <v>26</v>
      </c>
      <c r="D756" s="0" t="s">
        <v>105</v>
      </c>
      <c r="E756" s="0" t="str">
        <f>"s1_node_"&amp;D756&amp;"_name"</f>
        <v>s1_node_relic_name</v>
      </c>
      <c r="F756" s="13" t="str">
        <f>"s1_node_"&amp;D756&amp;"_desc"</f>
        <v>s1_node_relic_desc</v>
      </c>
      <c r="G756" s="0" t="s">
        <v>419</v>
      </c>
      <c r="H756" s="0">
        <v>4</v>
      </c>
      <c r="I756" s="0" t="s">
        <v>27</v>
      </c>
      <c r="J756" s="0" t="s">
        <v>332</v>
      </c>
      <c r="K756" s="0">
        <v>2480</v>
      </c>
      <c r="L756" s="13">
        <v>3</v>
      </c>
      <c r="M756" s="0">
        <v>62</v>
      </c>
      <c r="N756" s="0">
        <v>2</v>
      </c>
      <c r="T756" s="0" t="str">
        <f>_xlfn.TEXTJOIN("_",TRUE,C756,"node_eff",D756,M756,N756)</f>
        <v>s1_node_eff_relic_62_2</v>
      </c>
    </row>
    <row r="757" spans="1:20" x14ac:dyDescent="0.45">
      <c r="A757" s="0" t="str">
        <f>_xlfn.TEXTJOIN("_",TRUE,C757,"node",D757,M757,N757)</f>
        <v>s1_node_relic_62_4</v>
      </c>
      <c r="B757" s="0" t="s">
        <v>0</v>
      </c>
      <c r="C757" s="0" t="s">
        <v>26</v>
      </c>
      <c r="D757" s="0" t="s">
        <v>105</v>
      </c>
      <c r="E757" s="0" t="str">
        <f>"s1_node_"&amp;D757&amp;"_name"</f>
        <v>s1_node_relic_name</v>
      </c>
      <c r="F757" s="13" t="str">
        <f>"s1_node_"&amp;D757&amp;"_desc"</f>
        <v>s1_node_relic_desc</v>
      </c>
      <c r="G757" s="0" t="s">
        <v>138</v>
      </c>
      <c r="H757" s="0">
        <v>4</v>
      </c>
      <c r="I757" s="0" t="s">
        <v>27</v>
      </c>
      <c r="J757" s="0" t="s">
        <v>332</v>
      </c>
      <c r="K757" s="0">
        <v>2480</v>
      </c>
      <c r="L757" s="13">
        <v>3</v>
      </c>
      <c r="M757" s="0">
        <v>62</v>
      </c>
      <c r="N757" s="0">
        <v>4</v>
      </c>
      <c r="T757" s="0" t="str">
        <f>_xlfn.TEXTJOIN("_",TRUE,C757,"node_eff",D757,M757,N757)</f>
        <v>s1_node_eff_relic_62_4</v>
      </c>
    </row>
    <row r="758" spans="1:20" x14ac:dyDescent="0.45">
      <c r="A758" s="0" t="str">
        <f>_xlfn.TEXTJOIN("_",TRUE,C758,"node",D758,M758,N758)</f>
        <v>s1_node_relic_62_6</v>
      </c>
      <c r="B758" s="0" t="s">
        <v>0</v>
      </c>
      <c r="C758" s="0" t="s">
        <v>26</v>
      </c>
      <c r="D758" s="0" t="s">
        <v>105</v>
      </c>
      <c r="E758" s="0" t="str">
        <f>"s1_node_"&amp;D758&amp;"_name"</f>
        <v>s1_node_relic_name</v>
      </c>
      <c r="F758" s="13" t="str">
        <f>"s1_node_"&amp;D758&amp;"_desc"</f>
        <v>s1_node_relic_desc</v>
      </c>
      <c r="G758" s="0" t="s">
        <v>149</v>
      </c>
      <c r="H758" s="0">
        <v>4</v>
      </c>
      <c r="I758" s="0" t="s">
        <v>27</v>
      </c>
      <c r="J758" s="0" t="s">
        <v>332</v>
      </c>
      <c r="K758" s="0">
        <v>2480</v>
      </c>
      <c r="L758" s="13">
        <v>3</v>
      </c>
      <c r="M758" s="0">
        <v>62</v>
      </c>
      <c r="N758" s="0">
        <v>6</v>
      </c>
      <c r="T758" s="0" t="str">
        <f>_xlfn.TEXTJOIN("_",TRUE,C758,"node_eff",D758,M758,N758)</f>
        <v>s1_node_eff_relic_62_6</v>
      </c>
    </row>
    <row r="759" spans="1:20" x14ac:dyDescent="0.45">
      <c r="A759" s="0" t="str">
        <f>_xlfn.TEXTJOIN("_",TRUE,C759,"node",D759,M759,N759)</f>
        <v>s1_node_relic_63_2</v>
      </c>
      <c r="B759" s="0" t="s">
        <v>0</v>
      </c>
      <c r="C759" s="0" t="s">
        <v>26</v>
      </c>
      <c r="D759" s="0" t="s">
        <v>105</v>
      </c>
      <c r="E759" s="0" t="str">
        <f>"s1_node_"&amp;D759&amp;"_name"</f>
        <v>s1_node_relic_name</v>
      </c>
      <c r="F759" s="13" t="str">
        <f>"s1_node_"&amp;D759&amp;"_desc"</f>
        <v>s1_node_relic_desc</v>
      </c>
      <c r="G759" s="0" t="s">
        <v>149</v>
      </c>
      <c r="H759" s="0">
        <v>4</v>
      </c>
      <c r="I759" s="0" t="s">
        <v>27</v>
      </c>
      <c r="J759" s="0" t="s">
        <v>882</v>
      </c>
      <c r="K759" s="0">
        <v>2520</v>
      </c>
      <c r="L759" s="13">
        <v>3</v>
      </c>
      <c r="M759" s="0">
        <v>63</v>
      </c>
      <c r="N759" s="0">
        <v>2</v>
      </c>
      <c r="P759" s="0" t="s">
        <v>883</v>
      </c>
      <c r="T759" s="0" t="str">
        <f>_xlfn.TEXTJOIN("_",TRUE,C759,"node_eff",D759,M759,N759)</f>
        <v>s1_node_eff_relic_63_2</v>
      </c>
    </row>
    <row r="760" spans="1:20" x14ac:dyDescent="0.45">
      <c r="A760" s="0" t="str">
        <f>_xlfn.TEXTJOIN("_",TRUE,C760,"node",D760,M760,N760)</f>
        <v>s1_node_relic_63_6</v>
      </c>
      <c r="B760" s="0" t="s">
        <v>0</v>
      </c>
      <c r="C760" s="0" t="s">
        <v>26</v>
      </c>
      <c r="D760" s="0" t="s">
        <v>105</v>
      </c>
      <c r="E760" s="0" t="str">
        <f>"s1_node_"&amp;D760&amp;"_name"</f>
        <v>s1_node_relic_name</v>
      </c>
      <c r="F760" s="13" t="str">
        <f>"s1_node_"&amp;D760&amp;"_desc"</f>
        <v>s1_node_relic_desc</v>
      </c>
      <c r="G760" s="0" t="s">
        <v>795</v>
      </c>
      <c r="H760" s="0">
        <v>4</v>
      </c>
      <c r="I760" s="0" t="s">
        <v>27</v>
      </c>
      <c r="J760" s="0" t="s">
        <v>882</v>
      </c>
      <c r="K760" s="0">
        <v>2520</v>
      </c>
      <c r="L760" s="13">
        <v>3</v>
      </c>
      <c r="M760" s="0">
        <v>63</v>
      </c>
      <c r="N760" s="0">
        <v>6</v>
      </c>
      <c r="P760" s="0" t="s">
        <v>884</v>
      </c>
      <c r="T760" s="0" t="str">
        <f>_xlfn.TEXTJOIN("_",TRUE,C760,"node_eff",D760,M760,N760)</f>
        <v>s1_node_eff_relic_63_6</v>
      </c>
    </row>
    <row r="761" spans="1:20" x14ac:dyDescent="0.45">
      <c r="A761" s="0" t="str">
        <f>_xlfn.TEXTJOIN("_",TRUE,C761,"node",D761,M761,N761)</f>
        <v>s1_node_relic_64_2</v>
      </c>
      <c r="B761" s="0" t="s">
        <v>0</v>
      </c>
      <c r="C761" s="0" t="s">
        <v>26</v>
      </c>
      <c r="D761" s="0" t="s">
        <v>105</v>
      </c>
      <c r="E761" s="0" t="str">
        <f>"s1_node_"&amp;D761&amp;"_name"</f>
        <v>s1_node_relic_name</v>
      </c>
      <c r="F761" s="13" t="str">
        <f>"s1_node_"&amp;D761&amp;"_desc"</f>
        <v>s1_node_relic_desc</v>
      </c>
      <c r="G761" s="0" t="s">
        <v>138</v>
      </c>
      <c r="H761" s="0">
        <v>4</v>
      </c>
      <c r="I761" s="0" t="s">
        <v>27</v>
      </c>
      <c r="J761" s="0" t="s">
        <v>338</v>
      </c>
      <c r="K761" s="0">
        <v>2550</v>
      </c>
      <c r="L761" s="13">
        <v>3</v>
      </c>
      <c r="M761" s="0">
        <v>64</v>
      </c>
      <c r="N761" s="0">
        <v>2</v>
      </c>
      <c r="T761" s="0" t="str">
        <f>_xlfn.TEXTJOIN("_",TRUE,C761,"node_eff",D761,M761,N761)</f>
        <v>s1_node_eff_relic_64_2</v>
      </c>
    </row>
    <row r="762" spans="1:20" x14ac:dyDescent="0.45">
      <c r="A762" s="0" t="str">
        <f>_xlfn.TEXTJOIN("_",TRUE,C762,"node",D762,M762,N762)</f>
        <v>s1_node_relic_64_4</v>
      </c>
      <c r="B762" s="0" t="s">
        <v>0</v>
      </c>
      <c r="C762" s="0" t="s">
        <v>26</v>
      </c>
      <c r="D762" s="0" t="s">
        <v>105</v>
      </c>
      <c r="E762" s="0" t="str">
        <f>"s1_node_"&amp;D762&amp;"_name"</f>
        <v>s1_node_relic_name</v>
      </c>
      <c r="F762" s="13" t="str">
        <f>"s1_node_"&amp;D762&amp;"_desc"</f>
        <v>s1_node_relic_desc</v>
      </c>
      <c r="G762" s="0" t="s">
        <v>149</v>
      </c>
      <c r="H762" s="0">
        <v>4</v>
      </c>
      <c r="I762" s="0" t="s">
        <v>27</v>
      </c>
      <c r="J762" s="0" t="s">
        <v>338</v>
      </c>
      <c r="K762" s="0">
        <v>2550</v>
      </c>
      <c r="L762" s="13">
        <v>3</v>
      </c>
      <c r="M762" s="0">
        <v>64</v>
      </c>
      <c r="N762" s="0">
        <v>4</v>
      </c>
      <c r="P762" s="0" t="s">
        <v>885</v>
      </c>
      <c r="T762" s="0" t="str">
        <f>_xlfn.TEXTJOIN("_",TRUE,C762,"node_eff",D762,M762,N762)</f>
        <v>s1_node_eff_relic_64_4</v>
      </c>
    </row>
    <row r="763" spans="1:20" x14ac:dyDescent="0.45">
      <c r="A763" s="0" t="str">
        <f>_xlfn.TEXTJOIN("_",TRUE,C763,"node",D763,M763,N763)</f>
        <v>s1_node_relic_64_6</v>
      </c>
      <c r="B763" s="0" t="s">
        <v>0</v>
      </c>
      <c r="C763" s="0" t="s">
        <v>26</v>
      </c>
      <c r="D763" s="0" t="s">
        <v>105</v>
      </c>
      <c r="E763" s="0" t="str">
        <f>"s1_node_"&amp;D763&amp;"_name"</f>
        <v>s1_node_relic_name</v>
      </c>
      <c r="F763" s="13" t="str">
        <f>"s1_node_"&amp;D763&amp;"_desc"</f>
        <v>s1_node_relic_desc</v>
      </c>
      <c r="G763" s="0" t="s">
        <v>788</v>
      </c>
      <c r="H763" s="0">
        <v>4</v>
      </c>
      <c r="I763" s="0" t="s">
        <v>27</v>
      </c>
      <c r="J763" s="0" t="s">
        <v>338</v>
      </c>
      <c r="K763" s="0">
        <v>2550</v>
      </c>
      <c r="L763" s="13">
        <v>3</v>
      </c>
      <c r="M763" s="0">
        <v>64</v>
      </c>
      <c r="N763" s="0">
        <v>6</v>
      </c>
      <c r="T763" s="0" t="str">
        <f>_xlfn.TEXTJOIN("_",TRUE,C763,"node_eff",D763,M763,N763)</f>
        <v>s1_node_eff_relic_64_6</v>
      </c>
    </row>
    <row r="764" spans="1:20" x14ac:dyDescent="0.45">
      <c r="A764" s="0" t="str">
        <f>_xlfn.TEXTJOIN("_",TRUE,C764,"node",D764,M764,N764)</f>
        <v>s1_node_relic_65_2</v>
      </c>
      <c r="B764" s="0" t="s">
        <v>0</v>
      </c>
      <c r="C764" s="0" t="s">
        <v>26</v>
      </c>
      <c r="D764" s="0" t="s">
        <v>105</v>
      </c>
      <c r="E764" s="0" t="str">
        <f>"s1_node_"&amp;D764&amp;"_name"</f>
        <v>s1_node_relic_name</v>
      </c>
      <c r="F764" s="13" t="str">
        <f>"s1_node_"&amp;D764&amp;"_desc"</f>
        <v>s1_node_relic_desc</v>
      </c>
      <c r="G764" s="0" t="s">
        <v>149</v>
      </c>
      <c r="H764" s="0">
        <v>4</v>
      </c>
      <c r="I764" s="0" t="s">
        <v>27</v>
      </c>
      <c r="J764" s="0" t="s">
        <v>886</v>
      </c>
      <c r="K764" s="0">
        <v>2590</v>
      </c>
      <c r="L764" s="13">
        <v>3</v>
      </c>
      <c r="M764" s="0">
        <v>65</v>
      </c>
      <c r="N764" s="0">
        <v>2</v>
      </c>
      <c r="P764" s="0" t="s">
        <v>887</v>
      </c>
      <c r="T764" s="0" t="str">
        <f>_xlfn.TEXTJOIN("_",TRUE,C764,"node_eff",D764,M764,N764)</f>
        <v>s1_node_eff_relic_65_2</v>
      </c>
    </row>
    <row r="765" spans="1:20" x14ac:dyDescent="0.45">
      <c r="A765" s="0" t="str">
        <f>_xlfn.TEXTJOIN("_",TRUE,C765,"node",D765,M765,N765)</f>
        <v>s1_node_relic_65_6</v>
      </c>
      <c r="B765" s="0" t="s">
        <v>0</v>
      </c>
      <c r="C765" s="0" t="s">
        <v>26</v>
      </c>
      <c r="D765" s="0" t="s">
        <v>105</v>
      </c>
      <c r="E765" s="0" t="str">
        <f>"s1_node_"&amp;D765&amp;"_name"</f>
        <v>s1_node_relic_name</v>
      </c>
      <c r="F765" s="13" t="str">
        <f>"s1_node_"&amp;D765&amp;"_desc"</f>
        <v>s1_node_relic_desc</v>
      </c>
      <c r="G765" s="0" t="s">
        <v>142</v>
      </c>
      <c r="H765" s="0">
        <v>4</v>
      </c>
      <c r="I765" s="0" t="s">
        <v>27</v>
      </c>
      <c r="J765" s="0" t="s">
        <v>886</v>
      </c>
      <c r="K765" s="0">
        <v>2590</v>
      </c>
      <c r="L765" s="13">
        <v>3</v>
      </c>
      <c r="M765" s="0">
        <v>65</v>
      </c>
      <c r="N765" s="0">
        <v>6</v>
      </c>
      <c r="P765" s="0" t="s">
        <v>888</v>
      </c>
      <c r="T765" s="0" t="str">
        <f>_xlfn.TEXTJOIN("_",TRUE,C765,"node_eff",D765,M765,N765)</f>
        <v>s1_node_eff_relic_65_6</v>
      </c>
    </row>
    <row r="766" spans="1:20" x14ac:dyDescent="0.45">
      <c r="A766" s="0" t="str">
        <f>_xlfn.TEXTJOIN("_",TRUE,C766,"node",D766,M766,N766)</f>
        <v>s1_node_relic_66_4</v>
      </c>
      <c r="B766" s="0" t="s">
        <v>0</v>
      </c>
      <c r="C766" s="0" t="s">
        <v>26</v>
      </c>
      <c r="D766" s="0" t="s">
        <v>105</v>
      </c>
      <c r="E766" s="0" t="str">
        <f>"s1_node_"&amp;D766&amp;"_name"</f>
        <v>s1_node_relic_name</v>
      </c>
      <c r="F766" s="13" t="str">
        <f>"s1_node_"&amp;D766&amp;"_desc"</f>
        <v>s1_node_relic_desc</v>
      </c>
      <c r="G766" s="0" t="s">
        <v>419</v>
      </c>
      <c r="H766" s="0">
        <v>4</v>
      </c>
      <c r="I766" s="0" t="s">
        <v>27</v>
      </c>
      <c r="J766" s="0" t="s">
        <v>889</v>
      </c>
      <c r="K766" s="0">
        <v>2630</v>
      </c>
      <c r="L766" s="13">
        <v>3</v>
      </c>
      <c r="M766" s="0">
        <v>66</v>
      </c>
      <c r="N766" s="0">
        <v>4</v>
      </c>
      <c r="P766" s="0" t="s">
        <v>890</v>
      </c>
      <c r="T766" s="0" t="str">
        <f>_xlfn.TEXTJOIN("_",TRUE,C766,"node_eff",D766,M766,N766)</f>
        <v>s1_node_eff_relic_66_4</v>
      </c>
    </row>
    <row r="767" spans="1:20" x14ac:dyDescent="0.45">
      <c r="A767" s="0" t="str">
        <f>_xlfn.TEXTJOIN("_",TRUE,C767,"node",D767,M767,N767)</f>
        <v>s1_node_relic_67_2</v>
      </c>
      <c r="B767" s="0" t="s">
        <v>0</v>
      </c>
      <c r="C767" s="0" t="s">
        <v>26</v>
      </c>
      <c r="D767" s="0" t="s">
        <v>105</v>
      </c>
      <c r="E767" s="0" t="str">
        <f>"s1_node_"&amp;D767&amp;"_name"</f>
        <v>s1_node_relic_name</v>
      </c>
      <c r="F767" s="13" t="str">
        <f>"s1_node_"&amp;D767&amp;"_desc"</f>
        <v>s1_node_relic_desc</v>
      </c>
      <c r="G767" s="0" t="s">
        <v>138</v>
      </c>
      <c r="H767" s="0">
        <v>4</v>
      </c>
      <c r="I767" s="0" t="s">
        <v>27</v>
      </c>
      <c r="J767" s="0" t="s">
        <v>891</v>
      </c>
      <c r="K767" s="0">
        <v>2670</v>
      </c>
      <c r="L767" s="13">
        <v>3</v>
      </c>
      <c r="M767" s="0">
        <v>67</v>
      </c>
      <c r="N767" s="0">
        <v>2</v>
      </c>
      <c r="T767" s="0" t="str">
        <f>_xlfn.TEXTJOIN("_",TRUE,C767,"node_eff",D767,M767,N767)</f>
        <v>s1_node_eff_relic_67_2</v>
      </c>
    </row>
    <row r="768" spans="1:20" x14ac:dyDescent="0.45">
      <c r="A768" s="0" t="str">
        <f>_xlfn.TEXTJOIN("_",TRUE,C768,"node",D768,M768,N768)</f>
        <v>s1_node_relic_67_4</v>
      </c>
      <c r="B768" s="0" t="s">
        <v>0</v>
      </c>
      <c r="C768" s="0" t="s">
        <v>26</v>
      </c>
      <c r="D768" s="0" t="s">
        <v>105</v>
      </c>
      <c r="E768" s="0" t="str">
        <f>"s1_node_"&amp;D768&amp;"_name"</f>
        <v>s1_node_relic_name</v>
      </c>
      <c r="F768" s="13" t="str">
        <f>"s1_node_"&amp;D768&amp;"_desc"</f>
        <v>s1_node_relic_desc</v>
      </c>
      <c r="G768" s="0" t="s">
        <v>149</v>
      </c>
      <c r="H768" s="0">
        <v>4</v>
      </c>
      <c r="I768" s="0" t="s">
        <v>27</v>
      </c>
      <c r="J768" s="0" t="s">
        <v>891</v>
      </c>
      <c r="K768" s="0">
        <v>2670</v>
      </c>
      <c r="L768" s="13">
        <v>3</v>
      </c>
      <c r="M768" s="0">
        <v>67</v>
      </c>
      <c r="N768" s="0">
        <v>4</v>
      </c>
      <c r="T768" s="0" t="str">
        <f>_xlfn.TEXTJOIN("_",TRUE,C768,"node_eff",D768,M768,N768)</f>
        <v>s1_node_eff_relic_67_4</v>
      </c>
    </row>
    <row r="769" spans="1:20" x14ac:dyDescent="0.45">
      <c r="A769" s="0" t="str">
        <f>_xlfn.TEXTJOIN("_",TRUE,C769,"node",D769,M769,N769)</f>
        <v>s1_node_relic_67_6</v>
      </c>
      <c r="B769" s="0" t="s">
        <v>0</v>
      </c>
      <c r="C769" s="0" t="s">
        <v>26</v>
      </c>
      <c r="D769" s="0" t="s">
        <v>105</v>
      </c>
      <c r="E769" s="0" t="str">
        <f>"s1_node_"&amp;D769&amp;"_name"</f>
        <v>s1_node_relic_name</v>
      </c>
      <c r="F769" s="13" t="str">
        <f>"s1_node_"&amp;D769&amp;"_desc"</f>
        <v>s1_node_relic_desc</v>
      </c>
      <c r="G769" s="0" t="s">
        <v>149</v>
      </c>
      <c r="H769" s="0">
        <v>4</v>
      </c>
      <c r="I769" s="0" t="s">
        <v>27</v>
      </c>
      <c r="J769" s="0" t="s">
        <v>891</v>
      </c>
      <c r="K769" s="0">
        <v>2670</v>
      </c>
      <c r="L769" s="13">
        <v>3</v>
      </c>
      <c r="M769" s="0">
        <v>67</v>
      </c>
      <c r="N769" s="0">
        <v>6</v>
      </c>
      <c r="T769" s="0" t="str">
        <f>_xlfn.TEXTJOIN("_",TRUE,C769,"node_eff",D769,M769,N769)</f>
        <v>s1_node_eff_relic_67_6</v>
      </c>
    </row>
    <row r="770" spans="1:20" x14ac:dyDescent="0.45">
      <c r="A770" s="0" t="str">
        <f>_xlfn.TEXTJOIN("_",TRUE,C770,"node",D770,M770,N770)</f>
        <v>s1_node_relic_68_2</v>
      </c>
      <c r="B770" s="0" t="s">
        <v>0</v>
      </c>
      <c r="C770" s="0" t="s">
        <v>26</v>
      </c>
      <c r="D770" s="0" t="s">
        <v>105</v>
      </c>
      <c r="E770" s="0" t="str">
        <f>"s1_node_"&amp;D770&amp;"_name"</f>
        <v>s1_node_relic_name</v>
      </c>
      <c r="F770" s="13" t="str">
        <f>"s1_node_"&amp;D770&amp;"_desc"</f>
        <v>s1_node_relic_desc</v>
      </c>
      <c r="G770" s="0" t="s">
        <v>795</v>
      </c>
      <c r="H770" s="0">
        <v>4</v>
      </c>
      <c r="I770" s="0" t="s">
        <v>27</v>
      </c>
      <c r="J770" s="0" t="s">
        <v>892</v>
      </c>
      <c r="K770" s="0">
        <v>2710</v>
      </c>
      <c r="L770" s="13">
        <v>3</v>
      </c>
      <c r="M770" s="0">
        <v>68</v>
      </c>
      <c r="N770" s="0">
        <v>2</v>
      </c>
      <c r="P770" s="0" t="s">
        <v>893</v>
      </c>
      <c r="T770" s="0" t="str">
        <f>_xlfn.TEXTJOIN("_",TRUE,C770,"node_eff",D770,M770,N770)</f>
        <v>s1_node_eff_relic_68_2</v>
      </c>
    </row>
    <row r="771" spans="1:20" x14ac:dyDescent="0.45">
      <c r="A771" s="0" t="str">
        <f>_xlfn.TEXTJOIN("_",TRUE,C771,"node",D771,M771,N771)</f>
        <v>s1_node_relic_68_6</v>
      </c>
      <c r="B771" s="0" t="s">
        <v>0</v>
      </c>
      <c r="C771" s="0" t="s">
        <v>26</v>
      </c>
      <c r="D771" s="0" t="s">
        <v>105</v>
      </c>
      <c r="E771" s="0" t="str">
        <f>"s1_node_"&amp;D771&amp;"_name"</f>
        <v>s1_node_relic_name</v>
      </c>
      <c r="F771" s="13" t="str">
        <f>"s1_node_"&amp;D771&amp;"_desc"</f>
        <v>s1_node_relic_desc</v>
      </c>
      <c r="G771" s="0" t="s">
        <v>138</v>
      </c>
      <c r="H771" s="0">
        <v>4</v>
      </c>
      <c r="I771" s="0" t="s">
        <v>27</v>
      </c>
      <c r="J771" s="0" t="s">
        <v>892</v>
      </c>
      <c r="K771" s="0">
        <v>2710</v>
      </c>
      <c r="L771" s="13">
        <v>3</v>
      </c>
      <c r="M771" s="0">
        <v>68</v>
      </c>
      <c r="N771" s="0">
        <v>6</v>
      </c>
      <c r="P771" s="0" t="s">
        <v>894</v>
      </c>
      <c r="T771" s="0" t="str">
        <f>_xlfn.TEXTJOIN("_",TRUE,C771,"node_eff",D771,M771,N771)</f>
        <v>s1_node_eff_relic_68_6</v>
      </c>
    </row>
    <row r="772" spans="1:20" x14ac:dyDescent="0.45">
      <c r="A772" s="0" t="str">
        <f>_xlfn.TEXTJOIN("_",TRUE,C772,"node",D772,M772,N772)</f>
        <v>s1_node_relic_69_2</v>
      </c>
      <c r="B772" s="0" t="s">
        <v>0</v>
      </c>
      <c r="C772" s="0" t="s">
        <v>26</v>
      </c>
      <c r="D772" s="0" t="s">
        <v>105</v>
      </c>
      <c r="E772" s="0" t="str">
        <f>"s1_node_"&amp;D772&amp;"_name"</f>
        <v>s1_node_relic_name</v>
      </c>
      <c r="F772" s="13" t="str">
        <f>"s1_node_"&amp;D772&amp;"_desc"</f>
        <v>s1_node_relic_desc</v>
      </c>
      <c r="G772" s="0" t="s">
        <v>149</v>
      </c>
      <c r="H772" s="0">
        <v>4</v>
      </c>
      <c r="I772" s="0" t="s">
        <v>27</v>
      </c>
      <c r="J772" s="0" t="s">
        <v>895</v>
      </c>
      <c r="K772" s="0">
        <v>2740</v>
      </c>
      <c r="L772" s="13">
        <v>3</v>
      </c>
      <c r="M772" s="0">
        <v>69</v>
      </c>
      <c r="N772" s="0">
        <v>2</v>
      </c>
      <c r="T772" s="0" t="str">
        <f>_xlfn.TEXTJOIN("_",TRUE,C772,"node_eff",D772,M772,N772)</f>
        <v>s1_node_eff_relic_69_2</v>
      </c>
    </row>
    <row r="773" spans="1:20" x14ac:dyDescent="0.45">
      <c r="A773" s="0" t="str">
        <f>_xlfn.TEXTJOIN("_",TRUE,C773,"node",D773,M773,N773)</f>
        <v>s1_node_relic_69_4</v>
      </c>
      <c r="B773" s="0" t="s">
        <v>0</v>
      </c>
      <c r="C773" s="0" t="s">
        <v>26</v>
      </c>
      <c r="D773" s="0" t="s">
        <v>105</v>
      </c>
      <c r="E773" s="0" t="str">
        <f>"s1_node_"&amp;D773&amp;"_name"</f>
        <v>s1_node_relic_name</v>
      </c>
      <c r="F773" s="13" t="str">
        <f>"s1_node_"&amp;D773&amp;"_desc"</f>
        <v>s1_node_relic_desc</v>
      </c>
      <c r="G773" s="0" t="s">
        <v>788</v>
      </c>
      <c r="H773" s="0">
        <v>4</v>
      </c>
      <c r="I773" s="0" t="s">
        <v>27</v>
      </c>
      <c r="J773" s="0" t="s">
        <v>895</v>
      </c>
      <c r="K773" s="0">
        <v>2740</v>
      </c>
      <c r="L773" s="13">
        <v>3</v>
      </c>
      <c r="M773" s="0">
        <v>69</v>
      </c>
      <c r="N773" s="0">
        <v>4</v>
      </c>
      <c r="P773" s="0" t="s">
        <v>896</v>
      </c>
      <c r="T773" s="0" t="str">
        <f>_xlfn.TEXTJOIN("_",TRUE,C773,"node_eff",D773,M773,N773)</f>
        <v>s1_node_eff_relic_69_4</v>
      </c>
    </row>
    <row r="774" spans="1:20" x14ac:dyDescent="0.45">
      <c r="A774" s="0" t="str">
        <f>_xlfn.TEXTJOIN("_",TRUE,C774,"node",D774,M774,N774)</f>
        <v>s1_node_relic_69_6</v>
      </c>
      <c r="B774" s="0" t="s">
        <v>0</v>
      </c>
      <c r="C774" s="0" t="s">
        <v>26</v>
      </c>
      <c r="D774" s="0" t="s">
        <v>105</v>
      </c>
      <c r="E774" s="0" t="str">
        <f>"s1_node_"&amp;D774&amp;"_name"</f>
        <v>s1_node_relic_name</v>
      </c>
      <c r="F774" s="13" t="str">
        <f>"s1_node_"&amp;D774&amp;"_desc"</f>
        <v>s1_node_relic_desc</v>
      </c>
      <c r="G774" s="0" t="s">
        <v>149</v>
      </c>
      <c r="H774" s="0">
        <v>4</v>
      </c>
      <c r="I774" s="0" t="s">
        <v>27</v>
      </c>
      <c r="J774" s="0" t="s">
        <v>895</v>
      </c>
      <c r="K774" s="0">
        <v>2740</v>
      </c>
      <c r="L774" s="13">
        <v>3</v>
      </c>
      <c r="M774" s="0">
        <v>69</v>
      </c>
      <c r="N774" s="0">
        <v>6</v>
      </c>
      <c r="T774" s="0" t="str">
        <f>_xlfn.TEXTJOIN("_",TRUE,C774,"node_eff",D774,M774,N774)</f>
        <v>s1_node_eff_relic_69_6</v>
      </c>
    </row>
    <row r="775" spans="1:20" x14ac:dyDescent="0.45">
      <c r="A775" s="0" t="str">
        <f>_xlfn.TEXTJOIN("_",TRUE,C775,"node",D775,M775,N775)</f>
        <v>s1_node_relic_70_2</v>
      </c>
      <c r="B775" s="0" t="s">
        <v>0</v>
      </c>
      <c r="C775" s="0" t="s">
        <v>26</v>
      </c>
      <c r="D775" s="0" t="s">
        <v>105</v>
      </c>
      <c r="E775" s="0" t="str">
        <f>"s1_node_"&amp;D775&amp;"_name"</f>
        <v>s1_node_relic_name</v>
      </c>
      <c r="F775" s="13" t="str">
        <f>"s1_node_"&amp;D775&amp;"_desc"</f>
        <v>s1_node_relic_desc</v>
      </c>
      <c r="G775" s="0" t="s">
        <v>142</v>
      </c>
      <c r="H775" s="0">
        <v>4</v>
      </c>
      <c r="I775" s="0" t="s">
        <v>27</v>
      </c>
      <c r="J775" s="0" t="s">
        <v>897</v>
      </c>
      <c r="K775" s="0">
        <v>2780</v>
      </c>
      <c r="L775" s="13">
        <v>3</v>
      </c>
      <c r="M775" s="0">
        <v>70</v>
      </c>
      <c r="N775" s="0">
        <v>2</v>
      </c>
      <c r="P775" s="0" t="s">
        <v>898</v>
      </c>
      <c r="T775" s="0" t="str">
        <f>_xlfn.TEXTJOIN("_",TRUE,C775,"node_eff",D775,M775,N775)</f>
        <v>s1_node_eff_relic_70_2</v>
      </c>
    </row>
    <row r="776" spans="1:20" x14ac:dyDescent="0.45">
      <c r="A776" s="0" t="str">
        <f>_xlfn.TEXTJOIN("_",TRUE,C776,"node",D776,M776,N776)</f>
        <v>s1_node_relic_70_6</v>
      </c>
      <c r="B776" s="0" t="s">
        <v>0</v>
      </c>
      <c r="C776" s="0" t="s">
        <v>26</v>
      </c>
      <c r="D776" s="0" t="s">
        <v>105</v>
      </c>
      <c r="E776" s="0" t="str">
        <f>"s1_node_"&amp;D776&amp;"_name"</f>
        <v>s1_node_relic_name</v>
      </c>
      <c r="F776" s="13" t="str">
        <f>"s1_node_"&amp;D776&amp;"_desc"</f>
        <v>s1_node_relic_desc</v>
      </c>
      <c r="G776" s="0" t="s">
        <v>419</v>
      </c>
      <c r="H776" s="0">
        <v>4</v>
      </c>
      <c r="I776" s="0" t="s">
        <v>27</v>
      </c>
      <c r="J776" s="0" t="s">
        <v>897</v>
      </c>
      <c r="K776" s="0">
        <v>2780</v>
      </c>
      <c r="L776" s="13">
        <v>3</v>
      </c>
      <c r="M776" s="0">
        <v>70</v>
      </c>
      <c r="N776" s="0">
        <v>6</v>
      </c>
      <c r="P776" s="0" t="s">
        <v>899</v>
      </c>
      <c r="T776" s="0" t="str">
        <f>_xlfn.TEXTJOIN("_",TRUE,C776,"node_eff",D776,M776,N776)</f>
        <v>s1_node_eff_relic_70_6</v>
      </c>
    </row>
    <row r="777" spans="1:20" x14ac:dyDescent="0.45">
      <c r="A777" s="0" t="str">
        <f>_xlfn.TEXTJOIN("_",TRUE,C777,"node",D777,M777,N777)</f>
        <v>s1_node_relic_71_4</v>
      </c>
      <c r="B777" s="0" t="s">
        <v>0</v>
      </c>
      <c r="C777" s="0" t="s">
        <v>26</v>
      </c>
      <c r="D777" s="0" t="s">
        <v>105</v>
      </c>
      <c r="E777" s="0" t="str">
        <f>"s1_node_"&amp;D777&amp;"_name"</f>
        <v>s1_node_relic_name</v>
      </c>
      <c r="F777" s="13" t="str">
        <f>"s1_node_"&amp;D777&amp;"_desc"</f>
        <v>s1_node_relic_desc</v>
      </c>
      <c r="G777" s="0" t="s">
        <v>138</v>
      </c>
      <c r="H777" s="0">
        <v>4</v>
      </c>
      <c r="I777" s="0" t="s">
        <v>27</v>
      </c>
      <c r="J777" s="0" t="s">
        <v>900</v>
      </c>
      <c r="K777" s="0">
        <v>2820</v>
      </c>
      <c r="L777" s="13">
        <v>3</v>
      </c>
      <c r="M777" s="0">
        <v>71</v>
      </c>
      <c r="N777" s="0">
        <v>4</v>
      </c>
      <c r="P777" s="0" t="s">
        <v>901</v>
      </c>
      <c r="T777" s="0" t="str">
        <f>_xlfn.TEXTJOIN("_",TRUE,C777,"node_eff",D777,M777,N777)</f>
        <v>s1_node_eff_relic_71_4</v>
      </c>
    </row>
    <row r="778" spans="1:20" x14ac:dyDescent="0.45">
      <c r="A778" s="0" t="str">
        <f>_xlfn.TEXTJOIN("_",TRUE,C778,"node",D778,M778,N778)</f>
        <v>s1_node_relic_72_2</v>
      </c>
      <c r="B778" s="0" t="s">
        <v>0</v>
      </c>
      <c r="C778" s="0" t="s">
        <v>26</v>
      </c>
      <c r="D778" s="0" t="s">
        <v>105</v>
      </c>
      <c r="E778" s="0" t="str">
        <f>"s1_node_"&amp;D778&amp;"_name"</f>
        <v>s1_node_relic_name</v>
      </c>
      <c r="F778" s="13" t="str">
        <f>"s1_node_"&amp;D778&amp;"_desc"</f>
        <v>s1_node_relic_desc</v>
      </c>
      <c r="G778" s="0" t="s">
        <v>149</v>
      </c>
      <c r="H778" s="0">
        <v>4</v>
      </c>
      <c r="I778" s="0" t="s">
        <v>27</v>
      </c>
      <c r="J778" s="0" t="s">
        <v>363</v>
      </c>
      <c r="K778" s="0">
        <v>2860</v>
      </c>
      <c r="L778" s="13">
        <v>3</v>
      </c>
      <c r="M778" s="0">
        <v>72</v>
      </c>
      <c r="N778" s="0">
        <v>2</v>
      </c>
      <c r="T778" s="0" t="str">
        <f>_xlfn.TEXTJOIN("_",TRUE,C778,"node_eff",D778,M778,N778)</f>
        <v>s1_node_eff_relic_72_2</v>
      </c>
    </row>
    <row r="779" spans="1:20" x14ac:dyDescent="0.45">
      <c r="A779" s="0" t="str">
        <f>_xlfn.TEXTJOIN("_",TRUE,C779,"node",D779,M779,N779)</f>
        <v>s1_node_relic_72_4</v>
      </c>
      <c r="B779" s="0" t="s">
        <v>0</v>
      </c>
      <c r="C779" s="0" t="s">
        <v>26</v>
      </c>
      <c r="D779" s="0" t="s">
        <v>105</v>
      </c>
      <c r="E779" s="0" t="str">
        <f>"s1_node_"&amp;D779&amp;"_name"</f>
        <v>s1_node_relic_name</v>
      </c>
      <c r="F779" s="13" t="str">
        <f>"s1_node_"&amp;D779&amp;"_desc"</f>
        <v>s1_node_relic_desc</v>
      </c>
      <c r="G779" s="0" t="s">
        <v>149</v>
      </c>
      <c r="H779" s="0">
        <v>4</v>
      </c>
      <c r="I779" s="0" t="s">
        <v>27</v>
      </c>
      <c r="J779" s="0" t="s">
        <v>363</v>
      </c>
      <c r="K779" s="0">
        <v>2860</v>
      </c>
      <c r="L779" s="13">
        <v>3</v>
      </c>
      <c r="M779" s="0">
        <v>72</v>
      </c>
      <c r="N779" s="0">
        <v>4</v>
      </c>
      <c r="T779" s="0" t="str">
        <f>_xlfn.TEXTJOIN("_",TRUE,C779,"node_eff",D779,M779,N779)</f>
        <v>s1_node_eff_relic_72_4</v>
      </c>
    </row>
    <row r="780" spans="1:20" x14ac:dyDescent="0.45">
      <c r="A780" s="0" t="str">
        <f>_xlfn.TEXTJOIN("_",TRUE,C780,"node",D780,M780,N780)</f>
        <v>s1_node_relic_72_6</v>
      </c>
      <c r="B780" s="0" t="s">
        <v>0</v>
      </c>
      <c r="C780" s="0" t="s">
        <v>26</v>
      </c>
      <c r="D780" s="0" t="s">
        <v>105</v>
      </c>
      <c r="E780" s="0" t="str">
        <f>"s1_node_"&amp;D780&amp;"_name"</f>
        <v>s1_node_relic_name</v>
      </c>
      <c r="F780" s="13" t="str">
        <f>"s1_node_"&amp;D780&amp;"_desc"</f>
        <v>s1_node_relic_desc</v>
      </c>
      <c r="G780" s="0" t="s">
        <v>795</v>
      </c>
      <c r="H780" s="0">
        <v>4</v>
      </c>
      <c r="I780" s="0" t="s">
        <v>27</v>
      </c>
      <c r="J780" s="0" t="s">
        <v>363</v>
      </c>
      <c r="K780" s="0">
        <v>2860</v>
      </c>
      <c r="L780" s="13">
        <v>3</v>
      </c>
      <c r="M780" s="0">
        <v>72</v>
      </c>
      <c r="N780" s="0">
        <v>6</v>
      </c>
      <c r="T780" s="0" t="str">
        <f>_xlfn.TEXTJOIN("_",TRUE,C780,"node_eff",D780,M780,N780)</f>
        <v>s1_node_eff_relic_72_6</v>
      </c>
    </row>
    <row r="781" spans="1:20" x14ac:dyDescent="0.45">
      <c r="A781" s="0" t="str">
        <f>_xlfn.TEXTJOIN("_",TRUE,C781,"node",D781,M781,N781)</f>
        <v>s1_node_relic_73_2</v>
      </c>
      <c r="B781" s="0" t="s">
        <v>0</v>
      </c>
      <c r="C781" s="0" t="s">
        <v>26</v>
      </c>
      <c r="D781" s="0" t="s">
        <v>105</v>
      </c>
      <c r="E781" s="0" t="str">
        <f>"s1_node_"&amp;D781&amp;"_name"</f>
        <v>s1_node_relic_name</v>
      </c>
      <c r="F781" s="13" t="str">
        <f>"s1_node_"&amp;D781&amp;"_desc"</f>
        <v>s1_node_relic_desc</v>
      </c>
      <c r="G781" s="0" t="s">
        <v>138</v>
      </c>
      <c r="H781" s="0">
        <v>4</v>
      </c>
      <c r="I781" s="0" t="s">
        <v>27</v>
      </c>
      <c r="J781" s="0" t="s">
        <v>366</v>
      </c>
      <c r="K781" s="0">
        <v>2900</v>
      </c>
      <c r="L781" s="13">
        <v>3</v>
      </c>
      <c r="M781" s="0">
        <v>73</v>
      </c>
      <c r="N781" s="0">
        <v>2</v>
      </c>
      <c r="P781" s="0" t="s">
        <v>902</v>
      </c>
      <c r="T781" s="0" t="str">
        <f>_xlfn.TEXTJOIN("_",TRUE,C781,"node_eff",D781,M781,N781)</f>
        <v>s1_node_eff_relic_73_2</v>
      </c>
    </row>
    <row r="782" spans="1:20" x14ac:dyDescent="0.45">
      <c r="A782" s="0" t="str">
        <f>_xlfn.TEXTJOIN("_",TRUE,C782,"node",D782,M782,N782)</f>
        <v>s1_node_relic_73_6</v>
      </c>
      <c r="B782" s="0" t="s">
        <v>0</v>
      </c>
      <c r="C782" s="0" t="s">
        <v>26</v>
      </c>
      <c r="D782" s="0" t="s">
        <v>105</v>
      </c>
      <c r="E782" s="0" t="str">
        <f>"s1_node_"&amp;D782&amp;"_name"</f>
        <v>s1_node_relic_name</v>
      </c>
      <c r="F782" s="13" t="str">
        <f>"s1_node_"&amp;D782&amp;"_desc"</f>
        <v>s1_node_relic_desc</v>
      </c>
      <c r="G782" s="0" t="s">
        <v>149</v>
      </c>
      <c r="H782" s="0">
        <v>4</v>
      </c>
      <c r="I782" s="0" t="s">
        <v>27</v>
      </c>
      <c r="J782" s="0" t="s">
        <v>366</v>
      </c>
      <c r="K782" s="0">
        <v>2900</v>
      </c>
      <c r="L782" s="13">
        <v>3</v>
      </c>
      <c r="M782" s="0">
        <v>73</v>
      </c>
      <c r="N782" s="0">
        <v>6</v>
      </c>
      <c r="P782" s="0" t="s">
        <v>903</v>
      </c>
      <c r="T782" s="0" t="str">
        <f>_xlfn.TEXTJOIN("_",TRUE,C782,"node_eff",D782,M782,N782)</f>
        <v>s1_node_eff_relic_73_6</v>
      </c>
    </row>
    <row r="783" spans="1:20" x14ac:dyDescent="0.45">
      <c r="A783" s="0" t="str">
        <f>_xlfn.TEXTJOIN("_",TRUE,C783,"node",D783,M783,N783)</f>
        <v>s1_node_relic_74_2</v>
      </c>
      <c r="B783" s="0" t="s">
        <v>0</v>
      </c>
      <c r="C783" s="0" t="s">
        <v>26</v>
      </c>
      <c r="D783" s="0" t="s">
        <v>105</v>
      </c>
      <c r="E783" s="0" t="str">
        <f>"s1_node_"&amp;D783&amp;"_name"</f>
        <v>s1_node_relic_name</v>
      </c>
      <c r="F783" s="13" t="str">
        <f>"s1_node_"&amp;D783&amp;"_desc"</f>
        <v>s1_node_relic_desc</v>
      </c>
      <c r="G783" s="0" t="s">
        <v>788</v>
      </c>
      <c r="H783" s="0">
        <v>4</v>
      </c>
      <c r="I783" s="0" t="s">
        <v>27</v>
      </c>
      <c r="J783" s="0" t="s">
        <v>368</v>
      </c>
      <c r="K783" s="0">
        <v>2930</v>
      </c>
      <c r="L783" s="13">
        <v>3</v>
      </c>
      <c r="M783" s="0">
        <v>74</v>
      </c>
      <c r="N783" s="0">
        <v>2</v>
      </c>
      <c r="T783" s="0" t="str">
        <f>_xlfn.TEXTJOIN("_",TRUE,C783,"node_eff",D783,M783,N783)</f>
        <v>s1_node_eff_relic_74_2</v>
      </c>
    </row>
    <row r="784" spans="1:20" x14ac:dyDescent="0.45">
      <c r="A784" s="0" t="str">
        <f>_xlfn.TEXTJOIN("_",TRUE,C784,"node",D784,M784,N784)</f>
        <v>s1_node_relic_74_4</v>
      </c>
      <c r="B784" s="0" t="s">
        <v>0</v>
      </c>
      <c r="C784" s="0" t="s">
        <v>26</v>
      </c>
      <c r="D784" s="0" t="s">
        <v>105</v>
      </c>
      <c r="E784" s="0" t="str">
        <f>"s1_node_"&amp;D784&amp;"_name"</f>
        <v>s1_node_relic_name</v>
      </c>
      <c r="F784" s="13" t="str">
        <f>"s1_node_"&amp;D784&amp;"_desc"</f>
        <v>s1_node_relic_desc</v>
      </c>
      <c r="G784" s="0" t="s">
        <v>149</v>
      </c>
      <c r="H784" s="0">
        <v>4</v>
      </c>
      <c r="I784" s="0" t="s">
        <v>27</v>
      </c>
      <c r="J784" s="0" t="s">
        <v>368</v>
      </c>
      <c r="K784" s="0">
        <v>2930</v>
      </c>
      <c r="L784" s="13">
        <v>3</v>
      </c>
      <c r="M784" s="0">
        <v>74</v>
      </c>
      <c r="N784" s="0">
        <v>4</v>
      </c>
      <c r="P784" s="0" t="s">
        <v>904</v>
      </c>
      <c r="T784" s="0" t="str">
        <f>_xlfn.TEXTJOIN("_",TRUE,C784,"node_eff",D784,M784,N784)</f>
        <v>s1_node_eff_relic_74_4</v>
      </c>
    </row>
    <row r="785" spans="1:20" x14ac:dyDescent="0.45">
      <c r="A785" s="0" t="str">
        <f>_xlfn.TEXTJOIN("_",TRUE,C785,"node",D785,M785,N785)</f>
        <v>s1_node_relic_74_6</v>
      </c>
      <c r="B785" s="0" t="s">
        <v>0</v>
      </c>
      <c r="C785" s="0" t="s">
        <v>26</v>
      </c>
      <c r="D785" s="0" t="s">
        <v>105</v>
      </c>
      <c r="E785" s="0" t="str">
        <f>"s1_node_"&amp;D785&amp;"_name"</f>
        <v>s1_node_relic_name</v>
      </c>
      <c r="F785" s="13" t="str">
        <f>"s1_node_"&amp;D785&amp;"_desc"</f>
        <v>s1_node_relic_desc</v>
      </c>
      <c r="G785" s="0" t="s">
        <v>142</v>
      </c>
      <c r="H785" s="0">
        <v>4</v>
      </c>
      <c r="I785" s="0" t="s">
        <v>27</v>
      </c>
      <c r="J785" s="0" t="s">
        <v>368</v>
      </c>
      <c r="K785" s="0">
        <v>2930</v>
      </c>
      <c r="L785" s="13">
        <v>3</v>
      </c>
      <c r="M785" s="0">
        <v>74</v>
      </c>
      <c r="N785" s="0">
        <v>6</v>
      </c>
      <c r="T785" s="0" t="str">
        <f>_xlfn.TEXTJOIN("_",TRUE,C785,"node_eff",D785,M785,N785)</f>
        <v>s1_node_eff_relic_74_6</v>
      </c>
    </row>
    <row r="786" spans="1:20" x14ac:dyDescent="0.45">
      <c r="A786" s="0" t="str">
        <f>_xlfn.TEXTJOIN("_",TRUE,C786,"node",D786,M786,N786)</f>
        <v>s1_node_relic_75_2</v>
      </c>
      <c r="B786" s="0" t="s">
        <v>0</v>
      </c>
      <c r="C786" s="0" t="s">
        <v>26</v>
      </c>
      <c r="D786" s="0" t="s">
        <v>105</v>
      </c>
      <c r="E786" s="0" t="str">
        <f>"s1_node_"&amp;D786&amp;"_name"</f>
        <v>s1_node_relic_name</v>
      </c>
      <c r="F786" s="13" t="str">
        <f>"s1_node_"&amp;D786&amp;"_desc"</f>
        <v>s1_node_relic_desc</v>
      </c>
      <c r="G786" s="0" t="s">
        <v>419</v>
      </c>
      <c r="H786" s="0">
        <v>4</v>
      </c>
      <c r="I786" s="0" t="s">
        <v>27</v>
      </c>
      <c r="J786" s="0" t="s">
        <v>571</v>
      </c>
      <c r="K786" s="0">
        <v>2970</v>
      </c>
      <c r="L786" s="13">
        <v>3</v>
      </c>
      <c r="M786" s="0">
        <v>75</v>
      </c>
      <c r="N786" s="0">
        <v>2</v>
      </c>
      <c r="P786" s="0" t="s">
        <v>905</v>
      </c>
      <c r="T786" s="0" t="str">
        <f>_xlfn.TEXTJOIN("_",TRUE,C786,"node_eff",D786,M786,N786)</f>
        <v>s1_node_eff_relic_75_2</v>
      </c>
    </row>
    <row r="787" spans="1:20" x14ac:dyDescent="0.45">
      <c r="A787" s="0" t="str">
        <f>_xlfn.TEXTJOIN("_",TRUE,C787,"node",D787,M787,N787)</f>
        <v>s1_node_relic_75_6</v>
      </c>
      <c r="B787" s="0" t="s">
        <v>0</v>
      </c>
      <c r="C787" s="0" t="s">
        <v>26</v>
      </c>
      <c r="D787" s="0" t="s">
        <v>105</v>
      </c>
      <c r="E787" s="0" t="str">
        <f>"s1_node_"&amp;D787&amp;"_name"</f>
        <v>s1_node_relic_name</v>
      </c>
      <c r="F787" s="13" t="str">
        <f>"s1_node_"&amp;D787&amp;"_desc"</f>
        <v>s1_node_relic_desc</v>
      </c>
      <c r="G787" s="0" t="s">
        <v>138</v>
      </c>
      <c r="H787" s="0">
        <v>4</v>
      </c>
      <c r="I787" s="0" t="s">
        <v>27</v>
      </c>
      <c r="J787" s="0" t="s">
        <v>571</v>
      </c>
      <c r="K787" s="0">
        <v>2970</v>
      </c>
      <c r="L787" s="13">
        <v>3</v>
      </c>
      <c r="M787" s="0">
        <v>75</v>
      </c>
      <c r="N787" s="0">
        <v>6</v>
      </c>
      <c r="P787" s="0" t="s">
        <v>906</v>
      </c>
      <c r="T787" s="0" t="str">
        <f>_xlfn.TEXTJOIN("_",TRUE,C787,"node_eff",D787,M787,N787)</f>
        <v>s1_node_eff_relic_75_6</v>
      </c>
    </row>
    <row r="788" spans="1:20" x14ac:dyDescent="0.45">
      <c r="A788" s="0" t="str">
        <f>_xlfn.TEXTJOIN("_",TRUE,C788,"node",D788,M788,N788)</f>
        <v>s1_node_relic_76_4</v>
      </c>
      <c r="B788" s="0" t="s">
        <v>0</v>
      </c>
      <c r="C788" s="0" t="s">
        <v>26</v>
      </c>
      <c r="D788" s="0" t="s">
        <v>105</v>
      </c>
      <c r="E788" s="0" t="str">
        <f>"s1_node_"&amp;D788&amp;"_name"</f>
        <v>s1_node_relic_name</v>
      </c>
      <c r="F788" s="13" t="str">
        <f>"s1_node_"&amp;D788&amp;"_desc"</f>
        <v>s1_node_relic_desc</v>
      </c>
      <c r="G788" s="0" t="s">
        <v>149</v>
      </c>
      <c r="H788" s="0">
        <v>4</v>
      </c>
      <c r="I788" s="0" t="s">
        <v>27</v>
      </c>
      <c r="J788" s="0" t="s">
        <v>573</v>
      </c>
      <c r="K788" s="0">
        <v>3010</v>
      </c>
      <c r="L788" s="13">
        <v>3</v>
      </c>
      <c r="M788" s="0">
        <v>76</v>
      </c>
      <c r="N788" s="0">
        <v>4</v>
      </c>
      <c r="P788" s="0" t="s">
        <v>907</v>
      </c>
      <c r="T788" s="0" t="str">
        <f>_xlfn.TEXTJOIN("_",TRUE,C788,"node_eff",D788,M788,N788)</f>
        <v>s1_node_eff_relic_76_4</v>
      </c>
    </row>
    <row r="789" spans="1:20" x14ac:dyDescent="0.45">
      <c r="A789" s="0" t="str">
        <f>_xlfn.TEXTJOIN("_",TRUE,C789,"node",D789,M789,N789)</f>
        <v>s1_node_relic_77_2</v>
      </c>
      <c r="B789" s="0" t="s">
        <v>0</v>
      </c>
      <c r="C789" s="0" t="s">
        <v>26</v>
      </c>
      <c r="D789" s="0" t="s">
        <v>105</v>
      </c>
      <c r="E789" s="0" t="str">
        <f>"s1_node_"&amp;D789&amp;"_name"</f>
        <v>s1_node_relic_name</v>
      </c>
      <c r="F789" s="13" t="str">
        <f>"s1_node_"&amp;D789&amp;"_desc"</f>
        <v>s1_node_relic_desc</v>
      </c>
      <c r="G789" s="0" t="s">
        <v>149</v>
      </c>
      <c r="H789" s="0">
        <v>4</v>
      </c>
      <c r="I789" s="0" t="s">
        <v>27</v>
      </c>
      <c r="J789" s="0" t="s">
        <v>908</v>
      </c>
      <c r="K789" s="0">
        <v>3050</v>
      </c>
      <c r="L789" s="13">
        <v>3</v>
      </c>
      <c r="M789" s="0">
        <v>77</v>
      </c>
      <c r="N789" s="0">
        <v>2</v>
      </c>
      <c r="T789" s="0" t="str">
        <f>_xlfn.TEXTJOIN("_",TRUE,C789,"node_eff",D789,M789,N789)</f>
        <v>s1_node_eff_relic_77_2</v>
      </c>
    </row>
    <row r="790" spans="1:20" x14ac:dyDescent="0.45">
      <c r="A790" s="0" t="str">
        <f>_xlfn.TEXTJOIN("_",TRUE,C790,"node",D790,M790,N790)</f>
        <v>s1_node_relic_77_4</v>
      </c>
      <c r="B790" s="0" t="s">
        <v>0</v>
      </c>
      <c r="C790" s="0" t="s">
        <v>26</v>
      </c>
      <c r="D790" s="0" t="s">
        <v>105</v>
      </c>
      <c r="E790" s="0" t="str">
        <f>"s1_node_"&amp;D790&amp;"_name"</f>
        <v>s1_node_relic_name</v>
      </c>
      <c r="F790" s="13" t="str">
        <f>"s1_node_"&amp;D790&amp;"_desc"</f>
        <v>s1_node_relic_desc</v>
      </c>
      <c r="G790" s="0" t="s">
        <v>795</v>
      </c>
      <c r="H790" s="0">
        <v>4</v>
      </c>
      <c r="I790" s="0" t="s">
        <v>27</v>
      </c>
      <c r="J790" s="0" t="s">
        <v>908</v>
      </c>
      <c r="K790" s="0">
        <v>3050</v>
      </c>
      <c r="L790" s="13">
        <v>3</v>
      </c>
      <c r="M790" s="0">
        <v>77</v>
      </c>
      <c r="N790" s="0">
        <v>4</v>
      </c>
      <c r="T790" s="0" t="str">
        <f>_xlfn.TEXTJOIN("_",TRUE,C790,"node_eff",D790,M790,N790)</f>
        <v>s1_node_eff_relic_77_4</v>
      </c>
    </row>
    <row r="791" spans="1:20" x14ac:dyDescent="0.45">
      <c r="A791" s="0" t="str">
        <f>_xlfn.TEXTJOIN("_",TRUE,C791,"node",D791,M791,N791)</f>
        <v>s1_node_relic_77_6</v>
      </c>
      <c r="B791" s="0" t="s">
        <v>0</v>
      </c>
      <c r="C791" s="0" t="s">
        <v>26</v>
      </c>
      <c r="D791" s="0" t="s">
        <v>105</v>
      </c>
      <c r="E791" s="0" t="str">
        <f>"s1_node_"&amp;D791&amp;"_name"</f>
        <v>s1_node_relic_name</v>
      </c>
      <c r="F791" s="13" t="str">
        <f>"s1_node_"&amp;D791&amp;"_desc"</f>
        <v>s1_node_relic_desc</v>
      </c>
      <c r="G791" s="0" t="s">
        <v>138</v>
      </c>
      <c r="H791" s="0">
        <v>4</v>
      </c>
      <c r="I791" s="0" t="s">
        <v>27</v>
      </c>
      <c r="J791" s="0" t="s">
        <v>908</v>
      </c>
      <c r="K791" s="0">
        <v>3050</v>
      </c>
      <c r="L791" s="13">
        <v>3</v>
      </c>
      <c r="M791" s="0">
        <v>77</v>
      </c>
      <c r="N791" s="0">
        <v>6</v>
      </c>
      <c r="T791" s="0" t="str">
        <f>_xlfn.TEXTJOIN("_",TRUE,C791,"node_eff",D791,M791,N791)</f>
        <v>s1_node_eff_relic_77_6</v>
      </c>
    </row>
    <row r="792" spans="1:20" x14ac:dyDescent="0.45">
      <c r="A792" s="0" t="str">
        <f>_xlfn.TEXTJOIN("_",TRUE,C792,"node",D792,M792,N792)</f>
        <v>s1_node_relic_78_2</v>
      </c>
      <c r="B792" s="0" t="s">
        <v>0</v>
      </c>
      <c r="C792" s="0" t="s">
        <v>26</v>
      </c>
      <c r="D792" s="0" t="s">
        <v>105</v>
      </c>
      <c r="E792" s="0" t="str">
        <f>"s1_node_"&amp;D792&amp;"_name"</f>
        <v>s1_node_relic_name</v>
      </c>
      <c r="F792" s="13" t="str">
        <f>"s1_node_"&amp;D792&amp;"_desc"</f>
        <v>s1_node_relic_desc</v>
      </c>
      <c r="G792" s="0" t="s">
        <v>149</v>
      </c>
      <c r="H792" s="0">
        <v>4</v>
      </c>
      <c r="I792" s="0" t="s">
        <v>27</v>
      </c>
      <c r="J792" s="0" t="s">
        <v>577</v>
      </c>
      <c r="K792" s="0">
        <v>3080</v>
      </c>
      <c r="L792" s="13">
        <v>3</v>
      </c>
      <c r="M792" s="0">
        <v>78</v>
      </c>
      <c r="N792" s="0">
        <v>2</v>
      </c>
      <c r="P792" s="0" t="s">
        <v>909</v>
      </c>
      <c r="T792" s="0" t="str">
        <f>_xlfn.TEXTJOIN("_",TRUE,C792,"node_eff",D792,M792,N792)</f>
        <v>s1_node_eff_relic_78_2</v>
      </c>
    </row>
    <row r="793" spans="1:20" x14ac:dyDescent="0.45">
      <c r="A793" s="0" t="str">
        <f>_xlfn.TEXTJOIN("_",TRUE,C793,"node",D793,M793,N793)</f>
        <v>s1_node_relic_78_6</v>
      </c>
      <c r="B793" s="0" t="s">
        <v>0</v>
      </c>
      <c r="C793" s="0" t="s">
        <v>26</v>
      </c>
      <c r="D793" s="0" t="s">
        <v>105</v>
      </c>
      <c r="E793" s="0" t="str">
        <f>"s1_node_"&amp;D793&amp;"_name"</f>
        <v>s1_node_relic_name</v>
      </c>
      <c r="F793" s="13" t="str">
        <f>"s1_node_"&amp;D793&amp;"_desc"</f>
        <v>s1_node_relic_desc</v>
      </c>
      <c r="G793" s="0" t="s">
        <v>788</v>
      </c>
      <c r="H793" s="0">
        <v>4</v>
      </c>
      <c r="I793" s="0" t="s">
        <v>27</v>
      </c>
      <c r="J793" s="0" t="s">
        <v>577</v>
      </c>
      <c r="K793" s="0">
        <v>3080</v>
      </c>
      <c r="L793" s="13">
        <v>3</v>
      </c>
      <c r="M793" s="0">
        <v>78</v>
      </c>
      <c r="N793" s="0">
        <v>6</v>
      </c>
      <c r="P793" s="0" t="s">
        <v>910</v>
      </c>
      <c r="T793" s="0" t="str">
        <f>_xlfn.TEXTJOIN("_",TRUE,C793,"node_eff",D793,M793,N793)</f>
        <v>s1_node_eff_relic_78_6</v>
      </c>
    </row>
    <row r="794" spans="1:20" x14ac:dyDescent="0.45">
      <c r="A794" s="0" t="str">
        <f>_xlfn.TEXTJOIN("_",TRUE,C794,"node",D794,M794,N794)</f>
        <v>s1_node_relic_79_2</v>
      </c>
      <c r="B794" s="0" t="s">
        <v>0</v>
      </c>
      <c r="C794" s="0" t="s">
        <v>26</v>
      </c>
      <c r="D794" s="0" t="s">
        <v>105</v>
      </c>
      <c r="E794" s="0" t="str">
        <f>"s1_node_"&amp;D794&amp;"_name"</f>
        <v>s1_node_relic_name</v>
      </c>
      <c r="F794" s="13" t="str">
        <f>"s1_node_"&amp;D794&amp;"_desc"</f>
        <v>s1_node_relic_desc</v>
      </c>
      <c r="G794" s="0" t="s">
        <v>149</v>
      </c>
      <c r="H794" s="0">
        <v>4</v>
      </c>
      <c r="I794" s="0" t="s">
        <v>27</v>
      </c>
      <c r="J794" s="0" t="s">
        <v>911</v>
      </c>
      <c r="K794" s="0">
        <v>3120</v>
      </c>
      <c r="L794" s="13">
        <v>3</v>
      </c>
      <c r="M794" s="0">
        <v>79</v>
      </c>
      <c r="N794" s="0">
        <v>2</v>
      </c>
      <c r="T794" s="0" t="str">
        <f>_xlfn.TEXTJOIN("_",TRUE,C794,"node_eff",D794,M794,N794)</f>
        <v>s1_node_eff_relic_79_2</v>
      </c>
    </row>
    <row r="795" spans="1:20" x14ac:dyDescent="0.45">
      <c r="A795" s="0" t="str">
        <f>_xlfn.TEXTJOIN("_",TRUE,C795,"node",D795,M795,N795)</f>
        <v>s1_node_relic_79_4</v>
      </c>
      <c r="B795" s="0" t="s">
        <v>0</v>
      </c>
      <c r="C795" s="0" t="s">
        <v>26</v>
      </c>
      <c r="D795" s="0" t="s">
        <v>105</v>
      </c>
      <c r="E795" s="0" t="str">
        <f>"s1_node_"&amp;D795&amp;"_name"</f>
        <v>s1_node_relic_name</v>
      </c>
      <c r="F795" s="13" t="str">
        <f>"s1_node_"&amp;D795&amp;"_desc"</f>
        <v>s1_node_relic_desc</v>
      </c>
      <c r="G795" s="0" t="s">
        <v>142</v>
      </c>
      <c r="H795" s="0">
        <v>4</v>
      </c>
      <c r="I795" s="0" t="s">
        <v>27</v>
      </c>
      <c r="J795" s="0" t="s">
        <v>911</v>
      </c>
      <c r="K795" s="0">
        <v>3120</v>
      </c>
      <c r="L795" s="13">
        <v>3</v>
      </c>
      <c r="M795" s="0">
        <v>79</v>
      </c>
      <c r="N795" s="0">
        <v>4</v>
      </c>
      <c r="P795" s="0" t="s">
        <v>912</v>
      </c>
      <c r="T795" s="0" t="str">
        <f>_xlfn.TEXTJOIN("_",TRUE,C795,"node_eff",D795,M795,N795)</f>
        <v>s1_node_eff_relic_79_4</v>
      </c>
    </row>
    <row r="796" spans="1:20" x14ac:dyDescent="0.45">
      <c r="A796" s="0" t="str">
        <f>_xlfn.TEXTJOIN("_",TRUE,C796,"node",D796,M796,N796)</f>
        <v>s1_node_relic_79_6</v>
      </c>
      <c r="B796" s="0" t="s">
        <v>0</v>
      </c>
      <c r="C796" s="0" t="s">
        <v>26</v>
      </c>
      <c r="D796" s="0" t="s">
        <v>105</v>
      </c>
      <c r="E796" s="0" t="str">
        <f>"s1_node_"&amp;D796&amp;"_name"</f>
        <v>s1_node_relic_name</v>
      </c>
      <c r="F796" s="13" t="str">
        <f>"s1_node_"&amp;D796&amp;"_desc"</f>
        <v>s1_node_relic_desc</v>
      </c>
      <c r="G796" s="0" t="s">
        <v>419</v>
      </c>
      <c r="H796" s="0">
        <v>4</v>
      </c>
      <c r="I796" s="0" t="s">
        <v>27</v>
      </c>
      <c r="J796" s="0" t="s">
        <v>911</v>
      </c>
      <c r="K796" s="0">
        <v>3120</v>
      </c>
      <c r="L796" s="13">
        <v>3</v>
      </c>
      <c r="M796" s="0">
        <v>79</v>
      </c>
      <c r="N796" s="0">
        <v>6</v>
      </c>
      <c r="T796" s="0" t="str">
        <f>_xlfn.TEXTJOIN("_",TRUE,C796,"node_eff",D796,M796,N796)</f>
        <v>s1_node_eff_relic_79_6</v>
      </c>
    </row>
    <row r="797" spans="1:20" x14ac:dyDescent="0.45">
      <c r="A797" s="0" t="str">
        <f>_xlfn.TEXTJOIN("_",TRUE,C797,"node",D797,M797,N797)</f>
        <v>s1_node_relic_80_2</v>
      </c>
      <c r="B797" s="0" t="s">
        <v>0</v>
      </c>
      <c r="C797" s="0" t="s">
        <v>26</v>
      </c>
      <c r="D797" s="0" t="s">
        <v>105</v>
      </c>
      <c r="E797" s="0" t="str">
        <f>"s1_node_"&amp;D797&amp;"_name"</f>
        <v>s1_node_relic_name</v>
      </c>
      <c r="F797" s="13" t="str">
        <f>"s1_node_"&amp;D797&amp;"_desc"</f>
        <v>s1_node_relic_desc</v>
      </c>
      <c r="G797" s="0" t="s">
        <v>138</v>
      </c>
      <c r="H797" s="0">
        <v>4</v>
      </c>
      <c r="I797" s="0" t="s">
        <v>27</v>
      </c>
      <c r="J797" s="0" t="s">
        <v>913</v>
      </c>
      <c r="K797" s="0">
        <v>3160</v>
      </c>
      <c r="L797" s="13">
        <v>3</v>
      </c>
      <c r="M797" s="0">
        <v>80</v>
      </c>
      <c r="N797" s="0">
        <v>2</v>
      </c>
      <c r="P797" s="0" t="s">
        <v>914</v>
      </c>
      <c r="T797" s="0" t="str">
        <f>_xlfn.TEXTJOIN("_",TRUE,C797,"node_eff",D797,M797,N797)</f>
        <v>s1_node_eff_relic_80_2</v>
      </c>
    </row>
    <row r="798" spans="1:20" x14ac:dyDescent="0.45">
      <c r="A798" s="0" t="str">
        <f>_xlfn.TEXTJOIN("_",TRUE,C798,"node",D798,M798,N798)</f>
        <v>s1_node_relic_80_6</v>
      </c>
      <c r="B798" s="0" t="s">
        <v>0</v>
      </c>
      <c r="C798" s="0" t="s">
        <v>26</v>
      </c>
      <c r="D798" s="0" t="s">
        <v>105</v>
      </c>
      <c r="E798" s="0" t="str">
        <f>"s1_node_"&amp;D798&amp;"_name"</f>
        <v>s1_node_relic_name</v>
      </c>
      <c r="F798" s="13" t="str">
        <f>"s1_node_"&amp;D798&amp;"_desc"</f>
        <v>s1_node_relic_desc</v>
      </c>
      <c r="G798" s="0" t="s">
        <v>149</v>
      </c>
      <c r="H798" s="0">
        <v>4</v>
      </c>
      <c r="I798" s="0" t="s">
        <v>27</v>
      </c>
      <c r="J798" s="0" t="s">
        <v>913</v>
      </c>
      <c r="K798" s="0">
        <v>3160</v>
      </c>
      <c r="L798" s="13">
        <v>3</v>
      </c>
      <c r="M798" s="0">
        <v>80</v>
      </c>
      <c r="N798" s="0">
        <v>6</v>
      </c>
      <c r="P798" s="0" t="s">
        <v>915</v>
      </c>
      <c r="T798" s="0" t="str">
        <f>_xlfn.TEXTJOIN("_",TRUE,C798,"node_eff",D798,M798,N798)</f>
        <v>s1_node_eff_relic_80_6</v>
      </c>
    </row>
    <row r="799" spans="1:20" x14ac:dyDescent="0.45">
      <c r="A799" s="0" t="str">
        <f>_xlfn.TEXTJOIN("_",TRUE,C799,"node",D799,M799,N799)</f>
        <v>s1_node_relic_81_4</v>
      </c>
      <c r="B799" s="0" t="s">
        <v>0</v>
      </c>
      <c r="C799" s="0" t="s">
        <v>26</v>
      </c>
      <c r="D799" s="0" t="s">
        <v>105</v>
      </c>
      <c r="E799" s="0" t="str">
        <f>"s1_node_"&amp;D799&amp;"_name"</f>
        <v>s1_node_relic_name</v>
      </c>
      <c r="F799" s="13" t="str">
        <f>"s1_node_"&amp;D799&amp;"_desc"</f>
        <v>s1_node_relic_desc</v>
      </c>
      <c r="G799" s="0" t="s">
        <v>149</v>
      </c>
      <c r="H799" s="0">
        <v>5</v>
      </c>
      <c r="I799" s="0" t="s">
        <v>27</v>
      </c>
      <c r="J799" s="0" t="s">
        <v>916</v>
      </c>
      <c r="K799" s="0">
        <v>3200</v>
      </c>
      <c r="L799" s="13">
        <v>3</v>
      </c>
      <c r="M799" s="0">
        <v>81</v>
      </c>
      <c r="N799" s="0">
        <v>4</v>
      </c>
      <c r="P799" s="0" t="s">
        <v>917</v>
      </c>
      <c r="T799" s="0" t="str">
        <f>_xlfn.TEXTJOIN("_",TRUE,C799,"node_eff",D799,M799,N799)</f>
        <v>s1_node_eff_relic_81_4</v>
      </c>
    </row>
    <row r="800" spans="1:20" x14ac:dyDescent="0.45">
      <c r="A800" s="0" t="str">
        <f>_xlfn.TEXTJOIN("_",TRUE,C800,"node",D800,M800,N800)</f>
        <v>s1_node_relic_82_2</v>
      </c>
      <c r="B800" s="0" t="s">
        <v>0</v>
      </c>
      <c r="C800" s="0" t="s">
        <v>26</v>
      </c>
      <c r="D800" s="0" t="s">
        <v>105</v>
      </c>
      <c r="E800" s="0" t="str">
        <f>"s1_node_"&amp;D800&amp;"_name"</f>
        <v>s1_node_relic_name</v>
      </c>
      <c r="F800" s="13" t="str">
        <f>"s1_node_"&amp;D800&amp;"_desc"</f>
        <v>s1_node_relic_desc</v>
      </c>
      <c r="G800" s="0" t="s">
        <v>795</v>
      </c>
      <c r="H800" s="0">
        <v>5</v>
      </c>
      <c r="I800" s="0" t="s">
        <v>27</v>
      </c>
      <c r="J800" s="0" t="s">
        <v>394</v>
      </c>
      <c r="K800" s="0">
        <v>3240</v>
      </c>
      <c r="L800" s="13">
        <v>3</v>
      </c>
      <c r="M800" s="0">
        <v>82</v>
      </c>
      <c r="N800" s="0">
        <v>2</v>
      </c>
      <c r="T800" s="0" t="str">
        <f>_xlfn.TEXTJOIN("_",TRUE,C800,"node_eff",D800,M800,N800)</f>
        <v>s1_node_eff_relic_82_2</v>
      </c>
    </row>
    <row r="801" spans="1:20" x14ac:dyDescent="0.45">
      <c r="A801" s="0" t="str">
        <f>_xlfn.TEXTJOIN("_",TRUE,C801,"node",D801,M801,N801)</f>
        <v>s1_node_relic_82_4</v>
      </c>
      <c r="B801" s="0" t="s">
        <v>0</v>
      </c>
      <c r="C801" s="0" t="s">
        <v>26</v>
      </c>
      <c r="D801" s="0" t="s">
        <v>105</v>
      </c>
      <c r="E801" s="0" t="str">
        <f>"s1_node_"&amp;D801&amp;"_name"</f>
        <v>s1_node_relic_name</v>
      </c>
      <c r="F801" s="13" t="str">
        <f>"s1_node_"&amp;D801&amp;"_desc"</f>
        <v>s1_node_relic_desc</v>
      </c>
      <c r="G801" s="0" t="s">
        <v>138</v>
      </c>
      <c r="H801" s="0">
        <v>5</v>
      </c>
      <c r="I801" s="0" t="s">
        <v>27</v>
      </c>
      <c r="J801" s="0" t="s">
        <v>394</v>
      </c>
      <c r="K801" s="0">
        <v>3240</v>
      </c>
      <c r="L801" s="13">
        <v>3</v>
      </c>
      <c r="M801" s="0">
        <v>82</v>
      </c>
      <c r="N801" s="0">
        <v>4</v>
      </c>
      <c r="T801" s="0" t="str">
        <f>_xlfn.TEXTJOIN("_",TRUE,C801,"node_eff",D801,M801,N801)</f>
        <v>s1_node_eff_relic_82_4</v>
      </c>
    </row>
    <row r="802" spans="1:20" x14ac:dyDescent="0.45">
      <c r="A802" s="0" t="str">
        <f>_xlfn.TEXTJOIN("_",TRUE,C802,"node",D802,M802,N802)</f>
        <v>s1_node_relic_82_6</v>
      </c>
      <c r="B802" s="0" t="s">
        <v>0</v>
      </c>
      <c r="C802" s="0" t="s">
        <v>26</v>
      </c>
      <c r="D802" s="0" t="s">
        <v>105</v>
      </c>
      <c r="E802" s="0" t="str">
        <f>"s1_node_"&amp;D802&amp;"_name"</f>
        <v>s1_node_relic_name</v>
      </c>
      <c r="F802" s="13" t="str">
        <f>"s1_node_"&amp;D802&amp;"_desc"</f>
        <v>s1_node_relic_desc</v>
      </c>
      <c r="G802" s="0" t="s">
        <v>149</v>
      </c>
      <c r="H802" s="0">
        <v>5</v>
      </c>
      <c r="I802" s="0" t="s">
        <v>27</v>
      </c>
      <c r="J802" s="0" t="s">
        <v>394</v>
      </c>
      <c r="K802" s="0">
        <v>3240</v>
      </c>
      <c r="L802" s="13">
        <v>3</v>
      </c>
      <c r="M802" s="0">
        <v>82</v>
      </c>
      <c r="N802" s="0">
        <v>6</v>
      </c>
      <c r="T802" s="0" t="str">
        <f>_xlfn.TEXTJOIN("_",TRUE,C802,"node_eff",D802,M802,N802)</f>
        <v>s1_node_eff_relic_82_6</v>
      </c>
    </row>
    <row r="803" spans="1:20" x14ac:dyDescent="0.45">
      <c r="A803" s="0" t="str">
        <f>_xlfn.TEXTJOIN("_",TRUE,C803,"node",D803,M803,N803)</f>
        <v>s1_node_relic_83_2</v>
      </c>
      <c r="B803" s="0" t="s">
        <v>0</v>
      </c>
      <c r="C803" s="0" t="s">
        <v>26</v>
      </c>
      <c r="D803" s="0" t="s">
        <v>105</v>
      </c>
      <c r="E803" s="0" t="str">
        <f>"s1_node_"&amp;D803&amp;"_name"</f>
        <v>s1_node_relic_name</v>
      </c>
      <c r="F803" s="13" t="str">
        <f>"s1_node_"&amp;D803&amp;"_desc"</f>
        <v>s1_node_relic_desc</v>
      </c>
      <c r="G803" s="0" t="s">
        <v>788</v>
      </c>
      <c r="H803" s="0">
        <v>5</v>
      </c>
      <c r="I803" s="0" t="s">
        <v>27</v>
      </c>
      <c r="J803" s="0" t="s">
        <v>918</v>
      </c>
      <c r="K803" s="0">
        <v>3270</v>
      </c>
      <c r="L803" s="13">
        <v>3</v>
      </c>
      <c r="M803" s="0">
        <v>83</v>
      </c>
      <c r="N803" s="0">
        <v>2</v>
      </c>
      <c r="P803" s="0" t="s">
        <v>919</v>
      </c>
      <c r="T803" s="0" t="str">
        <f>_xlfn.TEXTJOIN("_",TRUE,C803,"node_eff",D803,M803,N803)</f>
        <v>s1_node_eff_relic_83_2</v>
      </c>
    </row>
    <row r="804" spans="1:20" x14ac:dyDescent="0.45">
      <c r="A804" s="0" t="str">
        <f>_xlfn.TEXTJOIN("_",TRUE,C804,"node",D804,M804,N804)</f>
        <v>s1_node_relic_83_6</v>
      </c>
      <c r="B804" s="0" t="s">
        <v>0</v>
      </c>
      <c r="C804" s="0" t="s">
        <v>26</v>
      </c>
      <c r="D804" s="0" t="s">
        <v>105</v>
      </c>
      <c r="E804" s="0" t="str">
        <f>"s1_node_"&amp;D804&amp;"_name"</f>
        <v>s1_node_relic_name</v>
      </c>
      <c r="F804" s="13" t="str">
        <f>"s1_node_"&amp;D804&amp;"_desc"</f>
        <v>s1_node_relic_desc</v>
      </c>
      <c r="G804" s="0" t="s">
        <v>149</v>
      </c>
      <c r="H804" s="0">
        <v>5</v>
      </c>
      <c r="I804" s="0" t="s">
        <v>27</v>
      </c>
      <c r="J804" s="0" t="s">
        <v>918</v>
      </c>
      <c r="K804" s="0">
        <v>3270</v>
      </c>
      <c r="L804" s="13">
        <v>3</v>
      </c>
      <c r="M804" s="0">
        <v>83</v>
      </c>
      <c r="N804" s="0">
        <v>6</v>
      </c>
      <c r="P804" s="0" t="s">
        <v>920</v>
      </c>
      <c r="T804" s="0" t="str">
        <f>_xlfn.TEXTJOIN("_",TRUE,C804,"node_eff",D804,M804,N804)</f>
        <v>s1_node_eff_relic_83_6</v>
      </c>
    </row>
    <row r="805" spans="1:20" x14ac:dyDescent="0.45">
      <c r="A805" s="0" t="str">
        <f>_xlfn.TEXTJOIN("_",TRUE,C805,"node",D805,M805,N805)</f>
        <v>s1_node_relic_84_2</v>
      </c>
      <c r="B805" s="0" t="s">
        <v>0</v>
      </c>
      <c r="C805" s="0" t="s">
        <v>26</v>
      </c>
      <c r="D805" s="0" t="s">
        <v>105</v>
      </c>
      <c r="E805" s="0" t="str">
        <f>"s1_node_"&amp;D805&amp;"_name"</f>
        <v>s1_node_relic_name</v>
      </c>
      <c r="F805" s="13" t="str">
        <f>"s1_node_"&amp;D805&amp;"_desc"</f>
        <v>s1_node_relic_desc</v>
      </c>
      <c r="G805" s="0" t="s">
        <v>142</v>
      </c>
      <c r="H805" s="0">
        <v>5</v>
      </c>
      <c r="I805" s="0" t="s">
        <v>27</v>
      </c>
      <c r="J805" s="0" t="s">
        <v>399</v>
      </c>
      <c r="K805" s="0">
        <v>3310</v>
      </c>
      <c r="L805" s="13">
        <v>3</v>
      </c>
      <c r="M805" s="0">
        <v>84</v>
      </c>
      <c r="N805" s="0">
        <v>2</v>
      </c>
      <c r="T805" s="0" t="str">
        <f>_xlfn.TEXTJOIN("_",TRUE,C805,"node_eff",D805,M805,N805)</f>
        <v>s1_node_eff_relic_84_2</v>
      </c>
    </row>
    <row r="806" spans="1:20" x14ac:dyDescent="0.45">
      <c r="A806" s="0" t="str">
        <f>_xlfn.TEXTJOIN("_",TRUE,C806,"node",D806,M806,N806)</f>
        <v>s1_node_relic_84_4</v>
      </c>
      <c r="B806" s="0" t="s">
        <v>0</v>
      </c>
      <c r="C806" s="0" t="s">
        <v>26</v>
      </c>
      <c r="D806" s="0" t="s">
        <v>105</v>
      </c>
      <c r="E806" s="0" t="str">
        <f>"s1_node_"&amp;D806&amp;"_name"</f>
        <v>s1_node_relic_name</v>
      </c>
      <c r="F806" s="13" t="str">
        <f>"s1_node_"&amp;D806&amp;"_desc"</f>
        <v>s1_node_relic_desc</v>
      </c>
      <c r="G806" s="0" t="s">
        <v>419</v>
      </c>
      <c r="H806" s="0">
        <v>5</v>
      </c>
      <c r="I806" s="0" t="s">
        <v>27</v>
      </c>
      <c r="J806" s="0" t="s">
        <v>399</v>
      </c>
      <c r="K806" s="0">
        <v>3310</v>
      </c>
      <c r="L806" s="13">
        <v>3</v>
      </c>
      <c r="M806" s="0">
        <v>84</v>
      </c>
      <c r="N806" s="0">
        <v>4</v>
      </c>
      <c r="P806" s="0" t="s">
        <v>921</v>
      </c>
      <c r="T806" s="0" t="str">
        <f>_xlfn.TEXTJOIN("_",TRUE,C806,"node_eff",D806,M806,N806)</f>
        <v>s1_node_eff_relic_84_4</v>
      </c>
    </row>
    <row r="807" spans="1:20" x14ac:dyDescent="0.45">
      <c r="A807" s="0" t="str">
        <f>_xlfn.TEXTJOIN("_",TRUE,C807,"node",D807,M807,N807)</f>
        <v>s1_node_relic_84_6</v>
      </c>
      <c r="B807" s="0" t="s">
        <v>0</v>
      </c>
      <c r="C807" s="0" t="s">
        <v>26</v>
      </c>
      <c r="D807" s="0" t="s">
        <v>105</v>
      </c>
      <c r="E807" s="0" t="str">
        <f>"s1_node_"&amp;D807&amp;"_name"</f>
        <v>s1_node_relic_name</v>
      </c>
      <c r="F807" s="13" t="str">
        <f>"s1_node_"&amp;D807&amp;"_desc"</f>
        <v>s1_node_relic_desc</v>
      </c>
      <c r="G807" s="0" t="s">
        <v>138</v>
      </c>
      <c r="H807" s="0">
        <v>5</v>
      </c>
      <c r="I807" s="0" t="s">
        <v>27</v>
      </c>
      <c r="J807" s="0" t="s">
        <v>399</v>
      </c>
      <c r="K807" s="0">
        <v>3310</v>
      </c>
      <c r="L807" s="13">
        <v>3</v>
      </c>
      <c r="M807" s="0">
        <v>84</v>
      </c>
      <c r="N807" s="0">
        <v>6</v>
      </c>
      <c r="T807" s="0" t="str">
        <f>_xlfn.TEXTJOIN("_",TRUE,C807,"node_eff",D807,M807,N807)</f>
        <v>s1_node_eff_relic_84_6</v>
      </c>
    </row>
    <row r="808" spans="1:20" x14ac:dyDescent="0.45">
      <c r="A808" s="0" t="str">
        <f>_xlfn.TEXTJOIN("_",TRUE,C808,"node",D808,M808,N808)</f>
        <v>s1_node_relic_85_2</v>
      </c>
      <c r="B808" s="0" t="s">
        <v>0</v>
      </c>
      <c r="C808" s="0" t="s">
        <v>26</v>
      </c>
      <c r="D808" s="0" t="s">
        <v>105</v>
      </c>
      <c r="E808" s="0" t="str">
        <f>"s1_node_"&amp;D808&amp;"_name"</f>
        <v>s1_node_relic_name</v>
      </c>
      <c r="F808" s="13" t="str">
        <f>"s1_node_"&amp;D808&amp;"_desc"</f>
        <v>s1_node_relic_desc</v>
      </c>
      <c r="G808" s="0" t="s">
        <v>149</v>
      </c>
      <c r="H808" s="0">
        <v>5</v>
      </c>
      <c r="I808" s="0" t="s">
        <v>27</v>
      </c>
      <c r="J808" s="0" t="s">
        <v>402</v>
      </c>
      <c r="K808" s="0">
        <v>3350</v>
      </c>
      <c r="L808" s="13">
        <v>3</v>
      </c>
      <c r="M808" s="0">
        <v>85</v>
      </c>
      <c r="N808" s="0">
        <v>2</v>
      </c>
      <c r="P808" s="0" t="s">
        <v>922</v>
      </c>
      <c r="T808" s="0" t="str">
        <f>_xlfn.TEXTJOIN("_",TRUE,C808,"node_eff",D808,M808,N808)</f>
        <v>s1_node_eff_relic_85_2</v>
      </c>
    </row>
    <row r="809" spans="1:20" x14ac:dyDescent="0.45">
      <c r="A809" s="0" t="str">
        <f>_xlfn.TEXTJOIN("_",TRUE,C809,"node",D809,M809,N809)</f>
        <v>s1_node_relic_85_6</v>
      </c>
      <c r="B809" s="0" t="s">
        <v>0</v>
      </c>
      <c r="C809" s="0" t="s">
        <v>26</v>
      </c>
      <c r="D809" s="0" t="s">
        <v>105</v>
      </c>
      <c r="E809" s="0" t="str">
        <f>"s1_node_"&amp;D809&amp;"_name"</f>
        <v>s1_node_relic_name</v>
      </c>
      <c r="F809" s="13" t="str">
        <f>"s1_node_"&amp;D809&amp;"_desc"</f>
        <v>s1_node_relic_desc</v>
      </c>
      <c r="G809" s="0" t="s">
        <v>149</v>
      </c>
      <c r="H809" s="0">
        <v>5</v>
      </c>
      <c r="I809" s="0" t="s">
        <v>27</v>
      </c>
      <c r="J809" s="0" t="s">
        <v>402</v>
      </c>
      <c r="K809" s="0">
        <v>3350</v>
      </c>
      <c r="L809" s="13">
        <v>3</v>
      </c>
      <c r="M809" s="0">
        <v>85</v>
      </c>
      <c r="N809" s="0">
        <v>6</v>
      </c>
      <c r="P809" s="0" t="s">
        <v>923</v>
      </c>
      <c r="T809" s="0" t="str">
        <f>_xlfn.TEXTJOIN("_",TRUE,C809,"node_eff",D809,M809,N809)</f>
        <v>s1_node_eff_relic_85_6</v>
      </c>
    </row>
    <row r="810" spans="1:20" x14ac:dyDescent="0.45">
      <c r="A810" s="0" t="str">
        <f>_xlfn.TEXTJOIN("_",TRUE,C810,"node",D810,M810,N810)</f>
        <v>s1_node_relic_86_4</v>
      </c>
      <c r="B810" s="0" t="s">
        <v>0</v>
      </c>
      <c r="C810" s="0" t="s">
        <v>26</v>
      </c>
      <c r="D810" s="0" t="s">
        <v>105</v>
      </c>
      <c r="E810" s="0" t="str">
        <f>"s1_node_"&amp;D810&amp;"_name"</f>
        <v>s1_node_relic_name</v>
      </c>
      <c r="F810" s="13" t="str">
        <f>"s1_node_"&amp;D810&amp;"_desc"</f>
        <v>s1_node_relic_desc</v>
      </c>
      <c r="G810" s="0" t="s">
        <v>795</v>
      </c>
      <c r="H810" s="0">
        <v>5</v>
      </c>
      <c r="I810" s="0" t="s">
        <v>27</v>
      </c>
      <c r="J810" s="0" t="s">
        <v>924</v>
      </c>
      <c r="K810" s="0">
        <v>3390</v>
      </c>
      <c r="L810" s="13">
        <v>3</v>
      </c>
      <c r="M810" s="0">
        <v>86</v>
      </c>
      <c r="N810" s="0">
        <v>4</v>
      </c>
      <c r="P810" s="0" t="s">
        <v>925</v>
      </c>
      <c r="T810" s="0" t="str">
        <f>_xlfn.TEXTJOIN("_",TRUE,C810,"node_eff",D810,M810,N810)</f>
        <v>s1_node_eff_relic_86_4</v>
      </c>
    </row>
    <row r="811" spans="1:20" x14ac:dyDescent="0.45">
      <c r="A811" s="0" t="str">
        <f>_xlfn.TEXTJOIN("_",TRUE,C811,"node",D811,M811,N811)</f>
        <v>s1_node_relic_87_2</v>
      </c>
      <c r="B811" s="0" t="s">
        <v>0</v>
      </c>
      <c r="C811" s="0" t="s">
        <v>26</v>
      </c>
      <c r="D811" s="0" t="s">
        <v>105</v>
      </c>
      <c r="E811" s="0" t="str">
        <f>"s1_node_"&amp;D811&amp;"_name"</f>
        <v>s1_node_relic_name</v>
      </c>
      <c r="F811" s="13" t="str">
        <f>"s1_node_"&amp;D811&amp;"_desc"</f>
        <v>s1_node_relic_desc</v>
      </c>
      <c r="G811" s="0" t="s">
        <v>138</v>
      </c>
      <c r="H811" s="0">
        <v>5</v>
      </c>
      <c r="I811" s="0" t="s">
        <v>27</v>
      </c>
      <c r="J811" s="0" t="s">
        <v>926</v>
      </c>
      <c r="K811" s="0">
        <v>3430</v>
      </c>
      <c r="L811" s="13">
        <v>3</v>
      </c>
      <c r="M811" s="0">
        <v>87</v>
      </c>
      <c r="N811" s="0">
        <v>2</v>
      </c>
      <c r="T811" s="0" t="str">
        <f>_xlfn.TEXTJOIN("_",TRUE,C811,"node_eff",D811,M811,N811)</f>
        <v>s1_node_eff_relic_87_2</v>
      </c>
    </row>
    <row r="812" spans="1:20" x14ac:dyDescent="0.45">
      <c r="A812" s="0" t="str">
        <f>_xlfn.TEXTJOIN("_",TRUE,C812,"node",D812,M812,N812)</f>
        <v>s1_node_relic_87_4</v>
      </c>
      <c r="B812" s="0" t="s">
        <v>0</v>
      </c>
      <c r="C812" s="0" t="s">
        <v>26</v>
      </c>
      <c r="D812" s="0" t="s">
        <v>105</v>
      </c>
      <c r="E812" s="0" t="str">
        <f>"s1_node_"&amp;D812&amp;"_name"</f>
        <v>s1_node_relic_name</v>
      </c>
      <c r="F812" s="13" t="str">
        <f>"s1_node_"&amp;D812&amp;"_desc"</f>
        <v>s1_node_relic_desc</v>
      </c>
      <c r="G812" s="0" t="s">
        <v>149</v>
      </c>
      <c r="H812" s="0">
        <v>5</v>
      </c>
      <c r="I812" s="0" t="s">
        <v>27</v>
      </c>
      <c r="J812" s="0" t="s">
        <v>926</v>
      </c>
      <c r="K812" s="0">
        <v>3430</v>
      </c>
      <c r="L812" s="13">
        <v>3</v>
      </c>
      <c r="M812" s="0">
        <v>87</v>
      </c>
      <c r="N812" s="0">
        <v>4</v>
      </c>
      <c r="T812" s="0" t="str">
        <f>_xlfn.TEXTJOIN("_",TRUE,C812,"node_eff",D812,M812,N812)</f>
        <v>s1_node_eff_relic_87_4</v>
      </c>
    </row>
    <row r="813" spans="1:20" x14ac:dyDescent="0.45">
      <c r="A813" s="0" t="str">
        <f>_xlfn.TEXTJOIN("_",TRUE,C813,"node",D813,M813,N813)</f>
        <v>s1_node_relic_87_6</v>
      </c>
      <c r="B813" s="0" t="s">
        <v>0</v>
      </c>
      <c r="C813" s="0" t="s">
        <v>26</v>
      </c>
      <c r="D813" s="0" t="s">
        <v>105</v>
      </c>
      <c r="E813" s="0" t="str">
        <f>"s1_node_"&amp;D813&amp;"_name"</f>
        <v>s1_node_relic_name</v>
      </c>
      <c r="F813" s="13" t="str">
        <f>"s1_node_"&amp;D813&amp;"_desc"</f>
        <v>s1_node_relic_desc</v>
      </c>
      <c r="G813" s="0" t="s">
        <v>788</v>
      </c>
      <c r="H813" s="0">
        <v>5</v>
      </c>
      <c r="I813" s="0" t="s">
        <v>27</v>
      </c>
      <c r="J813" s="0" t="s">
        <v>926</v>
      </c>
      <c r="K813" s="0">
        <v>3430</v>
      </c>
      <c r="L813" s="13">
        <v>3</v>
      </c>
      <c r="M813" s="0">
        <v>87</v>
      </c>
      <c r="N813" s="0">
        <v>6</v>
      </c>
      <c r="T813" s="0" t="str">
        <f>_xlfn.TEXTJOIN("_",TRUE,C813,"node_eff",D813,M813,N813)</f>
        <v>s1_node_eff_relic_87_6</v>
      </c>
    </row>
    <row r="814" spans="1:20" x14ac:dyDescent="0.45">
      <c r="A814" s="0" t="str">
        <f>_xlfn.TEXTJOIN("_",TRUE,C814,"node",D814,M814,N814)</f>
        <v>s1_node_relic_88_2</v>
      </c>
      <c r="B814" s="0" t="s">
        <v>0</v>
      </c>
      <c r="C814" s="0" t="s">
        <v>26</v>
      </c>
      <c r="D814" s="0" t="s">
        <v>105</v>
      </c>
      <c r="E814" s="0" t="str">
        <f>"s1_node_"&amp;D814&amp;"_name"</f>
        <v>s1_node_relic_name</v>
      </c>
      <c r="F814" s="13" t="str">
        <f>"s1_node_"&amp;D814&amp;"_desc"</f>
        <v>s1_node_relic_desc</v>
      </c>
      <c r="G814" s="0" t="s">
        <v>149</v>
      </c>
      <c r="H814" s="0">
        <v>5</v>
      </c>
      <c r="I814" s="0" t="s">
        <v>27</v>
      </c>
      <c r="J814" s="0" t="s">
        <v>927</v>
      </c>
      <c r="K814" s="0">
        <v>3460</v>
      </c>
      <c r="L814" s="13">
        <v>3</v>
      </c>
      <c r="M814" s="0">
        <v>88</v>
      </c>
      <c r="N814" s="0">
        <v>2</v>
      </c>
      <c r="P814" s="0" t="s">
        <v>928</v>
      </c>
      <c r="T814" s="0" t="str">
        <f>_xlfn.TEXTJOIN("_",TRUE,C814,"node_eff",D814,M814,N814)</f>
        <v>s1_node_eff_relic_88_2</v>
      </c>
    </row>
    <row r="815" spans="1:20" x14ac:dyDescent="0.45">
      <c r="A815" s="0" t="str">
        <f>_xlfn.TEXTJOIN("_",TRUE,C815,"node",D815,M815,N815)</f>
        <v>s1_node_relic_88_6</v>
      </c>
      <c r="B815" s="0" t="s">
        <v>0</v>
      </c>
      <c r="C815" s="0" t="s">
        <v>26</v>
      </c>
      <c r="D815" s="0" t="s">
        <v>105</v>
      </c>
      <c r="E815" s="0" t="str">
        <f>"s1_node_"&amp;D815&amp;"_name"</f>
        <v>s1_node_relic_name</v>
      </c>
      <c r="F815" s="13" t="str">
        <f>"s1_node_"&amp;D815&amp;"_desc"</f>
        <v>s1_node_relic_desc</v>
      </c>
      <c r="G815" s="0" t="s">
        <v>142</v>
      </c>
      <c r="H815" s="0">
        <v>5</v>
      </c>
      <c r="I815" s="0" t="s">
        <v>27</v>
      </c>
      <c r="J815" s="0" t="s">
        <v>927</v>
      </c>
      <c r="K815" s="0">
        <v>3460</v>
      </c>
      <c r="L815" s="13">
        <v>3</v>
      </c>
      <c r="M815" s="0">
        <v>88</v>
      </c>
      <c r="N815" s="0">
        <v>6</v>
      </c>
      <c r="P815" s="0" t="s">
        <v>929</v>
      </c>
      <c r="T815" s="0" t="str">
        <f>_xlfn.TEXTJOIN("_",TRUE,C815,"node_eff",D815,M815,N815)</f>
        <v>s1_node_eff_relic_88_6</v>
      </c>
    </row>
    <row r="816" spans="1:20" x14ac:dyDescent="0.45">
      <c r="A816" s="0" t="str">
        <f>_xlfn.TEXTJOIN("_",TRUE,C816,"node",D816,M816,N816)</f>
        <v>s1_node_relic_89_2</v>
      </c>
      <c r="B816" s="0" t="s">
        <v>0</v>
      </c>
      <c r="C816" s="0" t="s">
        <v>26</v>
      </c>
      <c r="D816" s="0" t="s">
        <v>105</v>
      </c>
      <c r="E816" s="0" t="str">
        <f>"s1_node_"&amp;D816&amp;"_name"</f>
        <v>s1_node_relic_name</v>
      </c>
      <c r="F816" s="13" t="str">
        <f>"s1_node_"&amp;D816&amp;"_desc"</f>
        <v>s1_node_relic_desc</v>
      </c>
      <c r="G816" s="0" t="s">
        <v>419</v>
      </c>
      <c r="H816" s="0">
        <v>5</v>
      </c>
      <c r="I816" s="0" t="s">
        <v>27</v>
      </c>
      <c r="J816" s="0" t="s">
        <v>930</v>
      </c>
      <c r="K816" s="0">
        <v>3500</v>
      </c>
      <c r="L816" s="13">
        <v>3</v>
      </c>
      <c r="M816" s="0">
        <v>89</v>
      </c>
      <c r="N816" s="0">
        <v>2</v>
      </c>
      <c r="T816" s="0" t="str">
        <f>_xlfn.TEXTJOIN("_",TRUE,C816,"node_eff",D816,M816,N816)</f>
        <v>s1_node_eff_relic_89_2</v>
      </c>
    </row>
    <row r="817" spans="1:20" x14ac:dyDescent="0.45">
      <c r="A817" s="0" t="str">
        <f>_xlfn.TEXTJOIN("_",TRUE,C817,"node",D817,M817,N817)</f>
        <v>s1_node_relic_89_4</v>
      </c>
      <c r="B817" s="0" t="s">
        <v>0</v>
      </c>
      <c r="C817" s="0" t="s">
        <v>26</v>
      </c>
      <c r="D817" s="0" t="s">
        <v>105</v>
      </c>
      <c r="E817" s="0" t="str">
        <f>"s1_node_"&amp;D817&amp;"_name"</f>
        <v>s1_node_relic_name</v>
      </c>
      <c r="F817" s="13" t="str">
        <f>"s1_node_"&amp;D817&amp;"_desc"</f>
        <v>s1_node_relic_desc</v>
      </c>
      <c r="G817" s="0" t="s">
        <v>138</v>
      </c>
      <c r="H817" s="0">
        <v>5</v>
      </c>
      <c r="I817" s="0" t="s">
        <v>27</v>
      </c>
      <c r="J817" s="0" t="s">
        <v>930</v>
      </c>
      <c r="K817" s="0">
        <v>3500</v>
      </c>
      <c r="L817" s="13">
        <v>3</v>
      </c>
      <c r="M817" s="0">
        <v>89</v>
      </c>
      <c r="N817" s="0">
        <v>4</v>
      </c>
      <c r="P817" s="0" t="s">
        <v>931</v>
      </c>
      <c r="T817" s="0" t="str">
        <f>_xlfn.TEXTJOIN("_",TRUE,C817,"node_eff",D817,M817,N817)</f>
        <v>s1_node_eff_relic_89_4</v>
      </c>
    </row>
    <row r="818" spans="1:20" x14ac:dyDescent="0.45">
      <c r="A818" s="0" t="str">
        <f>_xlfn.TEXTJOIN("_",TRUE,C818,"node",D818,M818,N818)</f>
        <v>s1_node_relic_89_6</v>
      </c>
      <c r="B818" s="0" t="s">
        <v>0</v>
      </c>
      <c r="C818" s="0" t="s">
        <v>26</v>
      </c>
      <c r="D818" s="0" t="s">
        <v>105</v>
      </c>
      <c r="E818" s="0" t="str">
        <f>"s1_node_"&amp;D818&amp;"_name"</f>
        <v>s1_node_relic_name</v>
      </c>
      <c r="F818" s="13" t="str">
        <f>"s1_node_"&amp;D818&amp;"_desc"</f>
        <v>s1_node_relic_desc</v>
      </c>
      <c r="G818" s="0" t="s">
        <v>149</v>
      </c>
      <c r="H818" s="0">
        <v>5</v>
      </c>
      <c r="I818" s="0" t="s">
        <v>27</v>
      </c>
      <c r="J818" s="0" t="s">
        <v>930</v>
      </c>
      <c r="K818" s="0">
        <v>3500</v>
      </c>
      <c r="L818" s="13">
        <v>3</v>
      </c>
      <c r="M818" s="0">
        <v>89</v>
      </c>
      <c r="N818" s="0">
        <v>6</v>
      </c>
      <c r="T818" s="0" t="str">
        <f>_xlfn.TEXTJOIN("_",TRUE,C818,"node_eff",D818,M818,N818)</f>
        <v>s1_node_eff_relic_89_6</v>
      </c>
    </row>
    <row r="819" spans="1:20" x14ac:dyDescent="0.45">
      <c r="A819" s="0" t="str">
        <f>_xlfn.TEXTJOIN("_",TRUE,C819,"node",D819,M819,N819)</f>
        <v>s1_node_relic_90_2</v>
      </c>
      <c r="B819" s="0" t="s">
        <v>0</v>
      </c>
      <c r="C819" s="0" t="s">
        <v>26</v>
      </c>
      <c r="D819" s="0" t="s">
        <v>105</v>
      </c>
      <c r="E819" s="0" t="str">
        <f>"s1_node_"&amp;D819&amp;"_name"</f>
        <v>s1_node_relic_name</v>
      </c>
      <c r="F819" s="13" t="str">
        <f>"s1_node_"&amp;D819&amp;"_desc"</f>
        <v>s1_node_relic_desc</v>
      </c>
      <c r="G819" s="0" t="s">
        <v>149</v>
      </c>
      <c r="H819" s="0">
        <v>5</v>
      </c>
      <c r="I819" s="0" t="s">
        <v>27</v>
      </c>
      <c r="J819" s="0" t="s">
        <v>606</v>
      </c>
      <c r="K819" s="0">
        <v>3540</v>
      </c>
      <c r="L819" s="13">
        <v>3</v>
      </c>
      <c r="M819" s="0">
        <v>90</v>
      </c>
      <c r="N819" s="0">
        <v>2</v>
      </c>
      <c r="P819" s="0" t="s">
        <v>932</v>
      </c>
      <c r="T819" s="0" t="str">
        <f>_xlfn.TEXTJOIN("_",TRUE,C819,"node_eff",D819,M819,N819)</f>
        <v>s1_node_eff_relic_90_2</v>
      </c>
    </row>
    <row r="820" spans="1:20" x14ac:dyDescent="0.45">
      <c r="A820" s="0" t="str">
        <f>_xlfn.TEXTJOIN("_",TRUE,C820,"node",D820,M820,N820)</f>
        <v>s1_node_relic_90_6</v>
      </c>
      <c r="B820" s="0" t="s">
        <v>0</v>
      </c>
      <c r="C820" s="0" t="s">
        <v>26</v>
      </c>
      <c r="D820" s="0" t="s">
        <v>105</v>
      </c>
      <c r="E820" s="0" t="str">
        <f>"s1_node_"&amp;D820&amp;"_name"</f>
        <v>s1_node_relic_name</v>
      </c>
      <c r="F820" s="13" t="str">
        <f>"s1_node_"&amp;D820&amp;"_desc"</f>
        <v>s1_node_relic_desc</v>
      </c>
      <c r="G820" s="0" t="s">
        <v>795</v>
      </c>
      <c r="H820" s="0">
        <v>5</v>
      </c>
      <c r="I820" s="0" t="s">
        <v>27</v>
      </c>
      <c r="J820" s="0" t="s">
        <v>606</v>
      </c>
      <c r="K820" s="0">
        <v>3540</v>
      </c>
      <c r="L820" s="13">
        <v>3</v>
      </c>
      <c r="M820" s="0">
        <v>90</v>
      </c>
      <c r="N820" s="0">
        <v>6</v>
      </c>
      <c r="P820" s="0" t="s">
        <v>933</v>
      </c>
      <c r="T820" s="0" t="str">
        <f>_xlfn.TEXTJOIN("_",TRUE,C820,"node_eff",D820,M820,N820)</f>
        <v>s1_node_eff_relic_90_6</v>
      </c>
    </row>
    <row r="821" spans="1:20" x14ac:dyDescent="0.45">
      <c r="A821" s="0" t="str">
        <f>_xlfn.TEXTJOIN("_",TRUE,C821,"node",D821,M821,N821)</f>
        <v>s1_node_relic_91_4</v>
      </c>
      <c r="B821" s="0" t="s">
        <v>0</v>
      </c>
      <c r="C821" s="0" t="s">
        <v>26</v>
      </c>
      <c r="D821" s="0" t="s">
        <v>105</v>
      </c>
      <c r="E821" s="0" t="str">
        <f>"s1_node_"&amp;D821&amp;"_name"</f>
        <v>s1_node_relic_name</v>
      </c>
      <c r="F821" s="13" t="str">
        <f>"s1_node_"&amp;D821&amp;"_desc"</f>
        <v>s1_node_relic_desc</v>
      </c>
      <c r="G821" s="0" t="s">
        <v>138</v>
      </c>
      <c r="H821" s="0">
        <v>5</v>
      </c>
      <c r="I821" s="0" t="s">
        <v>27</v>
      </c>
      <c r="J821" s="0" t="s">
        <v>607</v>
      </c>
      <c r="K821" s="0">
        <v>3580</v>
      </c>
      <c r="L821" s="13">
        <v>3</v>
      </c>
      <c r="M821" s="0">
        <v>91</v>
      </c>
      <c r="N821" s="0">
        <v>4</v>
      </c>
      <c r="P821" s="0" t="s">
        <v>934</v>
      </c>
      <c r="T821" s="0" t="str">
        <f>_xlfn.TEXTJOIN("_",TRUE,C821,"node_eff",D821,M821,N821)</f>
        <v>s1_node_eff_relic_91_4</v>
      </c>
    </row>
    <row r="822" spans="1:20" x14ac:dyDescent="0.45">
      <c r="A822" s="0" t="str">
        <f>_xlfn.TEXTJOIN("_",TRUE,C822,"node",D822,M822,N822)</f>
        <v>s1_node_relic_92_2</v>
      </c>
      <c r="B822" s="0" t="s">
        <v>0</v>
      </c>
      <c r="C822" s="0" t="s">
        <v>26</v>
      </c>
      <c r="D822" s="0" t="s">
        <v>105</v>
      </c>
      <c r="E822" s="0" t="str">
        <f>"s1_node_"&amp;D822&amp;"_name"</f>
        <v>s1_node_relic_name</v>
      </c>
      <c r="F822" s="13" t="str">
        <f>"s1_node_"&amp;D822&amp;"_desc"</f>
        <v>s1_node_relic_desc</v>
      </c>
      <c r="G822" s="0" t="s">
        <v>149</v>
      </c>
      <c r="H822" s="0">
        <v>5</v>
      </c>
      <c r="I822" s="0" t="s">
        <v>27</v>
      </c>
      <c r="J822" s="0" t="s">
        <v>935</v>
      </c>
      <c r="K822" s="0">
        <v>3620</v>
      </c>
      <c r="L822" s="13">
        <v>3</v>
      </c>
      <c r="M822" s="0">
        <v>92</v>
      </c>
      <c r="N822" s="0">
        <v>2</v>
      </c>
      <c r="T822" s="0" t="str">
        <f>_xlfn.TEXTJOIN("_",TRUE,C822,"node_eff",D822,M822,N822)</f>
        <v>s1_node_eff_relic_92_2</v>
      </c>
    </row>
    <row r="823" spans="1:20" x14ac:dyDescent="0.45">
      <c r="A823" s="0" t="str">
        <f>_xlfn.TEXTJOIN("_",TRUE,C823,"node",D823,M823,N823)</f>
        <v>s1_node_relic_92_4</v>
      </c>
      <c r="B823" s="0" t="s">
        <v>0</v>
      </c>
      <c r="C823" s="0" t="s">
        <v>26</v>
      </c>
      <c r="D823" s="0" t="s">
        <v>105</v>
      </c>
      <c r="E823" s="0" t="str">
        <f>"s1_node_"&amp;D823&amp;"_name"</f>
        <v>s1_node_relic_name</v>
      </c>
      <c r="F823" s="13" t="str">
        <f>"s1_node_"&amp;D823&amp;"_desc"</f>
        <v>s1_node_relic_desc</v>
      </c>
      <c r="G823" s="0" t="s">
        <v>788</v>
      </c>
      <c r="H823" s="0">
        <v>5</v>
      </c>
      <c r="I823" s="0" t="s">
        <v>27</v>
      </c>
      <c r="J823" s="0" t="s">
        <v>935</v>
      </c>
      <c r="K823" s="0">
        <v>3620</v>
      </c>
      <c r="L823" s="13">
        <v>3</v>
      </c>
      <c r="M823" s="0">
        <v>92</v>
      </c>
      <c r="N823" s="0">
        <v>4</v>
      </c>
      <c r="T823" s="0" t="str">
        <f>_xlfn.TEXTJOIN("_",TRUE,C823,"node_eff",D823,M823,N823)</f>
        <v>s1_node_eff_relic_92_4</v>
      </c>
    </row>
    <row r="824" spans="1:20" x14ac:dyDescent="0.45">
      <c r="A824" s="0" t="str">
        <f>_xlfn.TEXTJOIN("_",TRUE,C824,"node",D824,M824,N824)</f>
        <v>s1_node_relic_92_6</v>
      </c>
      <c r="B824" s="0" t="s">
        <v>0</v>
      </c>
      <c r="C824" s="0" t="s">
        <v>26</v>
      </c>
      <c r="D824" s="0" t="s">
        <v>105</v>
      </c>
      <c r="E824" s="0" t="str">
        <f>"s1_node_"&amp;D824&amp;"_name"</f>
        <v>s1_node_relic_name</v>
      </c>
      <c r="F824" s="13" t="str">
        <f>"s1_node_"&amp;D824&amp;"_desc"</f>
        <v>s1_node_relic_desc</v>
      </c>
      <c r="G824" s="0" t="s">
        <v>149</v>
      </c>
      <c r="H824" s="0">
        <v>5</v>
      </c>
      <c r="I824" s="0" t="s">
        <v>27</v>
      </c>
      <c r="J824" s="0" t="s">
        <v>935</v>
      </c>
      <c r="K824" s="0">
        <v>3620</v>
      </c>
      <c r="L824" s="13">
        <v>3</v>
      </c>
      <c r="M824" s="0">
        <v>92</v>
      </c>
      <c r="N824" s="0">
        <v>6</v>
      </c>
      <c r="T824" s="0" t="str">
        <f>_xlfn.TEXTJOIN("_",TRUE,C824,"node_eff",D824,M824,N824)</f>
        <v>s1_node_eff_relic_92_6</v>
      </c>
    </row>
    <row r="825" spans="1:20" x14ac:dyDescent="0.45">
      <c r="A825" s="0" t="str">
        <f>_xlfn.TEXTJOIN("_",TRUE,C825,"node",D825,M825,N825)</f>
        <v>s1_node_relic_93_2</v>
      </c>
      <c r="B825" s="0" t="s">
        <v>0</v>
      </c>
      <c r="C825" s="0" t="s">
        <v>26</v>
      </c>
      <c r="D825" s="0" t="s">
        <v>105</v>
      </c>
      <c r="E825" s="0" t="str">
        <f>"s1_node_"&amp;D825&amp;"_name"</f>
        <v>s1_node_relic_name</v>
      </c>
      <c r="F825" s="13" t="str">
        <f>"s1_node_"&amp;D825&amp;"_desc"</f>
        <v>s1_node_relic_desc</v>
      </c>
      <c r="G825" s="0" t="s">
        <v>142</v>
      </c>
      <c r="H825" s="0">
        <v>5</v>
      </c>
      <c r="I825" s="0" t="s">
        <v>27</v>
      </c>
      <c r="J825" s="0" t="s">
        <v>612</v>
      </c>
      <c r="K825" s="0">
        <v>3650</v>
      </c>
      <c r="L825" s="13">
        <v>3</v>
      </c>
      <c r="M825" s="0">
        <v>93</v>
      </c>
      <c r="N825" s="0">
        <v>2</v>
      </c>
      <c r="P825" s="0" t="s">
        <v>936</v>
      </c>
      <c r="T825" s="0" t="str">
        <f>_xlfn.TEXTJOIN("_",TRUE,C825,"node_eff",D825,M825,N825)</f>
        <v>s1_node_eff_relic_93_2</v>
      </c>
    </row>
    <row r="826" spans="1:20" x14ac:dyDescent="0.45">
      <c r="A826" s="0" t="str">
        <f>_xlfn.TEXTJOIN("_",TRUE,C826,"node",D826,M826,N826)</f>
        <v>s1_node_relic_93_6</v>
      </c>
      <c r="B826" s="0" t="s">
        <v>0</v>
      </c>
      <c r="C826" s="0" t="s">
        <v>26</v>
      </c>
      <c r="D826" s="0" t="s">
        <v>105</v>
      </c>
      <c r="E826" s="0" t="str">
        <f>"s1_node_"&amp;D826&amp;"_name"</f>
        <v>s1_node_relic_name</v>
      </c>
      <c r="F826" s="13" t="str">
        <f>"s1_node_"&amp;D826&amp;"_desc"</f>
        <v>s1_node_relic_desc</v>
      </c>
      <c r="G826" s="0" t="s">
        <v>419</v>
      </c>
      <c r="H826" s="0">
        <v>5</v>
      </c>
      <c r="I826" s="0" t="s">
        <v>27</v>
      </c>
      <c r="J826" s="0" t="s">
        <v>612</v>
      </c>
      <c r="K826" s="0">
        <v>3650</v>
      </c>
      <c r="L826" s="13">
        <v>3</v>
      </c>
      <c r="M826" s="0">
        <v>93</v>
      </c>
      <c r="N826" s="0">
        <v>6</v>
      </c>
      <c r="P826" s="0" t="s">
        <v>937</v>
      </c>
      <c r="T826" s="0" t="str">
        <f>_xlfn.TEXTJOIN("_",TRUE,C826,"node_eff",D826,M826,N826)</f>
        <v>s1_node_eff_relic_93_6</v>
      </c>
    </row>
    <row r="827" spans="1:20" x14ac:dyDescent="0.45">
      <c r="A827" s="0" t="str">
        <f>_xlfn.TEXTJOIN("_",TRUE,C827,"node",D827,M827,N827)</f>
        <v>s1_node_relic_94_2</v>
      </c>
      <c r="B827" s="0" t="s">
        <v>0</v>
      </c>
      <c r="C827" s="0" t="s">
        <v>26</v>
      </c>
      <c r="D827" s="0" t="s">
        <v>105</v>
      </c>
      <c r="E827" s="0" t="str">
        <f>"s1_node_"&amp;D827&amp;"_name"</f>
        <v>s1_node_relic_name</v>
      </c>
      <c r="F827" s="13" t="str">
        <f>"s1_node_"&amp;D827&amp;"_desc"</f>
        <v>s1_node_relic_desc</v>
      </c>
      <c r="G827" s="0" t="s">
        <v>138</v>
      </c>
      <c r="H827" s="0">
        <v>5</v>
      </c>
      <c r="I827" s="0" t="s">
        <v>27</v>
      </c>
      <c r="J827" s="0" t="s">
        <v>938</v>
      </c>
      <c r="K827" s="0">
        <v>3690</v>
      </c>
      <c r="L827" s="13">
        <v>3</v>
      </c>
      <c r="M827" s="0">
        <v>94</v>
      </c>
      <c r="N827" s="0">
        <v>2</v>
      </c>
      <c r="T827" s="0" t="str">
        <f>_xlfn.TEXTJOIN("_",TRUE,C827,"node_eff",D827,M827,N827)</f>
        <v>s1_node_eff_relic_94_2</v>
      </c>
    </row>
    <row r="828" spans="1:20" x14ac:dyDescent="0.45">
      <c r="A828" s="0" t="str">
        <f>_xlfn.TEXTJOIN("_",TRUE,C828,"node",D828,M828,N828)</f>
        <v>s1_node_relic_94_4</v>
      </c>
      <c r="B828" s="0" t="s">
        <v>0</v>
      </c>
      <c r="C828" s="0" t="s">
        <v>26</v>
      </c>
      <c r="D828" s="0" t="s">
        <v>105</v>
      </c>
      <c r="E828" s="0" t="str">
        <f>"s1_node_"&amp;D828&amp;"_name"</f>
        <v>s1_node_relic_name</v>
      </c>
      <c r="F828" s="13" t="str">
        <f>"s1_node_"&amp;D828&amp;"_desc"</f>
        <v>s1_node_relic_desc</v>
      </c>
      <c r="G828" s="0" t="s">
        <v>149</v>
      </c>
      <c r="H828" s="0">
        <v>5</v>
      </c>
      <c r="I828" s="0" t="s">
        <v>27</v>
      </c>
      <c r="J828" s="0" t="s">
        <v>938</v>
      </c>
      <c r="K828" s="0">
        <v>3690</v>
      </c>
      <c r="L828" s="13">
        <v>3</v>
      </c>
      <c r="M828" s="0">
        <v>94</v>
      </c>
      <c r="N828" s="0">
        <v>4</v>
      </c>
      <c r="P828" s="0" t="s">
        <v>939</v>
      </c>
      <c r="T828" s="0" t="str">
        <f>_xlfn.TEXTJOIN("_",TRUE,C828,"node_eff",D828,M828,N828)</f>
        <v>s1_node_eff_relic_94_4</v>
      </c>
    </row>
    <row r="829" spans="1:20" x14ac:dyDescent="0.45">
      <c r="A829" s="0" t="str">
        <f>_xlfn.TEXTJOIN("_",TRUE,C829,"node",D829,M829,N829)</f>
        <v>s1_node_relic_94_6</v>
      </c>
      <c r="B829" s="0" t="s">
        <v>0</v>
      </c>
      <c r="C829" s="0" t="s">
        <v>26</v>
      </c>
      <c r="D829" s="0" t="s">
        <v>105</v>
      </c>
      <c r="E829" s="0" t="str">
        <f>"s1_node_"&amp;D829&amp;"_name"</f>
        <v>s1_node_relic_name</v>
      </c>
      <c r="F829" s="13" t="str">
        <f>"s1_node_"&amp;D829&amp;"_desc"</f>
        <v>s1_node_relic_desc</v>
      </c>
      <c r="G829" s="0" t="s">
        <v>149</v>
      </c>
      <c r="H829" s="0">
        <v>5</v>
      </c>
      <c r="I829" s="0" t="s">
        <v>27</v>
      </c>
      <c r="J829" s="0" t="s">
        <v>938</v>
      </c>
      <c r="K829" s="0">
        <v>3690</v>
      </c>
      <c r="L829" s="13">
        <v>3</v>
      </c>
      <c r="M829" s="0">
        <v>94</v>
      </c>
      <c r="N829" s="0">
        <v>6</v>
      </c>
      <c r="T829" s="0" t="str">
        <f>_xlfn.TEXTJOIN("_",TRUE,C829,"node_eff",D829,M829,N829)</f>
        <v>s1_node_eff_relic_94_6</v>
      </c>
    </row>
    <row r="830" spans="1:20" x14ac:dyDescent="0.45">
      <c r="A830" s="0" t="str">
        <f>_xlfn.TEXTJOIN("_",TRUE,C830,"node",D830,M830,N830)</f>
        <v>s1_node_relic_95_2</v>
      </c>
      <c r="B830" s="0" t="s">
        <v>0</v>
      </c>
      <c r="C830" s="0" t="s">
        <v>26</v>
      </c>
      <c r="D830" s="0" t="s">
        <v>105</v>
      </c>
      <c r="E830" s="0" t="str">
        <f>"s1_node_"&amp;D830&amp;"_name"</f>
        <v>s1_node_relic_name</v>
      </c>
      <c r="F830" s="13" t="str">
        <f>"s1_node_"&amp;D830&amp;"_desc"</f>
        <v>s1_node_relic_desc</v>
      </c>
      <c r="G830" s="0" t="s">
        <v>795</v>
      </c>
      <c r="H830" s="0">
        <v>5</v>
      </c>
      <c r="I830" s="0" t="s">
        <v>27</v>
      </c>
      <c r="J830" s="0" t="s">
        <v>940</v>
      </c>
      <c r="K830" s="0">
        <v>3730</v>
      </c>
      <c r="L830" s="13">
        <v>3</v>
      </c>
      <c r="M830" s="0">
        <v>95</v>
      </c>
      <c r="N830" s="0">
        <v>2</v>
      </c>
      <c r="P830" s="0" t="s">
        <v>941</v>
      </c>
      <c r="T830" s="0" t="str">
        <f>_xlfn.TEXTJOIN("_",TRUE,C830,"node_eff",D830,M830,N830)</f>
        <v>s1_node_eff_relic_95_2</v>
      </c>
    </row>
    <row r="831" spans="1:20" x14ac:dyDescent="0.45">
      <c r="A831" s="0" t="str">
        <f>_xlfn.TEXTJOIN("_",TRUE,C831,"node",D831,M831,N831)</f>
        <v>s1_node_relic_95_6</v>
      </c>
      <c r="B831" s="0" t="s">
        <v>0</v>
      </c>
      <c r="C831" s="0" t="s">
        <v>26</v>
      </c>
      <c r="D831" s="0" t="s">
        <v>105</v>
      </c>
      <c r="E831" s="0" t="str">
        <f>"s1_node_"&amp;D831&amp;"_name"</f>
        <v>s1_node_relic_name</v>
      </c>
      <c r="F831" s="13" t="str">
        <f>"s1_node_"&amp;D831&amp;"_desc"</f>
        <v>s1_node_relic_desc</v>
      </c>
      <c r="G831" s="0" t="s">
        <v>138</v>
      </c>
      <c r="H831" s="0">
        <v>5</v>
      </c>
      <c r="I831" s="0" t="s">
        <v>27</v>
      </c>
      <c r="J831" s="0" t="s">
        <v>940</v>
      </c>
      <c r="K831" s="0">
        <v>3730</v>
      </c>
      <c r="L831" s="13">
        <v>3</v>
      </c>
      <c r="M831" s="0">
        <v>95</v>
      </c>
      <c r="N831" s="0">
        <v>6</v>
      </c>
      <c r="P831" s="0" t="s">
        <v>942</v>
      </c>
      <c r="T831" s="0" t="str">
        <f>_xlfn.TEXTJOIN("_",TRUE,C831,"node_eff",D831,M831,N831)</f>
        <v>s1_node_eff_relic_95_6</v>
      </c>
    </row>
    <row r="832" spans="1:20" x14ac:dyDescent="0.45">
      <c r="A832" s="0" t="str">
        <f>_xlfn.TEXTJOIN("_",TRUE,C832,"node",D832,M832,N832)</f>
        <v>s1_node_relic_96_4</v>
      </c>
      <c r="B832" s="0" t="s">
        <v>0</v>
      </c>
      <c r="C832" s="0" t="s">
        <v>26</v>
      </c>
      <c r="D832" s="0" t="s">
        <v>105</v>
      </c>
      <c r="E832" s="0" t="str">
        <f>"s1_node_"&amp;D832&amp;"_name"</f>
        <v>s1_node_relic_name</v>
      </c>
      <c r="F832" s="13" t="str">
        <f>"s1_node_"&amp;D832&amp;"_desc"</f>
        <v>s1_node_relic_desc</v>
      </c>
      <c r="G832" s="0" t="s">
        <v>149</v>
      </c>
      <c r="H832" s="0">
        <v>5</v>
      </c>
      <c r="I832" s="0" t="s">
        <v>27</v>
      </c>
      <c r="J832" s="0" t="s">
        <v>943</v>
      </c>
      <c r="K832" s="0">
        <v>3770</v>
      </c>
      <c r="L832" s="13">
        <v>3</v>
      </c>
      <c r="M832" s="0">
        <v>96</v>
      </c>
      <c r="N832" s="0">
        <v>4</v>
      </c>
      <c r="P832" s="0" t="s">
        <v>944</v>
      </c>
      <c r="T832" s="0" t="str">
        <f>_xlfn.TEXTJOIN("_",TRUE,C832,"node_eff",D832,M832,N832)</f>
        <v>s1_node_eff_relic_96_4</v>
      </c>
    </row>
    <row r="833" spans="1:20" x14ac:dyDescent="0.45">
      <c r="A833" s="0" t="str">
        <f>_xlfn.TEXTJOIN("_",TRUE,C833,"node",D833,M833,N833)</f>
        <v>s1_node_relic_97_2</v>
      </c>
      <c r="B833" s="0" t="s">
        <v>0</v>
      </c>
      <c r="C833" s="0" t="s">
        <v>26</v>
      </c>
      <c r="D833" s="0" t="s">
        <v>105</v>
      </c>
      <c r="E833" s="0" t="str">
        <f>"s1_node_"&amp;D833&amp;"_name"</f>
        <v>s1_node_relic_name</v>
      </c>
      <c r="F833" s="13" t="str">
        <f>"s1_node_"&amp;D833&amp;"_desc"</f>
        <v>s1_node_relic_desc</v>
      </c>
      <c r="G833" s="0" t="s">
        <v>788</v>
      </c>
      <c r="H833" s="0">
        <v>5</v>
      </c>
      <c r="I833" s="0" t="s">
        <v>27</v>
      </c>
      <c r="J833" s="0" t="s">
        <v>783</v>
      </c>
      <c r="K833" s="0">
        <v>3810</v>
      </c>
      <c r="L833" s="13">
        <v>3</v>
      </c>
      <c r="M833" s="0">
        <v>97</v>
      </c>
      <c r="N833" s="0">
        <v>2</v>
      </c>
      <c r="T833" s="0" t="str">
        <f>_xlfn.TEXTJOIN("_",TRUE,C833,"node_eff",D833,M833,N833)</f>
        <v>s1_node_eff_relic_97_2</v>
      </c>
    </row>
    <row r="834" spans="1:20" x14ac:dyDescent="0.45">
      <c r="A834" s="0" t="str">
        <f>_xlfn.TEXTJOIN("_",TRUE,C834,"node",D834,M834,N834)</f>
        <v>s1_node_relic_97_4</v>
      </c>
      <c r="B834" s="0" t="s">
        <v>0</v>
      </c>
      <c r="C834" s="0" t="s">
        <v>26</v>
      </c>
      <c r="D834" s="0" t="s">
        <v>105</v>
      </c>
      <c r="E834" s="0" t="str">
        <f>"s1_node_"&amp;D834&amp;"_name"</f>
        <v>s1_node_relic_name</v>
      </c>
      <c r="F834" s="13" t="str">
        <f>"s1_node_"&amp;D834&amp;"_desc"</f>
        <v>s1_node_relic_desc</v>
      </c>
      <c r="G834" s="0" t="s">
        <v>149</v>
      </c>
      <c r="H834" s="0">
        <v>5</v>
      </c>
      <c r="I834" s="0" t="s">
        <v>27</v>
      </c>
      <c r="J834" s="0" t="s">
        <v>783</v>
      </c>
      <c r="K834" s="0">
        <v>3810</v>
      </c>
      <c r="L834" s="13">
        <v>3</v>
      </c>
      <c r="M834" s="0">
        <v>97</v>
      </c>
      <c r="N834" s="0">
        <v>4</v>
      </c>
      <c r="T834" s="0" t="str">
        <f>_xlfn.TEXTJOIN("_",TRUE,C834,"node_eff",D834,M834,N834)</f>
        <v>s1_node_eff_relic_97_4</v>
      </c>
    </row>
    <row r="835" spans="1:20" x14ac:dyDescent="0.45">
      <c r="A835" s="0" t="str">
        <f>_xlfn.TEXTJOIN("_",TRUE,C835,"node",D835,M835,N835)</f>
        <v>s1_node_relic_97_6</v>
      </c>
      <c r="B835" s="0" t="s">
        <v>0</v>
      </c>
      <c r="C835" s="0" t="s">
        <v>26</v>
      </c>
      <c r="D835" s="0" t="s">
        <v>105</v>
      </c>
      <c r="E835" s="0" t="str">
        <f>"s1_node_"&amp;D835&amp;"_name"</f>
        <v>s1_node_relic_name</v>
      </c>
      <c r="F835" s="13" t="str">
        <f>"s1_node_"&amp;D835&amp;"_desc"</f>
        <v>s1_node_relic_desc</v>
      </c>
      <c r="G835" s="0" t="s">
        <v>142</v>
      </c>
      <c r="H835" s="0">
        <v>5</v>
      </c>
      <c r="I835" s="0" t="s">
        <v>27</v>
      </c>
      <c r="J835" s="0" t="s">
        <v>783</v>
      </c>
      <c r="K835" s="0">
        <v>3810</v>
      </c>
      <c r="L835" s="13">
        <v>3</v>
      </c>
      <c r="M835" s="0">
        <v>97</v>
      </c>
      <c r="N835" s="0">
        <v>6</v>
      </c>
      <c r="T835" s="0" t="str">
        <f>_xlfn.TEXTJOIN("_",TRUE,C835,"node_eff",D835,M835,N835)</f>
        <v>s1_node_eff_relic_97_6</v>
      </c>
    </row>
    <row r="836" spans="1:20" x14ac:dyDescent="0.45">
      <c r="A836" s="0" t="str">
        <f>_xlfn.TEXTJOIN("_",TRUE,C836,"node",D836,M836,N836)</f>
        <v>s1_node_relic_98_2</v>
      </c>
      <c r="B836" s="0" t="s">
        <v>0</v>
      </c>
      <c r="C836" s="0" t="s">
        <v>26</v>
      </c>
      <c r="D836" s="0" t="s">
        <v>105</v>
      </c>
      <c r="E836" s="0" t="str">
        <f>"s1_node_"&amp;D836&amp;"_name"</f>
        <v>s1_node_relic_name</v>
      </c>
      <c r="F836" s="13" t="str">
        <f>"s1_node_"&amp;D836&amp;"_desc"</f>
        <v>s1_node_relic_desc</v>
      </c>
      <c r="G836" s="0" t="s">
        <v>419</v>
      </c>
      <c r="H836" s="0">
        <v>5</v>
      </c>
      <c r="I836" s="0" t="s">
        <v>27</v>
      </c>
      <c r="J836" s="0" t="s">
        <v>945</v>
      </c>
      <c r="K836" s="0">
        <v>3840</v>
      </c>
      <c r="L836" s="13">
        <v>3</v>
      </c>
      <c r="M836" s="0">
        <v>98</v>
      </c>
      <c r="N836" s="0">
        <v>2</v>
      </c>
      <c r="P836" s="0" t="s">
        <v>946</v>
      </c>
      <c r="T836" s="0" t="str">
        <f>_xlfn.TEXTJOIN("_",TRUE,C836,"node_eff",D836,M836,N836)</f>
        <v>s1_node_eff_relic_98_2</v>
      </c>
    </row>
    <row r="837" spans="1:20" x14ac:dyDescent="0.45">
      <c r="A837" s="0" t="str">
        <f>_xlfn.TEXTJOIN("_",TRUE,C837,"node",D837,M837,N837)</f>
        <v>s1_node_relic_98_6</v>
      </c>
      <c r="B837" s="0" t="s">
        <v>0</v>
      </c>
      <c r="C837" s="0" t="s">
        <v>26</v>
      </c>
      <c r="D837" s="0" t="s">
        <v>105</v>
      </c>
      <c r="E837" s="0" t="str">
        <f>"s1_node_"&amp;D837&amp;"_name"</f>
        <v>s1_node_relic_name</v>
      </c>
      <c r="F837" s="13" t="str">
        <f>"s1_node_"&amp;D837&amp;"_desc"</f>
        <v>s1_node_relic_desc</v>
      </c>
      <c r="G837" s="0" t="s">
        <v>138</v>
      </c>
      <c r="H837" s="0">
        <v>5</v>
      </c>
      <c r="I837" s="0" t="s">
        <v>27</v>
      </c>
      <c r="J837" s="0" t="s">
        <v>945</v>
      </c>
      <c r="K837" s="0">
        <v>3840</v>
      </c>
      <c r="L837" s="13">
        <v>3</v>
      </c>
      <c r="M837" s="0">
        <v>98</v>
      </c>
      <c r="N837" s="0">
        <v>6</v>
      </c>
      <c r="P837" s="0" t="s">
        <v>947</v>
      </c>
      <c r="T837" s="0" t="str">
        <f>_xlfn.TEXTJOIN("_",TRUE,C837,"node_eff",D837,M837,N837)</f>
        <v>s1_node_eff_relic_98_6</v>
      </c>
    </row>
    <row r="838" spans="1:20" x14ac:dyDescent="0.45">
      <c r="A838" s="0" t="str">
        <f>_xlfn.TEXTJOIN("_",TRUE,C838,"node",D838,M838,N838)</f>
        <v>s1_node_relic_99_2</v>
      </c>
      <c r="B838" s="0" t="s">
        <v>0</v>
      </c>
      <c r="C838" s="0" t="s">
        <v>26</v>
      </c>
      <c r="D838" s="0" t="s">
        <v>105</v>
      </c>
      <c r="E838" s="0" t="str">
        <f>"s1_node_"&amp;D838&amp;"_name"</f>
        <v>s1_node_relic_name</v>
      </c>
      <c r="F838" s="13" t="str">
        <f>"s1_node_"&amp;D838&amp;"_desc"</f>
        <v>s1_node_relic_desc</v>
      </c>
      <c r="G838" s="0" t="s">
        <v>149</v>
      </c>
      <c r="H838" s="0">
        <v>5</v>
      </c>
      <c r="I838" s="0" t="s">
        <v>27</v>
      </c>
      <c r="J838" s="0" t="s">
        <v>948</v>
      </c>
      <c r="K838" s="0">
        <v>3880</v>
      </c>
      <c r="L838" s="13">
        <v>3</v>
      </c>
      <c r="M838" s="0">
        <v>99</v>
      </c>
      <c r="N838" s="0">
        <v>2</v>
      </c>
      <c r="T838" s="0" t="str">
        <f>_xlfn.TEXTJOIN("_",TRUE,C838,"node_eff",D838,M838,N838)</f>
        <v>s1_node_eff_relic_99_2</v>
      </c>
    </row>
    <row r="839" spans="1:20" x14ac:dyDescent="0.45">
      <c r="A839" s="0" t="str">
        <f>_xlfn.TEXTJOIN("_",TRUE,C839,"node",D839,M839,N839)</f>
        <v>s1_node_relic_99_4</v>
      </c>
      <c r="B839" s="0" t="s">
        <v>0</v>
      </c>
      <c r="C839" s="0" t="s">
        <v>26</v>
      </c>
      <c r="D839" s="0" t="s">
        <v>105</v>
      </c>
      <c r="E839" s="0" t="str">
        <f>"s1_node_"&amp;D839&amp;"_name"</f>
        <v>s1_node_relic_name</v>
      </c>
      <c r="F839" s="13" t="str">
        <f>"s1_node_"&amp;D839&amp;"_desc"</f>
        <v>s1_node_relic_desc</v>
      </c>
      <c r="G839" s="0" t="s">
        <v>149</v>
      </c>
      <c r="H839" s="0">
        <v>5</v>
      </c>
      <c r="I839" s="0" t="s">
        <v>27</v>
      </c>
      <c r="J839" s="0" t="s">
        <v>948</v>
      </c>
      <c r="K839" s="0">
        <v>3880</v>
      </c>
      <c r="L839" s="13">
        <v>3</v>
      </c>
      <c r="M839" s="0">
        <v>99</v>
      </c>
      <c r="N839" s="0">
        <v>4</v>
      </c>
      <c r="P839" s="0" t="s">
        <v>949</v>
      </c>
      <c r="T839" s="0" t="str">
        <f>_xlfn.TEXTJOIN("_",TRUE,C839,"node_eff",D839,M839,N839)</f>
        <v>s1_node_eff_relic_99_4</v>
      </c>
    </row>
    <row r="840" spans="1:20" x14ac:dyDescent="0.45">
      <c r="A840" s="0" t="str">
        <f>_xlfn.TEXTJOIN("_",TRUE,C840,"node",D840,M840,N840)</f>
        <v>s1_node_relic_99_6</v>
      </c>
      <c r="B840" s="0" t="s">
        <v>0</v>
      </c>
      <c r="C840" s="0" t="s">
        <v>26</v>
      </c>
      <c r="D840" s="0" t="s">
        <v>105</v>
      </c>
      <c r="E840" s="0" t="str">
        <f>"s1_node_"&amp;D840&amp;"_name"</f>
        <v>s1_node_relic_name</v>
      </c>
      <c r="F840" s="13" t="str">
        <f>"s1_node_"&amp;D840&amp;"_desc"</f>
        <v>s1_node_relic_desc</v>
      </c>
      <c r="G840" s="0" t="s">
        <v>795</v>
      </c>
      <c r="H840" s="0">
        <v>5</v>
      </c>
      <c r="I840" s="0" t="s">
        <v>27</v>
      </c>
      <c r="J840" s="0" t="s">
        <v>948</v>
      </c>
      <c r="K840" s="0">
        <v>3880</v>
      </c>
      <c r="L840" s="13">
        <v>3</v>
      </c>
      <c r="M840" s="0">
        <v>99</v>
      </c>
      <c r="N840" s="0">
        <v>6</v>
      </c>
      <c r="T840" s="0" t="str">
        <f>_xlfn.TEXTJOIN("_",TRUE,C840,"node_eff",D840,M840,N840)</f>
        <v>s1_node_eff_relic_99_6</v>
      </c>
    </row>
    <row r="841" spans="1:20" x14ac:dyDescent="0.45">
      <c r="A841" s="0" t="str">
        <f>_xlfn.TEXTJOIN("_",TRUE,C841,"node",D841,M841,N841)</f>
        <v>s1_node_relic_100_2</v>
      </c>
      <c r="B841" s="0" t="s">
        <v>0</v>
      </c>
      <c r="C841" s="0" t="s">
        <v>26</v>
      </c>
      <c r="D841" s="0" t="s">
        <v>105</v>
      </c>
      <c r="E841" s="0" t="str">
        <f>"s1_node_"&amp;D841&amp;"_name"</f>
        <v>s1_node_relic_name</v>
      </c>
      <c r="F841" s="13" t="str">
        <f>"s1_node_"&amp;D841&amp;"_desc"</f>
        <v>s1_node_relic_desc</v>
      </c>
      <c r="G841" s="0" t="s">
        <v>138</v>
      </c>
      <c r="H841" s="0">
        <v>5</v>
      </c>
      <c r="I841" s="0" t="s">
        <v>27</v>
      </c>
      <c r="J841" s="0" t="s">
        <v>950</v>
      </c>
      <c r="K841" s="0">
        <v>3920</v>
      </c>
      <c r="L841" s="13">
        <v>3</v>
      </c>
      <c r="M841" s="0">
        <v>100</v>
      </c>
      <c r="N841" s="0">
        <v>2</v>
      </c>
      <c r="P841" s="0" t="s">
        <v>951</v>
      </c>
      <c r="T841" s="0" t="str">
        <f>_xlfn.TEXTJOIN("_",TRUE,C841,"node_eff",D841,M841,N841)</f>
        <v>s1_node_eff_relic_100_2</v>
      </c>
    </row>
    <row r="842" spans="1:20" x14ac:dyDescent="0.45">
      <c r="A842" s="0" t="str">
        <f>_xlfn.TEXTJOIN("_",TRUE,C842,"node",D842,M842,N842)</f>
        <v>s1_node_relic_100_6</v>
      </c>
      <c r="B842" s="0" t="s">
        <v>0</v>
      </c>
      <c r="C842" s="0" t="s">
        <v>26</v>
      </c>
      <c r="D842" s="0" t="s">
        <v>105</v>
      </c>
      <c r="E842" s="0" t="str">
        <f>"s1_node_"&amp;D842&amp;"_name"</f>
        <v>s1_node_relic_name</v>
      </c>
      <c r="F842" s="13" t="str">
        <f>"s1_node_"&amp;D842&amp;"_desc"</f>
        <v>s1_node_relic_desc</v>
      </c>
      <c r="G842" s="0" t="s">
        <v>149</v>
      </c>
      <c r="H842" s="0">
        <v>5</v>
      </c>
      <c r="I842" s="0" t="s">
        <v>27</v>
      </c>
      <c r="J842" s="0" t="s">
        <v>950</v>
      </c>
      <c r="K842" s="0">
        <v>3920</v>
      </c>
      <c r="L842" s="13">
        <v>3</v>
      </c>
      <c r="M842" s="0">
        <v>100</v>
      </c>
      <c r="N842" s="0">
        <v>6</v>
      </c>
      <c r="P842" s="0" t="s">
        <v>952</v>
      </c>
      <c r="T842" s="0" t="str">
        <f>_xlfn.TEXTJOIN("_",TRUE,C842,"node_eff",D842,M842,N842)</f>
        <v>s1_node_eff_relic_100_6</v>
      </c>
    </row>
    <row r="843" spans="1:20" x14ac:dyDescent="0.45">
      <c r="A843" s="0" t="str">
        <f>_xlfn.TEXTJOIN("_",TRUE,C843,"node",D843,M843,N843)</f>
        <v>s1_node_battle_1_4</v>
      </c>
      <c r="B843" s="0" t="s">
        <v>0</v>
      </c>
      <c r="C843" s="0" t="s">
        <v>26</v>
      </c>
      <c r="D843" s="0" t="s">
        <v>106</v>
      </c>
      <c r="E843" s="0" t="str">
        <f>"s1_node_"&amp;D843&amp;"_name"</f>
        <v>s1_node_battle_name</v>
      </c>
      <c r="F843" s="13" t="str">
        <f>"s1_node_"&amp;D843&amp;"_desc"</f>
        <v>s1_node_battle_desc</v>
      </c>
      <c r="G843" s="0" t="s">
        <v>149</v>
      </c>
      <c r="H843" s="0">
        <v>1</v>
      </c>
      <c r="I843" s="0" t="s">
        <v>27</v>
      </c>
      <c r="J843" s="0" t="s">
        <v>146</v>
      </c>
      <c r="K843" s="0">
        <v>180</v>
      </c>
      <c r="L843" s="13">
        <v>3</v>
      </c>
      <c r="M843" s="0">
        <v>1</v>
      </c>
      <c r="N843" s="0">
        <v>4</v>
      </c>
      <c r="T843" s="0" t="str">
        <f>_xlfn.TEXTJOIN("_",TRUE,C843,"node_eff",D843,M843,N843)</f>
        <v>s1_node_eff_battle_1_4</v>
      </c>
    </row>
    <row r="844" spans="1:20" x14ac:dyDescent="0.45">
      <c r="A844" s="0" t="str">
        <f>_xlfn.TEXTJOIN("_",TRUE,C844,"node",D844,M844,N844)</f>
        <v>s1_node_battle_2_2</v>
      </c>
      <c r="B844" s="0" t="s">
        <v>0</v>
      </c>
      <c r="C844" s="0" t="s">
        <v>26</v>
      </c>
      <c r="D844" s="0" t="s">
        <v>106</v>
      </c>
      <c r="E844" s="0" t="str">
        <f>"s1_node_"&amp;D844&amp;"_name"</f>
        <v>s1_node_battle_name</v>
      </c>
      <c r="F844" s="13" t="str">
        <f>"s1_node_"&amp;D844&amp;"_desc"</f>
        <v>s1_node_battle_desc</v>
      </c>
      <c r="G844" s="0" t="s">
        <v>419</v>
      </c>
      <c r="H844" s="0">
        <v>1</v>
      </c>
      <c r="I844" s="0" t="s">
        <v>27</v>
      </c>
      <c r="J844" s="0" t="s">
        <v>150</v>
      </c>
      <c r="K844" s="0">
        <v>220</v>
      </c>
      <c r="L844" s="13">
        <v>3</v>
      </c>
      <c r="M844" s="0">
        <v>2</v>
      </c>
      <c r="N844" s="0">
        <v>2</v>
      </c>
      <c r="T844" s="0" t="str">
        <f>_xlfn.TEXTJOIN("_",TRUE,C844,"node_eff",D844,M844,N844)</f>
        <v>s1_node_eff_battle_2_2</v>
      </c>
    </row>
    <row r="845" spans="1:20" x14ac:dyDescent="0.45">
      <c r="A845" s="0" t="str">
        <f>_xlfn.TEXTJOIN("_",TRUE,C845,"node",D845,M845,N845)</f>
        <v>s1_node_battle_2_4</v>
      </c>
      <c r="B845" s="0" t="s">
        <v>0</v>
      </c>
      <c r="C845" s="0" t="s">
        <v>26</v>
      </c>
      <c r="D845" s="0" t="s">
        <v>106</v>
      </c>
      <c r="E845" s="0" t="str">
        <f>"s1_node_"&amp;D845&amp;"_name"</f>
        <v>s1_node_battle_name</v>
      </c>
      <c r="F845" s="13" t="str">
        <f>"s1_node_"&amp;D845&amp;"_desc"</f>
        <v>s1_node_battle_desc</v>
      </c>
      <c r="G845" s="0" t="s">
        <v>419</v>
      </c>
      <c r="H845" s="0">
        <v>1</v>
      </c>
      <c r="I845" s="0" t="s">
        <v>27</v>
      </c>
      <c r="J845" s="0" t="s">
        <v>150</v>
      </c>
      <c r="K845" s="0">
        <v>220</v>
      </c>
      <c r="L845" s="13">
        <v>3</v>
      </c>
      <c r="M845" s="0">
        <v>2</v>
      </c>
      <c r="N845" s="0">
        <v>4</v>
      </c>
      <c r="T845" s="0" t="str">
        <f>_xlfn.TEXTJOIN("_",TRUE,C845,"node_eff",D845,M845,N845)</f>
        <v>s1_node_eff_battle_2_4</v>
      </c>
    </row>
    <row r="846" spans="1:20" x14ac:dyDescent="0.45">
      <c r="A846" s="0" t="str">
        <f>_xlfn.TEXTJOIN("_",TRUE,C846,"node",D846,M846,N846)</f>
        <v>s1_node_battle_2_6</v>
      </c>
      <c r="B846" s="0" t="s">
        <v>0</v>
      </c>
      <c r="C846" s="0" t="s">
        <v>26</v>
      </c>
      <c r="D846" s="0" t="s">
        <v>106</v>
      </c>
      <c r="E846" s="0" t="str">
        <f>"s1_node_"&amp;D846&amp;"_name"</f>
        <v>s1_node_battle_name</v>
      </c>
      <c r="F846" s="13" t="str">
        <f>"s1_node_"&amp;D846&amp;"_desc"</f>
        <v>s1_node_battle_desc</v>
      </c>
      <c r="G846" s="0" t="s">
        <v>795</v>
      </c>
      <c r="H846" s="0">
        <v>1</v>
      </c>
      <c r="I846" s="0" t="s">
        <v>27</v>
      </c>
      <c r="J846" s="0" t="s">
        <v>150</v>
      </c>
      <c r="K846" s="0">
        <v>220</v>
      </c>
      <c r="L846" s="13">
        <v>3</v>
      </c>
      <c r="M846" s="0">
        <v>2</v>
      </c>
      <c r="N846" s="0">
        <v>6</v>
      </c>
      <c r="T846" s="0" t="str">
        <f>_xlfn.TEXTJOIN("_",TRUE,C846,"node_eff",D846,M846,N846)</f>
        <v>s1_node_eff_battle_2_6</v>
      </c>
    </row>
    <row r="847" spans="1:20" x14ac:dyDescent="0.45">
      <c r="A847" s="0" t="str">
        <f>_xlfn.TEXTJOIN("_",TRUE,C847,"node",D847,M847,N847)</f>
        <v>s1_node_battle_3_2</v>
      </c>
      <c r="B847" s="0" t="s">
        <v>0</v>
      </c>
      <c r="C847" s="0" t="s">
        <v>26</v>
      </c>
      <c r="D847" s="0" t="s">
        <v>106</v>
      </c>
      <c r="E847" s="0" t="str">
        <f>"s1_node_"&amp;D847&amp;"_name"</f>
        <v>s1_node_battle_name</v>
      </c>
      <c r="F847" s="13" t="str">
        <f>"s1_node_"&amp;D847&amp;"_desc"</f>
        <v>s1_node_battle_desc</v>
      </c>
      <c r="G847" s="0" t="s">
        <v>795</v>
      </c>
      <c r="H847" s="0">
        <v>1</v>
      </c>
      <c r="I847" s="0" t="s">
        <v>27</v>
      </c>
      <c r="J847" s="0" t="s">
        <v>953</v>
      </c>
      <c r="K847" s="0">
        <v>260</v>
      </c>
      <c r="L847" s="13">
        <v>3</v>
      </c>
      <c r="M847" s="0">
        <v>3</v>
      </c>
      <c r="N847" s="0">
        <v>2</v>
      </c>
      <c r="P847" s="0" t="s">
        <v>954</v>
      </c>
      <c r="T847" s="0" t="str">
        <f>_xlfn.TEXTJOIN("_",TRUE,C847,"node_eff",D847,M847,N847)</f>
        <v>s1_node_eff_battle_3_2</v>
      </c>
    </row>
    <row r="848" spans="1:20" x14ac:dyDescent="0.45">
      <c r="A848" s="0" t="str">
        <f>_xlfn.TEXTJOIN("_",TRUE,C848,"node",D848,M848,N848)</f>
        <v>s1_node_battle_3_6</v>
      </c>
      <c r="B848" s="0" t="s">
        <v>0</v>
      </c>
      <c r="C848" s="0" t="s">
        <v>26</v>
      </c>
      <c r="D848" s="0" t="s">
        <v>106</v>
      </c>
      <c r="E848" s="0" t="str">
        <f>"s1_node_"&amp;D848&amp;"_name"</f>
        <v>s1_node_battle_name</v>
      </c>
      <c r="F848" s="13" t="str">
        <f>"s1_node_"&amp;D848&amp;"_desc"</f>
        <v>s1_node_battle_desc</v>
      </c>
      <c r="G848" s="0" t="s">
        <v>795</v>
      </c>
      <c r="H848" s="0">
        <v>1</v>
      </c>
      <c r="I848" s="0" t="s">
        <v>27</v>
      </c>
      <c r="J848" s="0" t="s">
        <v>953</v>
      </c>
      <c r="K848" s="0">
        <v>260</v>
      </c>
      <c r="L848" s="13">
        <v>3</v>
      </c>
      <c r="M848" s="0">
        <v>3</v>
      </c>
      <c r="N848" s="0">
        <v>6</v>
      </c>
      <c r="P848" s="0" t="s">
        <v>955</v>
      </c>
      <c r="T848" s="0" t="str">
        <f>_xlfn.TEXTJOIN("_",TRUE,C848,"node_eff",D848,M848,N848)</f>
        <v>s1_node_eff_battle_3_6</v>
      </c>
    </row>
    <row r="849" spans="1:20" x14ac:dyDescent="0.45">
      <c r="A849" s="0" t="str">
        <f>_xlfn.TEXTJOIN("_",TRUE,C849,"node",D849,M849,N849)</f>
        <v>s1_node_battle_4_2</v>
      </c>
      <c r="B849" s="0" t="s">
        <v>0</v>
      </c>
      <c r="C849" s="0" t="s">
        <v>26</v>
      </c>
      <c r="D849" s="0" t="s">
        <v>106</v>
      </c>
      <c r="E849" s="0" t="str">
        <f>"s1_node_"&amp;D849&amp;"_name"</f>
        <v>s1_node_battle_name</v>
      </c>
      <c r="F849" s="13" t="str">
        <f>"s1_node_"&amp;D849&amp;"_desc"</f>
        <v>s1_node_battle_desc</v>
      </c>
      <c r="G849" s="0" t="s">
        <v>795</v>
      </c>
      <c r="H849" s="0">
        <v>1</v>
      </c>
      <c r="I849" s="0" t="s">
        <v>27</v>
      </c>
      <c r="J849" s="0" t="s">
        <v>956</v>
      </c>
      <c r="K849" s="0">
        <v>300</v>
      </c>
      <c r="L849" s="13">
        <v>3</v>
      </c>
      <c r="M849" s="0">
        <v>4</v>
      </c>
      <c r="N849" s="0">
        <v>2</v>
      </c>
      <c r="T849" s="0" t="str">
        <f>_xlfn.TEXTJOIN("_",TRUE,C849,"node_eff",D849,M849,N849)</f>
        <v>s1_node_eff_battle_4_2</v>
      </c>
    </row>
    <row r="850" spans="1:20" x14ac:dyDescent="0.45">
      <c r="A850" s="0" t="str">
        <f>_xlfn.TEXTJOIN("_",TRUE,C850,"node",D850,M850,N850)</f>
        <v>s1_node_battle_4_4</v>
      </c>
      <c r="B850" s="0" t="s">
        <v>0</v>
      </c>
      <c r="C850" s="0" t="s">
        <v>26</v>
      </c>
      <c r="D850" s="0" t="s">
        <v>106</v>
      </c>
      <c r="E850" s="0" t="str">
        <f>"s1_node_"&amp;D850&amp;"_name"</f>
        <v>s1_node_battle_name</v>
      </c>
      <c r="F850" s="13" t="str">
        <f>"s1_node_"&amp;D850&amp;"_desc"</f>
        <v>s1_node_battle_desc</v>
      </c>
      <c r="G850" s="0" t="s">
        <v>795</v>
      </c>
      <c r="H850" s="0">
        <v>1</v>
      </c>
      <c r="I850" s="0" t="s">
        <v>27</v>
      </c>
      <c r="J850" s="0" t="s">
        <v>956</v>
      </c>
      <c r="K850" s="0">
        <v>300</v>
      </c>
      <c r="L850" s="13">
        <v>3</v>
      </c>
      <c r="M850" s="0">
        <v>4</v>
      </c>
      <c r="N850" s="0">
        <v>4</v>
      </c>
      <c r="P850" s="0" t="s">
        <v>957</v>
      </c>
      <c r="T850" s="0" t="str">
        <f>_xlfn.TEXTJOIN("_",TRUE,C850,"node_eff",D850,M850,N850)</f>
        <v>s1_node_eff_battle_4_4</v>
      </c>
    </row>
    <row r="851" spans="1:20" x14ac:dyDescent="0.45">
      <c r="A851" s="0" t="str">
        <f>_xlfn.TEXTJOIN("_",TRUE,C851,"node",D851,M851,N851)</f>
        <v>s1_node_battle_4_6</v>
      </c>
      <c r="B851" s="0" t="s">
        <v>0</v>
      </c>
      <c r="C851" s="0" t="s">
        <v>26</v>
      </c>
      <c r="D851" s="0" t="s">
        <v>106</v>
      </c>
      <c r="E851" s="0" t="str">
        <f>"s1_node_"&amp;D851&amp;"_name"</f>
        <v>s1_node_battle_name</v>
      </c>
      <c r="F851" s="13" t="str">
        <f>"s1_node_"&amp;D851&amp;"_desc"</f>
        <v>s1_node_battle_desc</v>
      </c>
      <c r="G851" s="0" t="s">
        <v>795</v>
      </c>
      <c r="H851" s="0">
        <v>1</v>
      </c>
      <c r="I851" s="0" t="s">
        <v>27</v>
      </c>
      <c r="J851" s="0" t="s">
        <v>956</v>
      </c>
      <c r="K851" s="0">
        <v>300</v>
      </c>
      <c r="L851" s="13">
        <v>3</v>
      </c>
      <c r="M851" s="0">
        <v>4</v>
      </c>
      <c r="N851" s="0">
        <v>6</v>
      </c>
      <c r="T851" s="0" t="str">
        <f>_xlfn.TEXTJOIN("_",TRUE,C851,"node_eff",D851,M851,N851)</f>
        <v>s1_node_eff_battle_4_6</v>
      </c>
    </row>
    <row r="852" spans="1:20" x14ac:dyDescent="0.45">
      <c r="A852" s="0" t="str">
        <f>_xlfn.TEXTJOIN("_",TRUE,C852,"node",D852,M852,N852)</f>
        <v>s1_node_battle_5_2</v>
      </c>
      <c r="B852" s="0" t="s">
        <v>0</v>
      </c>
      <c r="C852" s="0" t="s">
        <v>26</v>
      </c>
      <c r="D852" s="0" t="s">
        <v>106</v>
      </c>
      <c r="E852" s="0" t="str">
        <f>"s1_node_"&amp;D852&amp;"_name"</f>
        <v>s1_node_battle_name</v>
      </c>
      <c r="F852" s="13" t="str">
        <f>"s1_node_"&amp;D852&amp;"_desc"</f>
        <v>s1_node_battle_desc</v>
      </c>
      <c r="G852" s="0" t="s">
        <v>795</v>
      </c>
      <c r="H852" s="0">
        <v>1</v>
      </c>
      <c r="I852" s="0" t="s">
        <v>27</v>
      </c>
      <c r="J852" s="0" t="s">
        <v>958</v>
      </c>
      <c r="K852" s="0">
        <v>340</v>
      </c>
      <c r="L852" s="13">
        <v>3</v>
      </c>
      <c r="M852" s="0">
        <v>5</v>
      </c>
      <c r="N852" s="0">
        <v>2</v>
      </c>
      <c r="P852" s="0" t="s">
        <v>959</v>
      </c>
      <c r="T852" s="0" t="str">
        <f>_xlfn.TEXTJOIN("_",TRUE,C852,"node_eff",D852,M852,N852)</f>
        <v>s1_node_eff_battle_5_2</v>
      </c>
    </row>
    <row r="853" spans="1:20" x14ac:dyDescent="0.45">
      <c r="A853" s="0" t="str">
        <f>_xlfn.TEXTJOIN("_",TRUE,C853,"node",D853,M853,N853)</f>
        <v>s1_node_battle_5_6</v>
      </c>
      <c r="B853" s="0" t="s">
        <v>0</v>
      </c>
      <c r="C853" s="0" t="s">
        <v>26</v>
      </c>
      <c r="D853" s="0" t="s">
        <v>106</v>
      </c>
      <c r="E853" s="0" t="str">
        <f>"s1_node_"&amp;D853&amp;"_name"</f>
        <v>s1_node_battle_name</v>
      </c>
      <c r="F853" s="13" t="str">
        <f>"s1_node_"&amp;D853&amp;"_desc"</f>
        <v>s1_node_battle_desc</v>
      </c>
      <c r="G853" s="0" t="s">
        <v>795</v>
      </c>
      <c r="H853" s="0">
        <v>1</v>
      </c>
      <c r="I853" s="0" t="s">
        <v>27</v>
      </c>
      <c r="J853" s="0" t="s">
        <v>958</v>
      </c>
      <c r="K853" s="0">
        <v>340</v>
      </c>
      <c r="L853" s="13">
        <v>3</v>
      </c>
      <c r="M853" s="0">
        <v>5</v>
      </c>
      <c r="N853" s="0">
        <v>6</v>
      </c>
      <c r="P853" s="0" t="s">
        <v>960</v>
      </c>
      <c r="T853" s="0" t="str">
        <f>_xlfn.TEXTJOIN("_",TRUE,C853,"node_eff",D853,M853,N853)</f>
        <v>s1_node_eff_battle_5_6</v>
      </c>
    </row>
    <row r="854" spans="1:20" x14ac:dyDescent="0.45">
      <c r="A854" s="0" t="str">
        <f>_xlfn.TEXTJOIN("_",TRUE,C854,"node",D854,M854,N854)</f>
        <v>s1_node_battle_6_4</v>
      </c>
      <c r="B854" s="0" t="s">
        <v>0</v>
      </c>
      <c r="C854" s="0" t="s">
        <v>26</v>
      </c>
      <c r="D854" s="0" t="s">
        <v>106</v>
      </c>
      <c r="E854" s="0" t="str">
        <f>"s1_node_"&amp;D854&amp;"_name"</f>
        <v>s1_node_battle_name</v>
      </c>
      <c r="F854" s="13" t="str">
        <f>"s1_node_"&amp;D854&amp;"_desc"</f>
        <v>s1_node_battle_desc</v>
      </c>
      <c r="G854" s="0" t="s">
        <v>795</v>
      </c>
      <c r="H854" s="0">
        <v>1</v>
      </c>
      <c r="I854" s="0" t="s">
        <v>27</v>
      </c>
      <c r="J854" s="0" t="s">
        <v>961</v>
      </c>
      <c r="K854" s="0">
        <v>380</v>
      </c>
      <c r="L854" s="13">
        <v>3</v>
      </c>
      <c r="M854" s="0">
        <v>6</v>
      </c>
      <c r="N854" s="0">
        <v>4</v>
      </c>
      <c r="P854" s="0" t="s">
        <v>962</v>
      </c>
      <c r="T854" s="0" t="str">
        <f>_xlfn.TEXTJOIN("_",TRUE,C854,"node_eff",D854,M854,N854)</f>
        <v>s1_node_eff_battle_6_4</v>
      </c>
    </row>
    <row r="855" spans="1:20" x14ac:dyDescent="0.45">
      <c r="A855" s="0" t="str">
        <f>_xlfn.TEXTJOIN("_",TRUE,C855,"node",D855,M855,N855)</f>
        <v>s1_node_battle_7_2</v>
      </c>
      <c r="B855" s="0" t="s">
        <v>0</v>
      </c>
      <c r="C855" s="0" t="s">
        <v>26</v>
      </c>
      <c r="D855" s="0" t="s">
        <v>106</v>
      </c>
      <c r="E855" s="0" t="str">
        <f>"s1_node_"&amp;D855&amp;"_name"</f>
        <v>s1_node_battle_name</v>
      </c>
      <c r="F855" s="13" t="str">
        <f>"s1_node_"&amp;D855&amp;"_desc"</f>
        <v>s1_node_battle_desc</v>
      </c>
      <c r="G855" s="0" t="s">
        <v>795</v>
      </c>
      <c r="H855" s="0">
        <v>1</v>
      </c>
      <c r="I855" s="0" t="s">
        <v>27</v>
      </c>
      <c r="J855" s="0" t="s">
        <v>963</v>
      </c>
      <c r="K855" s="0">
        <v>420</v>
      </c>
      <c r="L855" s="13">
        <v>3</v>
      </c>
      <c r="M855" s="0">
        <v>7</v>
      </c>
      <c r="N855" s="0">
        <v>2</v>
      </c>
      <c r="T855" s="0" t="str">
        <f>_xlfn.TEXTJOIN("_",TRUE,C855,"node_eff",D855,M855,N855)</f>
        <v>s1_node_eff_battle_7_2</v>
      </c>
    </row>
    <row r="856" spans="1:20" x14ac:dyDescent="0.45">
      <c r="A856" s="0" t="str">
        <f>_xlfn.TEXTJOIN("_",TRUE,C856,"node",D856,M856,N856)</f>
        <v>s1_node_battle_7_4</v>
      </c>
      <c r="B856" s="0" t="s">
        <v>0</v>
      </c>
      <c r="C856" s="0" t="s">
        <v>26</v>
      </c>
      <c r="D856" s="0" t="s">
        <v>106</v>
      </c>
      <c r="E856" s="0" t="str">
        <f>"s1_node_"&amp;D856&amp;"_name"</f>
        <v>s1_node_battle_name</v>
      </c>
      <c r="F856" s="13" t="str">
        <f>"s1_node_"&amp;D856&amp;"_desc"</f>
        <v>s1_node_battle_desc</v>
      </c>
      <c r="G856" s="0" t="s">
        <v>795</v>
      </c>
      <c r="H856" s="0">
        <v>1</v>
      </c>
      <c r="I856" s="0" t="s">
        <v>27</v>
      </c>
      <c r="J856" s="0" t="s">
        <v>963</v>
      </c>
      <c r="K856" s="0">
        <v>420</v>
      </c>
      <c r="L856" s="13">
        <v>3</v>
      </c>
      <c r="M856" s="0">
        <v>7</v>
      </c>
      <c r="N856" s="0">
        <v>4</v>
      </c>
      <c r="T856" s="0" t="str">
        <f>_xlfn.TEXTJOIN("_",TRUE,C856,"node_eff",D856,M856,N856)</f>
        <v>s1_node_eff_battle_7_4</v>
      </c>
    </row>
    <row r="857" spans="1:20" x14ac:dyDescent="0.45">
      <c r="A857" s="0" t="str">
        <f>_xlfn.TEXTJOIN("_",TRUE,C857,"node",D857,M857,N857)</f>
        <v>s1_node_battle_7_6</v>
      </c>
      <c r="B857" s="0" t="s">
        <v>0</v>
      </c>
      <c r="C857" s="0" t="s">
        <v>26</v>
      </c>
      <c r="D857" s="0" t="s">
        <v>106</v>
      </c>
      <c r="E857" s="0" t="str">
        <f>"s1_node_"&amp;D857&amp;"_name"</f>
        <v>s1_node_battle_name</v>
      </c>
      <c r="F857" s="13" t="str">
        <f>"s1_node_"&amp;D857&amp;"_desc"</f>
        <v>s1_node_battle_desc</v>
      </c>
      <c r="G857" s="0" t="s">
        <v>795</v>
      </c>
      <c r="H857" s="0">
        <v>1</v>
      </c>
      <c r="I857" s="0" t="s">
        <v>27</v>
      </c>
      <c r="J857" s="0" t="s">
        <v>963</v>
      </c>
      <c r="K857" s="0">
        <v>420</v>
      </c>
      <c r="L857" s="13">
        <v>3</v>
      </c>
      <c r="M857" s="0">
        <v>7</v>
      </c>
      <c r="N857" s="0">
        <v>6</v>
      </c>
      <c r="T857" s="0" t="str">
        <f>_xlfn.TEXTJOIN("_",TRUE,C857,"node_eff",D857,M857,N857)</f>
        <v>s1_node_eff_battle_7_6</v>
      </c>
    </row>
    <row r="858" spans="1:20" x14ac:dyDescent="0.45">
      <c r="A858" s="0" t="str">
        <f>_xlfn.TEXTJOIN("_",TRUE,C858,"node",D858,M858,N858)</f>
        <v>s1_node_battle_8_2</v>
      </c>
      <c r="B858" s="0" t="s">
        <v>0</v>
      </c>
      <c r="C858" s="0" t="s">
        <v>26</v>
      </c>
      <c r="D858" s="0" t="s">
        <v>106</v>
      </c>
      <c r="E858" s="0" t="str">
        <f>"s1_node_"&amp;D858&amp;"_name"</f>
        <v>s1_node_battle_name</v>
      </c>
      <c r="F858" s="13" t="str">
        <f>"s1_node_"&amp;D858&amp;"_desc"</f>
        <v>s1_node_battle_desc</v>
      </c>
      <c r="G858" s="0" t="s">
        <v>149</v>
      </c>
      <c r="H858" s="0">
        <v>1</v>
      </c>
      <c r="I858" s="0" t="s">
        <v>27</v>
      </c>
      <c r="J858" s="0" t="s">
        <v>964</v>
      </c>
      <c r="K858" s="0">
        <v>450</v>
      </c>
      <c r="L858" s="13">
        <v>3</v>
      </c>
      <c r="M858" s="0">
        <v>8</v>
      </c>
      <c r="N858" s="0">
        <v>2</v>
      </c>
      <c r="P858" s="0" t="s">
        <v>965</v>
      </c>
      <c r="T858" s="0" t="str">
        <f>_xlfn.TEXTJOIN("_",TRUE,C858,"node_eff",D858,M858,N858)</f>
        <v>s1_node_eff_battle_8_2</v>
      </c>
    </row>
    <row r="859" spans="1:20" x14ac:dyDescent="0.45">
      <c r="A859" s="0" t="str">
        <f>_xlfn.TEXTJOIN("_",TRUE,C859,"node",D859,M859,N859)</f>
        <v>s1_node_battle_8_6</v>
      </c>
      <c r="B859" s="0" t="s">
        <v>0</v>
      </c>
      <c r="C859" s="0" t="s">
        <v>26</v>
      </c>
      <c r="D859" s="0" t="s">
        <v>106</v>
      </c>
      <c r="E859" s="0" t="str">
        <f>"s1_node_"&amp;D859&amp;"_name"</f>
        <v>s1_node_battle_name</v>
      </c>
      <c r="F859" s="13" t="str">
        <f>"s1_node_"&amp;D859&amp;"_desc"</f>
        <v>s1_node_battle_desc</v>
      </c>
      <c r="G859" s="0" t="s">
        <v>419</v>
      </c>
      <c r="H859" s="0">
        <v>1</v>
      </c>
      <c r="I859" s="0" t="s">
        <v>27</v>
      </c>
      <c r="J859" s="0" t="s">
        <v>964</v>
      </c>
      <c r="K859" s="0">
        <v>450</v>
      </c>
      <c r="L859" s="13">
        <v>3</v>
      </c>
      <c r="M859" s="0">
        <v>8</v>
      </c>
      <c r="N859" s="0">
        <v>6</v>
      </c>
      <c r="P859" s="0" t="s">
        <v>966</v>
      </c>
      <c r="T859" s="0" t="str">
        <f>_xlfn.TEXTJOIN("_",TRUE,C859,"node_eff",D859,M859,N859)</f>
        <v>s1_node_eff_battle_8_6</v>
      </c>
    </row>
    <row r="860" spans="1:20" x14ac:dyDescent="0.45">
      <c r="A860" s="0" t="str">
        <f>_xlfn.TEXTJOIN("_",TRUE,C860,"node",D860,M860,N860)</f>
        <v>s1_node_battle_9_2</v>
      </c>
      <c r="B860" s="0" t="s">
        <v>0</v>
      </c>
      <c r="C860" s="0" t="s">
        <v>26</v>
      </c>
      <c r="D860" s="0" t="s">
        <v>106</v>
      </c>
      <c r="E860" s="0" t="str">
        <f>"s1_node_"&amp;D860&amp;"_name"</f>
        <v>s1_node_battle_name</v>
      </c>
      <c r="F860" s="13" t="str">
        <f>"s1_node_"&amp;D860&amp;"_desc"</f>
        <v>s1_node_battle_desc</v>
      </c>
      <c r="G860" s="0" t="s">
        <v>419</v>
      </c>
      <c r="H860" s="0">
        <v>1</v>
      </c>
      <c r="I860" s="0" t="s">
        <v>27</v>
      </c>
      <c r="J860" s="0" t="s">
        <v>967</v>
      </c>
      <c r="K860" s="0">
        <v>490</v>
      </c>
      <c r="L860" s="13">
        <v>3</v>
      </c>
      <c r="M860" s="0">
        <v>9</v>
      </c>
      <c r="N860" s="0">
        <v>2</v>
      </c>
      <c r="T860" s="0" t="str">
        <f>_xlfn.TEXTJOIN("_",TRUE,C860,"node_eff",D860,M860,N860)</f>
        <v>s1_node_eff_battle_9_2</v>
      </c>
    </row>
    <row r="861" spans="1:20" x14ac:dyDescent="0.45">
      <c r="A861" s="0" t="str">
        <f>_xlfn.TEXTJOIN("_",TRUE,C861,"node",D861,M861,N861)</f>
        <v>s1_node_battle_9_4</v>
      </c>
      <c r="B861" s="0" t="s">
        <v>0</v>
      </c>
      <c r="C861" s="0" t="s">
        <v>26</v>
      </c>
      <c r="D861" s="0" t="s">
        <v>106</v>
      </c>
      <c r="E861" s="0" t="str">
        <f>"s1_node_"&amp;D861&amp;"_name"</f>
        <v>s1_node_battle_name</v>
      </c>
      <c r="F861" s="13" t="str">
        <f>"s1_node_"&amp;D861&amp;"_desc"</f>
        <v>s1_node_battle_desc</v>
      </c>
      <c r="G861" s="0" t="s">
        <v>795</v>
      </c>
      <c r="H861" s="0">
        <v>1</v>
      </c>
      <c r="I861" s="0" t="s">
        <v>27</v>
      </c>
      <c r="J861" s="0" t="s">
        <v>967</v>
      </c>
      <c r="K861" s="0">
        <v>490</v>
      </c>
      <c r="L861" s="13">
        <v>3</v>
      </c>
      <c r="M861" s="0">
        <v>9</v>
      </c>
      <c r="N861" s="0">
        <v>4</v>
      </c>
      <c r="P861" s="0" t="s">
        <v>968</v>
      </c>
      <c r="T861" s="0" t="str">
        <f>_xlfn.TEXTJOIN("_",TRUE,C861,"node_eff",D861,M861,N861)</f>
        <v>s1_node_eff_battle_9_4</v>
      </c>
    </row>
    <row r="862" spans="1:20" x14ac:dyDescent="0.45">
      <c r="A862" s="0" t="str">
        <f>_xlfn.TEXTJOIN("_",TRUE,C862,"node",D862,M862,N862)</f>
        <v>s1_node_battle_9_6</v>
      </c>
      <c r="B862" s="0" t="s">
        <v>0</v>
      </c>
      <c r="C862" s="0" t="s">
        <v>26</v>
      </c>
      <c r="D862" s="0" t="s">
        <v>106</v>
      </c>
      <c r="E862" s="0" t="str">
        <f>"s1_node_"&amp;D862&amp;"_name"</f>
        <v>s1_node_battle_name</v>
      </c>
      <c r="F862" s="13" t="str">
        <f>"s1_node_"&amp;D862&amp;"_desc"</f>
        <v>s1_node_battle_desc</v>
      </c>
      <c r="G862" s="0" t="s">
        <v>795</v>
      </c>
      <c r="H862" s="0">
        <v>1</v>
      </c>
      <c r="I862" s="0" t="s">
        <v>27</v>
      </c>
      <c r="J862" s="0" t="s">
        <v>967</v>
      </c>
      <c r="K862" s="0">
        <v>490</v>
      </c>
      <c r="L862" s="13">
        <v>3</v>
      </c>
      <c r="M862" s="0">
        <v>9</v>
      </c>
      <c r="N862" s="0">
        <v>6</v>
      </c>
      <c r="T862" s="0" t="str">
        <f>_xlfn.TEXTJOIN("_",TRUE,C862,"node_eff",D862,M862,N862)</f>
        <v>s1_node_eff_battle_9_6</v>
      </c>
    </row>
    <row r="863" spans="1:20" x14ac:dyDescent="0.45">
      <c r="A863" s="0" t="str">
        <f>_xlfn.TEXTJOIN("_",TRUE,C863,"node",D863,M863,N863)</f>
        <v>s1_node_battle_10_2</v>
      </c>
      <c r="B863" s="0" t="s">
        <v>0</v>
      </c>
      <c r="C863" s="0" t="s">
        <v>26</v>
      </c>
      <c r="D863" s="0" t="s">
        <v>106</v>
      </c>
      <c r="E863" s="0" t="str">
        <f>"s1_node_"&amp;D863&amp;"_name"</f>
        <v>s1_node_battle_name</v>
      </c>
      <c r="F863" s="13" t="str">
        <f>"s1_node_"&amp;D863&amp;"_desc"</f>
        <v>s1_node_battle_desc</v>
      </c>
      <c r="G863" s="0" t="s">
        <v>795</v>
      </c>
      <c r="H863" s="0">
        <v>1</v>
      </c>
      <c r="I863" s="0" t="s">
        <v>27</v>
      </c>
      <c r="J863" s="0" t="s">
        <v>175</v>
      </c>
      <c r="K863" s="0">
        <v>530</v>
      </c>
      <c r="L863" s="13">
        <v>3</v>
      </c>
      <c r="M863" s="0">
        <v>10</v>
      </c>
      <c r="N863" s="0">
        <v>2</v>
      </c>
      <c r="P863" s="0" t="s">
        <v>969</v>
      </c>
      <c r="T863" s="0" t="str">
        <f>_xlfn.TEXTJOIN("_",TRUE,C863,"node_eff",D863,M863,N863)</f>
        <v>s1_node_eff_battle_10_2</v>
      </c>
    </row>
    <row r="864" spans="1:20" x14ac:dyDescent="0.45">
      <c r="A864" s="0" t="str">
        <f>_xlfn.TEXTJOIN("_",TRUE,C864,"node",D864,M864,N864)</f>
        <v>s1_node_battle_10_6</v>
      </c>
      <c r="B864" s="0" t="s">
        <v>0</v>
      </c>
      <c r="C864" s="0" t="s">
        <v>26</v>
      </c>
      <c r="D864" s="0" t="s">
        <v>106</v>
      </c>
      <c r="E864" s="0" t="str">
        <f>"s1_node_"&amp;D864&amp;"_name"</f>
        <v>s1_node_battle_name</v>
      </c>
      <c r="F864" s="13" t="str">
        <f>"s1_node_"&amp;D864&amp;"_desc"</f>
        <v>s1_node_battle_desc</v>
      </c>
      <c r="G864" s="0" t="s">
        <v>795</v>
      </c>
      <c r="H864" s="0">
        <v>1</v>
      </c>
      <c r="I864" s="0" t="s">
        <v>27</v>
      </c>
      <c r="J864" s="0" t="s">
        <v>175</v>
      </c>
      <c r="K864" s="0">
        <v>530</v>
      </c>
      <c r="L864" s="13">
        <v>3</v>
      </c>
      <c r="M864" s="0">
        <v>10</v>
      </c>
      <c r="N864" s="0">
        <v>6</v>
      </c>
      <c r="P864" s="0" t="s">
        <v>970</v>
      </c>
      <c r="T864" s="0" t="str">
        <f>_xlfn.TEXTJOIN("_",TRUE,C864,"node_eff",D864,M864,N864)</f>
        <v>s1_node_eff_battle_10_6</v>
      </c>
    </row>
    <row r="865" spans="1:20" x14ac:dyDescent="0.45">
      <c r="A865" s="0" t="str">
        <f>_xlfn.TEXTJOIN("_",TRUE,C865,"node",D865,M865,N865)</f>
        <v>s1_node_battle_11_4</v>
      </c>
      <c r="B865" s="0" t="s">
        <v>0</v>
      </c>
      <c r="C865" s="0" t="s">
        <v>26</v>
      </c>
      <c r="D865" s="0" t="s">
        <v>106</v>
      </c>
      <c r="E865" s="0" t="str">
        <f>"s1_node_"&amp;D865&amp;"_name"</f>
        <v>s1_node_battle_name</v>
      </c>
      <c r="F865" s="13" t="str">
        <f>"s1_node_"&amp;D865&amp;"_desc"</f>
        <v>s1_node_battle_desc</v>
      </c>
      <c r="G865" s="0" t="s">
        <v>795</v>
      </c>
      <c r="H865" s="0">
        <v>1</v>
      </c>
      <c r="I865" s="0" t="s">
        <v>27</v>
      </c>
      <c r="J865" s="0" t="s">
        <v>178</v>
      </c>
      <c r="K865" s="0">
        <v>570</v>
      </c>
      <c r="L865" s="13">
        <v>3</v>
      </c>
      <c r="M865" s="0">
        <v>11</v>
      </c>
      <c r="N865" s="0">
        <v>4</v>
      </c>
      <c r="P865" s="0" t="s">
        <v>971</v>
      </c>
      <c r="T865" s="0" t="str">
        <f>_xlfn.TEXTJOIN("_",TRUE,C865,"node_eff",D865,M865,N865)</f>
        <v>s1_node_eff_battle_11_4</v>
      </c>
    </row>
    <row r="866" spans="1:20" x14ac:dyDescent="0.45">
      <c r="A866" s="0" t="str">
        <f>_xlfn.TEXTJOIN("_",TRUE,C866,"node",D866,M866,N866)</f>
        <v>s1_node_battle_12_2</v>
      </c>
      <c r="B866" s="0" t="s">
        <v>0</v>
      </c>
      <c r="C866" s="0" t="s">
        <v>26</v>
      </c>
      <c r="D866" s="0" t="s">
        <v>106</v>
      </c>
      <c r="E866" s="0" t="str">
        <f>"s1_node_"&amp;D866&amp;"_name"</f>
        <v>s1_node_battle_name</v>
      </c>
      <c r="F866" s="13" t="str">
        <f>"s1_node_"&amp;D866&amp;"_desc"</f>
        <v>s1_node_battle_desc</v>
      </c>
      <c r="G866" s="0" t="s">
        <v>795</v>
      </c>
      <c r="H866" s="0">
        <v>1</v>
      </c>
      <c r="I866" s="0" t="s">
        <v>27</v>
      </c>
      <c r="J866" s="0" t="s">
        <v>442</v>
      </c>
      <c r="K866" s="0">
        <v>610</v>
      </c>
      <c r="L866" s="13">
        <v>3</v>
      </c>
      <c r="M866" s="0">
        <v>12</v>
      </c>
      <c r="N866" s="0">
        <v>2</v>
      </c>
      <c r="T866" s="0" t="str">
        <f>_xlfn.TEXTJOIN("_",TRUE,C866,"node_eff",D866,M866,N866)</f>
        <v>s1_node_eff_battle_12_2</v>
      </c>
    </row>
    <row r="867" spans="1:20" x14ac:dyDescent="0.45">
      <c r="A867" s="0" t="str">
        <f>_xlfn.TEXTJOIN("_",TRUE,C867,"node",D867,M867,N867)</f>
        <v>s1_node_battle_12_4</v>
      </c>
      <c r="B867" s="0" t="s">
        <v>0</v>
      </c>
      <c r="C867" s="0" t="s">
        <v>26</v>
      </c>
      <c r="D867" s="0" t="s">
        <v>106</v>
      </c>
      <c r="E867" s="0" t="str">
        <f>"s1_node_"&amp;D867&amp;"_name"</f>
        <v>s1_node_battle_name</v>
      </c>
      <c r="F867" s="13" t="str">
        <f>"s1_node_"&amp;D867&amp;"_desc"</f>
        <v>s1_node_battle_desc</v>
      </c>
      <c r="G867" s="0" t="s">
        <v>795</v>
      </c>
      <c r="H867" s="0">
        <v>1</v>
      </c>
      <c r="I867" s="0" t="s">
        <v>27</v>
      </c>
      <c r="J867" s="0" t="s">
        <v>442</v>
      </c>
      <c r="K867" s="0">
        <v>610</v>
      </c>
      <c r="L867" s="13">
        <v>3</v>
      </c>
      <c r="M867" s="0">
        <v>12</v>
      </c>
      <c r="N867" s="0">
        <v>4</v>
      </c>
      <c r="T867" s="0" t="str">
        <f>_xlfn.TEXTJOIN("_",TRUE,C867,"node_eff",D867,M867,N867)</f>
        <v>s1_node_eff_battle_12_4</v>
      </c>
    </row>
    <row r="868" spans="1:20" x14ac:dyDescent="0.45">
      <c r="A868" s="0" t="str">
        <f>_xlfn.TEXTJOIN("_",TRUE,C868,"node",D868,M868,N868)</f>
        <v>s1_node_battle_12_6</v>
      </c>
      <c r="B868" s="0" t="s">
        <v>0</v>
      </c>
      <c r="C868" s="0" t="s">
        <v>26</v>
      </c>
      <c r="D868" s="0" t="s">
        <v>106</v>
      </c>
      <c r="E868" s="0" t="str">
        <f>"s1_node_"&amp;D868&amp;"_name"</f>
        <v>s1_node_battle_name</v>
      </c>
      <c r="F868" s="13" t="str">
        <f>"s1_node_"&amp;D868&amp;"_desc"</f>
        <v>s1_node_battle_desc</v>
      </c>
      <c r="G868" s="0" t="s">
        <v>795</v>
      </c>
      <c r="H868" s="0">
        <v>1</v>
      </c>
      <c r="I868" s="0" t="s">
        <v>27</v>
      </c>
      <c r="J868" s="0" t="s">
        <v>442</v>
      </c>
      <c r="K868" s="0">
        <v>610</v>
      </c>
      <c r="L868" s="13">
        <v>3</v>
      </c>
      <c r="M868" s="0">
        <v>12</v>
      </c>
      <c r="N868" s="0">
        <v>6</v>
      </c>
      <c r="T868" s="0" t="str">
        <f>_xlfn.TEXTJOIN("_",TRUE,C868,"node_eff",D868,M868,N868)</f>
        <v>s1_node_eff_battle_12_6</v>
      </c>
    </row>
    <row r="869" spans="1:20" x14ac:dyDescent="0.45">
      <c r="A869" s="0" t="str">
        <f>_xlfn.TEXTJOIN("_",TRUE,C869,"node",D869,M869,N869)</f>
        <v>s1_node_battle_13_2</v>
      </c>
      <c r="B869" s="0" t="s">
        <v>0</v>
      </c>
      <c r="C869" s="0" t="s">
        <v>26</v>
      </c>
      <c r="D869" s="0" t="s">
        <v>106</v>
      </c>
      <c r="E869" s="0" t="str">
        <f>"s1_node_"&amp;D869&amp;"_name"</f>
        <v>s1_node_battle_name</v>
      </c>
      <c r="F869" s="13" t="str">
        <f>"s1_node_"&amp;D869&amp;"_desc"</f>
        <v>s1_node_battle_desc</v>
      </c>
      <c r="G869" s="0" t="s">
        <v>795</v>
      </c>
      <c r="H869" s="0">
        <v>1</v>
      </c>
      <c r="I869" s="0" t="s">
        <v>27</v>
      </c>
      <c r="J869" s="0" t="s">
        <v>445</v>
      </c>
      <c r="K869" s="0">
        <v>650</v>
      </c>
      <c r="L869" s="13">
        <v>3</v>
      </c>
      <c r="M869" s="0">
        <v>13</v>
      </c>
      <c r="N869" s="0">
        <v>2</v>
      </c>
      <c r="P869" s="0" t="s">
        <v>972</v>
      </c>
      <c r="T869" s="0" t="str">
        <f>_xlfn.TEXTJOIN("_",TRUE,C869,"node_eff",D869,M869,N869)</f>
        <v>s1_node_eff_battle_13_2</v>
      </c>
    </row>
    <row r="870" spans="1:20" x14ac:dyDescent="0.45">
      <c r="A870" s="0" t="str">
        <f>_xlfn.TEXTJOIN("_",TRUE,C870,"node",D870,M870,N870)</f>
        <v>s1_node_battle_13_6</v>
      </c>
      <c r="B870" s="0" t="s">
        <v>0</v>
      </c>
      <c r="C870" s="0" t="s">
        <v>26</v>
      </c>
      <c r="D870" s="0" t="s">
        <v>106</v>
      </c>
      <c r="E870" s="0" t="str">
        <f>"s1_node_"&amp;D870&amp;"_name"</f>
        <v>s1_node_battle_name</v>
      </c>
      <c r="F870" s="13" t="str">
        <f>"s1_node_"&amp;D870&amp;"_desc"</f>
        <v>s1_node_battle_desc</v>
      </c>
      <c r="G870" s="0" t="s">
        <v>795</v>
      </c>
      <c r="H870" s="0">
        <v>1</v>
      </c>
      <c r="I870" s="0" t="s">
        <v>27</v>
      </c>
      <c r="J870" s="0" t="s">
        <v>445</v>
      </c>
      <c r="K870" s="0">
        <v>650</v>
      </c>
      <c r="L870" s="13">
        <v>3</v>
      </c>
      <c r="M870" s="0">
        <v>13</v>
      </c>
      <c r="N870" s="0">
        <v>6</v>
      </c>
      <c r="P870" s="0" t="s">
        <v>973</v>
      </c>
      <c r="T870" s="0" t="str">
        <f>_xlfn.TEXTJOIN("_",TRUE,C870,"node_eff",D870,M870,N870)</f>
        <v>s1_node_eff_battle_13_6</v>
      </c>
    </row>
    <row r="871" spans="1:20" x14ac:dyDescent="0.45">
      <c r="A871" s="0" t="str">
        <f>_xlfn.TEXTJOIN("_",TRUE,C871,"node",D871,M871,N871)</f>
        <v>s1_node_battle_14_2</v>
      </c>
      <c r="B871" s="0" t="s">
        <v>0</v>
      </c>
      <c r="C871" s="0" t="s">
        <v>26</v>
      </c>
      <c r="D871" s="0" t="s">
        <v>106</v>
      </c>
      <c r="E871" s="0" t="str">
        <f>"s1_node_"&amp;D871&amp;"_name"</f>
        <v>s1_node_battle_name</v>
      </c>
      <c r="F871" s="13" t="str">
        <f>"s1_node_"&amp;D871&amp;"_desc"</f>
        <v>s1_node_battle_desc</v>
      </c>
      <c r="G871" s="0" t="s">
        <v>795</v>
      </c>
      <c r="H871" s="0">
        <v>1</v>
      </c>
      <c r="I871" s="0" t="s">
        <v>27</v>
      </c>
      <c r="J871" s="0" t="s">
        <v>812</v>
      </c>
      <c r="K871" s="0">
        <v>690</v>
      </c>
      <c r="L871" s="13">
        <v>3</v>
      </c>
      <c r="M871" s="0">
        <v>14</v>
      </c>
      <c r="N871" s="0">
        <v>2</v>
      </c>
      <c r="T871" s="0" t="str">
        <f>_xlfn.TEXTJOIN("_",TRUE,C871,"node_eff",D871,M871,N871)</f>
        <v>s1_node_eff_battle_14_2</v>
      </c>
    </row>
    <row r="872" spans="1:20" x14ac:dyDescent="0.45">
      <c r="A872" s="0" t="str">
        <f>_xlfn.TEXTJOIN("_",TRUE,C872,"node",D872,M872,N872)</f>
        <v>s1_node_battle_14_4</v>
      </c>
      <c r="B872" s="0" t="s">
        <v>0</v>
      </c>
      <c r="C872" s="0" t="s">
        <v>26</v>
      </c>
      <c r="D872" s="0" t="s">
        <v>106</v>
      </c>
      <c r="E872" s="0" t="str">
        <f>"s1_node_"&amp;D872&amp;"_name"</f>
        <v>s1_node_battle_name</v>
      </c>
      <c r="F872" s="13" t="str">
        <f>"s1_node_"&amp;D872&amp;"_desc"</f>
        <v>s1_node_battle_desc</v>
      </c>
      <c r="G872" s="0" t="s">
        <v>795</v>
      </c>
      <c r="H872" s="0">
        <v>1</v>
      </c>
      <c r="I872" s="0" t="s">
        <v>27</v>
      </c>
      <c r="J872" s="0" t="s">
        <v>812</v>
      </c>
      <c r="K872" s="0">
        <v>690</v>
      </c>
      <c r="L872" s="13">
        <v>3</v>
      </c>
      <c r="M872" s="0">
        <v>14</v>
      </c>
      <c r="N872" s="0">
        <v>4</v>
      </c>
      <c r="P872" s="0" t="s">
        <v>974</v>
      </c>
      <c r="T872" s="0" t="str">
        <f>_xlfn.TEXTJOIN("_",TRUE,C872,"node_eff",D872,M872,N872)</f>
        <v>s1_node_eff_battle_14_4</v>
      </c>
    </row>
    <row r="873" spans="1:20" x14ac:dyDescent="0.45">
      <c r="A873" s="0" t="str">
        <f>_xlfn.TEXTJOIN("_",TRUE,C873,"node",D873,M873,N873)</f>
        <v>s1_node_battle_14_6</v>
      </c>
      <c r="B873" s="0" t="s">
        <v>0</v>
      </c>
      <c r="C873" s="0" t="s">
        <v>26</v>
      </c>
      <c r="D873" s="0" t="s">
        <v>106</v>
      </c>
      <c r="E873" s="0" t="str">
        <f>"s1_node_"&amp;D873&amp;"_name"</f>
        <v>s1_node_battle_name</v>
      </c>
      <c r="F873" s="13" t="str">
        <f>"s1_node_"&amp;D873&amp;"_desc"</f>
        <v>s1_node_battle_desc</v>
      </c>
      <c r="G873" s="0" t="s">
        <v>149</v>
      </c>
      <c r="H873" s="0">
        <v>1</v>
      </c>
      <c r="I873" s="0" t="s">
        <v>27</v>
      </c>
      <c r="J873" s="0" t="s">
        <v>812</v>
      </c>
      <c r="K873" s="0">
        <v>690</v>
      </c>
      <c r="L873" s="13">
        <v>3</v>
      </c>
      <c r="M873" s="0">
        <v>14</v>
      </c>
      <c r="N873" s="0">
        <v>6</v>
      </c>
      <c r="T873" s="0" t="str">
        <f>_xlfn.TEXTJOIN("_",TRUE,C873,"node_eff",D873,M873,N873)</f>
        <v>s1_node_eff_battle_14_6</v>
      </c>
    </row>
    <row r="874" spans="1:20" x14ac:dyDescent="0.45">
      <c r="A874" s="0" t="str">
        <f>_xlfn.TEXTJOIN("_",TRUE,C874,"node",D874,M874,N874)</f>
        <v>s1_node_battle_15_2</v>
      </c>
      <c r="B874" s="0" t="s">
        <v>0</v>
      </c>
      <c r="C874" s="0" t="s">
        <v>26</v>
      </c>
      <c r="D874" s="0" t="s">
        <v>106</v>
      </c>
      <c r="E874" s="0" t="str">
        <f>"s1_node_"&amp;D874&amp;"_name"</f>
        <v>s1_node_battle_name</v>
      </c>
      <c r="F874" s="13" t="str">
        <f>"s1_node_"&amp;D874&amp;"_desc"</f>
        <v>s1_node_battle_desc</v>
      </c>
      <c r="G874" s="0" t="s">
        <v>419</v>
      </c>
      <c r="H874" s="0">
        <v>1</v>
      </c>
      <c r="I874" s="0" t="s">
        <v>27</v>
      </c>
      <c r="J874" s="0" t="s">
        <v>815</v>
      </c>
      <c r="K874" s="0">
        <v>730</v>
      </c>
      <c r="L874" s="13">
        <v>3</v>
      </c>
      <c r="M874" s="0">
        <v>15</v>
      </c>
      <c r="N874" s="0">
        <v>2</v>
      </c>
      <c r="P874" s="0" t="s">
        <v>975</v>
      </c>
      <c r="T874" s="0" t="str">
        <f>_xlfn.TEXTJOIN("_",TRUE,C874,"node_eff",D874,M874,N874)</f>
        <v>s1_node_eff_battle_15_2</v>
      </c>
    </row>
    <row r="875" spans="1:20" x14ac:dyDescent="0.45">
      <c r="A875" s="0" t="str">
        <f>_xlfn.TEXTJOIN("_",TRUE,C875,"node",D875,M875,N875)</f>
        <v>s1_node_battle_15_6</v>
      </c>
      <c r="B875" s="0" t="s">
        <v>0</v>
      </c>
      <c r="C875" s="0" t="s">
        <v>26</v>
      </c>
      <c r="D875" s="0" t="s">
        <v>106</v>
      </c>
      <c r="E875" s="0" t="str">
        <f>"s1_node_"&amp;D875&amp;"_name"</f>
        <v>s1_node_battle_name</v>
      </c>
      <c r="F875" s="13" t="str">
        <f>"s1_node_"&amp;D875&amp;"_desc"</f>
        <v>s1_node_battle_desc</v>
      </c>
      <c r="G875" s="0" t="s">
        <v>419</v>
      </c>
      <c r="H875" s="0">
        <v>1</v>
      </c>
      <c r="I875" s="0" t="s">
        <v>27</v>
      </c>
      <c r="J875" s="0" t="s">
        <v>815</v>
      </c>
      <c r="K875" s="0">
        <v>730</v>
      </c>
      <c r="L875" s="13">
        <v>3</v>
      </c>
      <c r="M875" s="0">
        <v>15</v>
      </c>
      <c r="N875" s="0">
        <v>6</v>
      </c>
      <c r="P875" s="0" t="s">
        <v>976</v>
      </c>
      <c r="T875" s="0" t="str">
        <f>_xlfn.TEXTJOIN("_",TRUE,C875,"node_eff",D875,M875,N875)</f>
        <v>s1_node_eff_battle_15_6</v>
      </c>
    </row>
    <row r="876" spans="1:20" x14ac:dyDescent="0.45">
      <c r="A876" s="0" t="str">
        <f>_xlfn.TEXTJOIN("_",TRUE,C876,"node",D876,M876,N876)</f>
        <v>s1_node_battle_16_4</v>
      </c>
      <c r="B876" s="0" t="s">
        <v>0</v>
      </c>
      <c r="C876" s="0" t="s">
        <v>26</v>
      </c>
      <c r="D876" s="0" t="s">
        <v>106</v>
      </c>
      <c r="E876" s="0" t="str">
        <f>"s1_node_"&amp;D876&amp;"_name"</f>
        <v>s1_node_battle_name</v>
      </c>
      <c r="F876" s="13" t="str">
        <f>"s1_node_"&amp;D876&amp;"_desc"</f>
        <v>s1_node_battle_desc</v>
      </c>
      <c r="G876" s="0" t="s">
        <v>795</v>
      </c>
      <c r="H876" s="0">
        <v>1</v>
      </c>
      <c r="I876" s="0" t="s">
        <v>27</v>
      </c>
      <c r="J876" s="0" t="s">
        <v>817</v>
      </c>
      <c r="K876" s="0">
        <v>770</v>
      </c>
      <c r="L876" s="13">
        <v>3</v>
      </c>
      <c r="M876" s="0">
        <v>16</v>
      </c>
      <c r="N876" s="0">
        <v>4</v>
      </c>
      <c r="P876" s="0" t="s">
        <v>977</v>
      </c>
      <c r="T876" s="0" t="str">
        <f>_xlfn.TEXTJOIN("_",TRUE,C876,"node_eff",D876,M876,N876)</f>
        <v>s1_node_eff_battle_16_4</v>
      </c>
    </row>
    <row r="877" spans="1:20" x14ac:dyDescent="0.45">
      <c r="A877" s="0" t="str">
        <f>_xlfn.TEXTJOIN("_",TRUE,C877,"node",D877,M877,N877)</f>
        <v>s1_node_battle_17_2</v>
      </c>
      <c r="B877" s="0" t="s">
        <v>0</v>
      </c>
      <c r="C877" s="0" t="s">
        <v>26</v>
      </c>
      <c r="D877" s="0" t="s">
        <v>106</v>
      </c>
      <c r="E877" s="0" t="str">
        <f>"s1_node_"&amp;D877&amp;"_name"</f>
        <v>s1_node_battle_name</v>
      </c>
      <c r="F877" s="13" t="str">
        <f>"s1_node_"&amp;D877&amp;"_desc"</f>
        <v>s1_node_battle_desc</v>
      </c>
      <c r="G877" s="0" t="s">
        <v>795</v>
      </c>
      <c r="H877" s="0">
        <v>1</v>
      </c>
      <c r="I877" s="0" t="s">
        <v>27</v>
      </c>
      <c r="J877" s="0" t="s">
        <v>198</v>
      </c>
      <c r="K877" s="0">
        <v>810</v>
      </c>
      <c r="L877" s="13">
        <v>3</v>
      </c>
      <c r="M877" s="0">
        <v>17</v>
      </c>
      <c r="N877" s="0">
        <v>2</v>
      </c>
      <c r="T877" s="0" t="str">
        <f>_xlfn.TEXTJOIN("_",TRUE,C877,"node_eff",D877,M877,N877)</f>
        <v>s1_node_eff_battle_17_2</v>
      </c>
    </row>
    <row r="878" spans="1:20" x14ac:dyDescent="0.45">
      <c r="A878" s="0" t="str">
        <f>_xlfn.TEXTJOIN("_",TRUE,C878,"node",D878,M878,N878)</f>
        <v>s1_node_battle_17_4</v>
      </c>
      <c r="B878" s="0" t="s">
        <v>0</v>
      </c>
      <c r="C878" s="0" t="s">
        <v>26</v>
      </c>
      <c r="D878" s="0" t="s">
        <v>106</v>
      </c>
      <c r="E878" s="0" t="str">
        <f>"s1_node_"&amp;D878&amp;"_name"</f>
        <v>s1_node_battle_name</v>
      </c>
      <c r="F878" s="13" t="str">
        <f>"s1_node_"&amp;D878&amp;"_desc"</f>
        <v>s1_node_battle_desc</v>
      </c>
      <c r="G878" s="0" t="s">
        <v>795</v>
      </c>
      <c r="H878" s="0">
        <v>1</v>
      </c>
      <c r="I878" s="0" t="s">
        <v>27</v>
      </c>
      <c r="J878" s="0" t="s">
        <v>198</v>
      </c>
      <c r="K878" s="0">
        <v>810</v>
      </c>
      <c r="L878" s="13">
        <v>3</v>
      </c>
      <c r="M878" s="0">
        <v>17</v>
      </c>
      <c r="N878" s="0">
        <v>4</v>
      </c>
      <c r="T878" s="0" t="str">
        <f>_xlfn.TEXTJOIN("_",TRUE,C878,"node_eff",D878,M878,N878)</f>
        <v>s1_node_eff_battle_17_4</v>
      </c>
    </row>
    <row r="879" spans="1:20" x14ac:dyDescent="0.45">
      <c r="A879" s="0" t="str">
        <f>_xlfn.TEXTJOIN("_",TRUE,C879,"node",D879,M879,N879)</f>
        <v>s1_node_battle_17_6</v>
      </c>
      <c r="B879" s="0" t="s">
        <v>0</v>
      </c>
      <c r="C879" s="0" t="s">
        <v>26</v>
      </c>
      <c r="D879" s="0" t="s">
        <v>106</v>
      </c>
      <c r="E879" s="0" t="str">
        <f>"s1_node_"&amp;D879&amp;"_name"</f>
        <v>s1_node_battle_name</v>
      </c>
      <c r="F879" s="13" t="str">
        <f>"s1_node_"&amp;D879&amp;"_desc"</f>
        <v>s1_node_battle_desc</v>
      </c>
      <c r="G879" s="0" t="s">
        <v>795</v>
      </c>
      <c r="H879" s="0">
        <v>1</v>
      </c>
      <c r="I879" s="0" t="s">
        <v>27</v>
      </c>
      <c r="J879" s="0" t="s">
        <v>198</v>
      </c>
      <c r="K879" s="0">
        <v>810</v>
      </c>
      <c r="L879" s="13">
        <v>3</v>
      </c>
      <c r="M879" s="0">
        <v>17</v>
      </c>
      <c r="N879" s="0">
        <v>6</v>
      </c>
      <c r="T879" s="0" t="str">
        <f>_xlfn.TEXTJOIN("_",TRUE,C879,"node_eff",D879,M879,N879)</f>
        <v>s1_node_eff_battle_17_6</v>
      </c>
    </row>
    <row r="880" spans="1:20" x14ac:dyDescent="0.45">
      <c r="A880" s="0" t="str">
        <f>_xlfn.TEXTJOIN("_",TRUE,C880,"node",D880,M880,N880)</f>
        <v>s1_node_battle_18_2</v>
      </c>
      <c r="B880" s="0" t="s">
        <v>0</v>
      </c>
      <c r="C880" s="0" t="s">
        <v>26</v>
      </c>
      <c r="D880" s="0" t="s">
        <v>106</v>
      </c>
      <c r="E880" s="0" t="str">
        <f>"s1_node_"&amp;D880&amp;"_name"</f>
        <v>s1_node_battle_name</v>
      </c>
      <c r="F880" s="13" t="str">
        <f>"s1_node_"&amp;D880&amp;"_desc"</f>
        <v>s1_node_battle_desc</v>
      </c>
      <c r="G880" s="0" t="s">
        <v>795</v>
      </c>
      <c r="H880" s="0">
        <v>1</v>
      </c>
      <c r="I880" s="0" t="s">
        <v>27</v>
      </c>
      <c r="J880" s="0" t="s">
        <v>647</v>
      </c>
      <c r="K880" s="0">
        <v>850</v>
      </c>
      <c r="L880" s="13">
        <v>3</v>
      </c>
      <c r="M880" s="0">
        <v>18</v>
      </c>
      <c r="N880" s="0">
        <v>2</v>
      </c>
      <c r="P880" s="0" t="s">
        <v>978</v>
      </c>
      <c r="T880" s="0" t="str">
        <f>_xlfn.TEXTJOIN("_",TRUE,C880,"node_eff",D880,M880,N880)</f>
        <v>s1_node_eff_battle_18_2</v>
      </c>
    </row>
    <row r="881" spans="1:20" x14ac:dyDescent="0.45">
      <c r="A881" s="0" t="str">
        <f>_xlfn.TEXTJOIN("_",TRUE,C881,"node",D881,M881,N881)</f>
        <v>s1_node_battle_18_6</v>
      </c>
      <c r="B881" s="0" t="s">
        <v>0</v>
      </c>
      <c r="C881" s="0" t="s">
        <v>26</v>
      </c>
      <c r="D881" s="0" t="s">
        <v>106</v>
      </c>
      <c r="E881" s="0" t="str">
        <f>"s1_node_"&amp;D881&amp;"_name"</f>
        <v>s1_node_battle_name</v>
      </c>
      <c r="F881" s="13" t="str">
        <f>"s1_node_"&amp;D881&amp;"_desc"</f>
        <v>s1_node_battle_desc</v>
      </c>
      <c r="G881" s="0" t="s">
        <v>795</v>
      </c>
      <c r="H881" s="0">
        <v>1</v>
      </c>
      <c r="I881" s="0" t="s">
        <v>27</v>
      </c>
      <c r="J881" s="0" t="s">
        <v>647</v>
      </c>
      <c r="K881" s="0">
        <v>850</v>
      </c>
      <c r="L881" s="13">
        <v>3</v>
      </c>
      <c r="M881" s="0">
        <v>18</v>
      </c>
      <c r="N881" s="0">
        <v>6</v>
      </c>
      <c r="P881" s="0" t="s">
        <v>979</v>
      </c>
      <c r="T881" s="0" t="str">
        <f>_xlfn.TEXTJOIN("_",TRUE,C881,"node_eff",D881,M881,N881)</f>
        <v>s1_node_eff_battle_18_6</v>
      </c>
    </row>
    <row r="882" spans="1:20" x14ac:dyDescent="0.45">
      <c r="A882" s="0" t="str">
        <f>_xlfn.TEXTJOIN("_",TRUE,C882,"node",D882,M882,N882)</f>
        <v>s1_node_battle_19_2</v>
      </c>
      <c r="B882" s="0" t="s">
        <v>0</v>
      </c>
      <c r="C882" s="0" t="s">
        <v>26</v>
      </c>
      <c r="D882" s="0" t="s">
        <v>106</v>
      </c>
      <c r="E882" s="0" t="str">
        <f>"s1_node_"&amp;D882&amp;"_name"</f>
        <v>s1_node_battle_name</v>
      </c>
      <c r="F882" s="13" t="str">
        <f>"s1_node_"&amp;D882&amp;"_desc"</f>
        <v>s1_node_battle_desc</v>
      </c>
      <c r="G882" s="0" t="s">
        <v>795</v>
      </c>
      <c r="H882" s="0">
        <v>1</v>
      </c>
      <c r="I882" s="0" t="s">
        <v>27</v>
      </c>
      <c r="J882" s="0" t="s">
        <v>650</v>
      </c>
      <c r="K882" s="0">
        <v>890</v>
      </c>
      <c r="L882" s="13">
        <v>3</v>
      </c>
      <c r="M882" s="0">
        <v>19</v>
      </c>
      <c r="N882" s="0">
        <v>2</v>
      </c>
      <c r="T882" s="0" t="str">
        <f>_xlfn.TEXTJOIN("_",TRUE,C882,"node_eff",D882,M882,N882)</f>
        <v>s1_node_eff_battle_19_2</v>
      </c>
    </row>
    <row r="883" spans="1:20" x14ac:dyDescent="0.45">
      <c r="A883" s="0" t="str">
        <f>_xlfn.TEXTJOIN("_",TRUE,C883,"node",D883,M883,N883)</f>
        <v>s1_node_battle_19_4</v>
      </c>
      <c r="B883" s="0" t="s">
        <v>0</v>
      </c>
      <c r="C883" s="0" t="s">
        <v>26</v>
      </c>
      <c r="D883" s="0" t="s">
        <v>106</v>
      </c>
      <c r="E883" s="0" t="str">
        <f>"s1_node_"&amp;D883&amp;"_name"</f>
        <v>s1_node_battle_name</v>
      </c>
      <c r="F883" s="13" t="str">
        <f>"s1_node_"&amp;D883&amp;"_desc"</f>
        <v>s1_node_battle_desc</v>
      </c>
      <c r="G883" s="0" t="s">
        <v>795</v>
      </c>
      <c r="H883" s="0">
        <v>1</v>
      </c>
      <c r="I883" s="0" t="s">
        <v>27</v>
      </c>
      <c r="J883" s="0" t="s">
        <v>650</v>
      </c>
      <c r="K883" s="0">
        <v>890</v>
      </c>
      <c r="L883" s="13">
        <v>3</v>
      </c>
      <c r="M883" s="0">
        <v>19</v>
      </c>
      <c r="N883" s="0">
        <v>4</v>
      </c>
      <c r="P883" s="0" t="s">
        <v>980</v>
      </c>
      <c r="T883" s="0" t="str">
        <f>_xlfn.TEXTJOIN("_",TRUE,C883,"node_eff",D883,M883,N883)</f>
        <v>s1_node_eff_battle_19_4</v>
      </c>
    </row>
    <row r="884" spans="1:20" x14ac:dyDescent="0.45">
      <c r="A884" s="0" t="str">
        <f>_xlfn.TEXTJOIN("_",TRUE,C884,"node",D884,M884,N884)</f>
        <v>s1_node_battle_19_6</v>
      </c>
      <c r="B884" s="0" t="s">
        <v>0</v>
      </c>
      <c r="C884" s="0" t="s">
        <v>26</v>
      </c>
      <c r="D884" s="0" t="s">
        <v>106</v>
      </c>
      <c r="E884" s="0" t="str">
        <f>"s1_node_"&amp;D884&amp;"_name"</f>
        <v>s1_node_battle_name</v>
      </c>
      <c r="F884" s="13" t="str">
        <f>"s1_node_"&amp;D884&amp;"_desc"</f>
        <v>s1_node_battle_desc</v>
      </c>
      <c r="G884" s="0" t="s">
        <v>795</v>
      </c>
      <c r="H884" s="0">
        <v>1</v>
      </c>
      <c r="I884" s="0" t="s">
        <v>27</v>
      </c>
      <c r="J884" s="0" t="s">
        <v>650</v>
      </c>
      <c r="K884" s="0">
        <v>890</v>
      </c>
      <c r="L884" s="13">
        <v>3</v>
      </c>
      <c r="M884" s="0">
        <v>19</v>
      </c>
      <c r="N884" s="0">
        <v>6</v>
      </c>
      <c r="T884" s="0" t="str">
        <f>_xlfn.TEXTJOIN("_",TRUE,C884,"node_eff",D884,M884,N884)</f>
        <v>s1_node_eff_battle_19_6</v>
      </c>
    </row>
    <row r="885" spans="1:20" x14ac:dyDescent="0.45">
      <c r="A885" s="0" t="str">
        <f>_xlfn.TEXTJOIN("_",TRUE,C885,"node",D885,M885,N885)</f>
        <v>s1_node_battle_20_2</v>
      </c>
      <c r="B885" s="0" t="s">
        <v>0</v>
      </c>
      <c r="C885" s="0" t="s">
        <v>26</v>
      </c>
      <c r="D885" s="0" t="s">
        <v>106</v>
      </c>
      <c r="E885" s="0" t="str">
        <f>"s1_node_"&amp;D885&amp;"_name"</f>
        <v>s1_node_battle_name</v>
      </c>
      <c r="F885" s="13" t="str">
        <f>"s1_node_"&amp;D885&amp;"_desc"</f>
        <v>s1_node_battle_desc</v>
      </c>
      <c r="G885" s="0" t="s">
        <v>795</v>
      </c>
      <c r="H885" s="0">
        <v>1</v>
      </c>
      <c r="I885" s="0" t="s">
        <v>27</v>
      </c>
      <c r="J885" s="0" t="s">
        <v>462</v>
      </c>
      <c r="K885" s="0">
        <v>930</v>
      </c>
      <c r="L885" s="13">
        <v>3</v>
      </c>
      <c r="M885" s="0">
        <v>20</v>
      </c>
      <c r="N885" s="0">
        <v>2</v>
      </c>
      <c r="P885" s="0" t="s">
        <v>981</v>
      </c>
      <c r="T885" s="0" t="str">
        <f>_xlfn.TEXTJOIN("_",TRUE,C885,"node_eff",D885,M885,N885)</f>
        <v>s1_node_eff_battle_20_2</v>
      </c>
    </row>
    <row r="886" spans="1:20" x14ac:dyDescent="0.45">
      <c r="A886" s="0" t="str">
        <f>_xlfn.TEXTJOIN("_",TRUE,C886,"node",D886,M886,N886)</f>
        <v>s1_node_battle_20_6</v>
      </c>
      <c r="B886" s="0" t="s">
        <v>0</v>
      </c>
      <c r="C886" s="0" t="s">
        <v>26</v>
      </c>
      <c r="D886" s="0" t="s">
        <v>106</v>
      </c>
      <c r="E886" s="0" t="str">
        <f>"s1_node_"&amp;D886&amp;"_name"</f>
        <v>s1_node_battle_name</v>
      </c>
      <c r="F886" s="13" t="str">
        <f>"s1_node_"&amp;D886&amp;"_desc"</f>
        <v>s1_node_battle_desc</v>
      </c>
      <c r="G886" s="0" t="s">
        <v>795</v>
      </c>
      <c r="H886" s="0">
        <v>1</v>
      </c>
      <c r="I886" s="0" t="s">
        <v>27</v>
      </c>
      <c r="J886" s="0" t="s">
        <v>462</v>
      </c>
      <c r="K886" s="0">
        <v>930</v>
      </c>
      <c r="L886" s="13">
        <v>3</v>
      </c>
      <c r="M886" s="0">
        <v>20</v>
      </c>
      <c r="N886" s="0">
        <v>6</v>
      </c>
      <c r="P886" s="0" t="s">
        <v>982</v>
      </c>
      <c r="T886" s="0" t="str">
        <f>_xlfn.TEXTJOIN("_",TRUE,C886,"node_eff",D886,M886,N886)</f>
        <v>s1_node_eff_battle_20_6</v>
      </c>
    </row>
    <row r="887" spans="1:20" x14ac:dyDescent="0.45">
      <c r="A887" s="0" t="str">
        <f>_xlfn.TEXTJOIN("_",TRUE,C887,"node",D887,M887,N887)</f>
        <v>s1_node_battle_21_4</v>
      </c>
      <c r="B887" s="0" t="s">
        <v>0</v>
      </c>
      <c r="C887" s="0" t="s">
        <v>26</v>
      </c>
      <c r="D887" s="0" t="s">
        <v>106</v>
      </c>
      <c r="E887" s="0" t="str">
        <f>"s1_node_"&amp;D887&amp;"_name"</f>
        <v>s1_node_battle_name</v>
      </c>
      <c r="F887" s="13" t="str">
        <f>"s1_node_"&amp;D887&amp;"_desc"</f>
        <v>s1_node_battle_desc</v>
      </c>
      <c r="G887" s="0" t="s">
        <v>795</v>
      </c>
      <c r="H887" s="0">
        <v>2</v>
      </c>
      <c r="I887" s="0" t="s">
        <v>27</v>
      </c>
      <c r="J887" s="0" t="s">
        <v>652</v>
      </c>
      <c r="K887" s="0">
        <v>960</v>
      </c>
      <c r="L887" s="13">
        <v>3</v>
      </c>
      <c r="M887" s="0">
        <v>21</v>
      </c>
      <c r="N887" s="0">
        <v>4</v>
      </c>
      <c r="P887" s="0" t="s">
        <v>983</v>
      </c>
      <c r="T887" s="0" t="str">
        <f>_xlfn.TEXTJOIN("_",TRUE,C887,"node_eff",D887,M887,N887)</f>
        <v>s1_node_eff_battle_21_4</v>
      </c>
    </row>
    <row r="888" spans="1:20" x14ac:dyDescent="0.45">
      <c r="A888" s="0" t="str">
        <f>_xlfn.TEXTJOIN("_",TRUE,C888,"node",D888,M888,N888)</f>
        <v>s1_node_battle_22_2</v>
      </c>
      <c r="B888" s="0" t="s">
        <v>0</v>
      </c>
      <c r="C888" s="0" t="s">
        <v>26</v>
      </c>
      <c r="D888" s="0" t="s">
        <v>106</v>
      </c>
      <c r="E888" s="0" t="str">
        <f>"s1_node_"&amp;D888&amp;"_name"</f>
        <v>s1_node_battle_name</v>
      </c>
      <c r="F888" s="13" t="str">
        <f>"s1_node_"&amp;D888&amp;"_desc"</f>
        <v>s1_node_battle_desc</v>
      </c>
      <c r="G888" s="0" t="s">
        <v>149</v>
      </c>
      <c r="H888" s="0">
        <v>2</v>
      </c>
      <c r="I888" s="0" t="s">
        <v>27</v>
      </c>
      <c r="J888" s="0" t="s">
        <v>467</v>
      </c>
      <c r="K888" s="0">
        <v>1000</v>
      </c>
      <c r="L888" s="13">
        <v>3</v>
      </c>
      <c r="M888" s="0">
        <v>22</v>
      </c>
      <c r="N888" s="0">
        <v>2</v>
      </c>
      <c r="T888" s="0" t="str">
        <f>_xlfn.TEXTJOIN("_",TRUE,C888,"node_eff",D888,M888,N888)</f>
        <v>s1_node_eff_battle_22_2</v>
      </c>
    </row>
    <row r="889" spans="1:20" x14ac:dyDescent="0.45">
      <c r="A889" s="0" t="str">
        <f>_xlfn.TEXTJOIN("_",TRUE,C889,"node",D889,M889,N889)</f>
        <v>s1_node_battle_22_4</v>
      </c>
      <c r="B889" s="0" t="s">
        <v>0</v>
      </c>
      <c r="C889" s="0" t="s">
        <v>26</v>
      </c>
      <c r="D889" s="0" t="s">
        <v>106</v>
      </c>
      <c r="E889" s="0" t="str">
        <f>"s1_node_"&amp;D889&amp;"_name"</f>
        <v>s1_node_battle_name</v>
      </c>
      <c r="F889" s="13" t="str">
        <f>"s1_node_"&amp;D889&amp;"_desc"</f>
        <v>s1_node_battle_desc</v>
      </c>
      <c r="G889" s="0" t="s">
        <v>419</v>
      </c>
      <c r="H889" s="0">
        <v>2</v>
      </c>
      <c r="I889" s="0" t="s">
        <v>27</v>
      </c>
      <c r="J889" s="0" t="s">
        <v>467</v>
      </c>
      <c r="K889" s="0">
        <v>1000</v>
      </c>
      <c r="L889" s="13">
        <v>3</v>
      </c>
      <c r="M889" s="0">
        <v>22</v>
      </c>
      <c r="N889" s="0">
        <v>4</v>
      </c>
      <c r="T889" s="0" t="str">
        <f>_xlfn.TEXTJOIN("_",TRUE,C889,"node_eff",D889,M889,N889)</f>
        <v>s1_node_eff_battle_22_4</v>
      </c>
    </row>
    <row r="890" spans="1:20" x14ac:dyDescent="0.45">
      <c r="A890" s="0" t="str">
        <f>_xlfn.TEXTJOIN("_",TRUE,C890,"node",D890,M890,N890)</f>
        <v>s1_node_battle_22_6</v>
      </c>
      <c r="B890" s="0" t="s">
        <v>0</v>
      </c>
      <c r="C890" s="0" t="s">
        <v>26</v>
      </c>
      <c r="D890" s="0" t="s">
        <v>106</v>
      </c>
      <c r="E890" s="0" t="str">
        <f>"s1_node_"&amp;D890&amp;"_name"</f>
        <v>s1_node_battle_name</v>
      </c>
      <c r="F890" s="13" t="str">
        <f>"s1_node_"&amp;D890&amp;"_desc"</f>
        <v>s1_node_battle_desc</v>
      </c>
      <c r="G890" s="0" t="s">
        <v>419</v>
      </c>
      <c r="H890" s="0">
        <v>2</v>
      </c>
      <c r="I890" s="0" t="s">
        <v>27</v>
      </c>
      <c r="J890" s="0" t="s">
        <v>467</v>
      </c>
      <c r="K890" s="0">
        <v>1000</v>
      </c>
      <c r="L890" s="13">
        <v>3</v>
      </c>
      <c r="M890" s="0">
        <v>22</v>
      </c>
      <c r="N890" s="0">
        <v>6</v>
      </c>
      <c r="T890" s="0" t="str">
        <f>_xlfn.TEXTJOIN("_",TRUE,C890,"node_eff",D890,M890,N890)</f>
        <v>s1_node_eff_battle_22_6</v>
      </c>
    </row>
    <row r="891" spans="1:20" x14ac:dyDescent="0.45">
      <c r="A891" s="0" t="str">
        <f>_xlfn.TEXTJOIN("_",TRUE,C891,"node",D891,M891,N891)</f>
        <v>s1_node_battle_23_2</v>
      </c>
      <c r="B891" s="0" t="s">
        <v>0</v>
      </c>
      <c r="C891" s="0" t="s">
        <v>26</v>
      </c>
      <c r="D891" s="0" t="s">
        <v>106</v>
      </c>
      <c r="E891" s="0" t="str">
        <f>"s1_node_"&amp;D891&amp;"_name"</f>
        <v>s1_node_battle_name</v>
      </c>
      <c r="F891" s="13" t="str">
        <f>"s1_node_"&amp;D891&amp;"_desc"</f>
        <v>s1_node_battle_desc</v>
      </c>
      <c r="G891" s="0" t="s">
        <v>795</v>
      </c>
      <c r="H891" s="0">
        <v>2</v>
      </c>
      <c r="I891" s="0" t="s">
        <v>27</v>
      </c>
      <c r="J891" s="0" t="s">
        <v>469</v>
      </c>
      <c r="K891" s="0">
        <v>1040</v>
      </c>
      <c r="L891" s="13">
        <v>3</v>
      </c>
      <c r="M891" s="0">
        <v>23</v>
      </c>
      <c r="N891" s="0">
        <v>2</v>
      </c>
      <c r="P891" s="0" t="s">
        <v>984</v>
      </c>
      <c r="T891" s="0" t="str">
        <f>_xlfn.TEXTJOIN("_",TRUE,C891,"node_eff",D891,M891,N891)</f>
        <v>s1_node_eff_battle_23_2</v>
      </c>
    </row>
    <row r="892" spans="1:20" x14ac:dyDescent="0.45">
      <c r="A892" s="0" t="str">
        <f>_xlfn.TEXTJOIN("_",TRUE,C892,"node",D892,M892,N892)</f>
        <v>s1_node_battle_23_6</v>
      </c>
      <c r="B892" s="0" t="s">
        <v>0</v>
      </c>
      <c r="C892" s="0" t="s">
        <v>26</v>
      </c>
      <c r="D892" s="0" t="s">
        <v>106</v>
      </c>
      <c r="E892" s="0" t="str">
        <f>"s1_node_"&amp;D892&amp;"_name"</f>
        <v>s1_node_battle_name</v>
      </c>
      <c r="F892" s="13" t="str">
        <f>"s1_node_"&amp;D892&amp;"_desc"</f>
        <v>s1_node_battle_desc</v>
      </c>
      <c r="G892" s="0" t="s">
        <v>795</v>
      </c>
      <c r="H892" s="0">
        <v>2</v>
      </c>
      <c r="I892" s="0" t="s">
        <v>27</v>
      </c>
      <c r="J892" s="0" t="s">
        <v>469</v>
      </c>
      <c r="K892" s="0">
        <v>1040</v>
      </c>
      <c r="L892" s="13">
        <v>3</v>
      </c>
      <c r="M892" s="0">
        <v>23</v>
      </c>
      <c r="N892" s="0">
        <v>6</v>
      </c>
      <c r="P892" s="0" t="s">
        <v>985</v>
      </c>
      <c r="T892" s="0" t="str">
        <f>_xlfn.TEXTJOIN("_",TRUE,C892,"node_eff",D892,M892,N892)</f>
        <v>s1_node_eff_battle_23_6</v>
      </c>
    </row>
    <row r="893" spans="1:20" x14ac:dyDescent="0.45">
      <c r="A893" s="0" t="str">
        <f>_xlfn.TEXTJOIN("_",TRUE,C893,"node",D893,M893,N893)</f>
        <v>s1_node_battle_24_2</v>
      </c>
      <c r="B893" s="0" t="s">
        <v>0</v>
      </c>
      <c r="C893" s="0" t="s">
        <v>26</v>
      </c>
      <c r="D893" s="0" t="s">
        <v>106</v>
      </c>
      <c r="E893" s="0" t="str">
        <f>"s1_node_"&amp;D893&amp;"_name"</f>
        <v>s1_node_battle_name</v>
      </c>
      <c r="F893" s="13" t="str">
        <f>"s1_node_"&amp;D893&amp;"_desc"</f>
        <v>s1_node_battle_desc</v>
      </c>
      <c r="G893" s="0" t="s">
        <v>795</v>
      </c>
      <c r="H893" s="0">
        <v>2</v>
      </c>
      <c r="I893" s="0" t="s">
        <v>27</v>
      </c>
      <c r="J893" s="0" t="s">
        <v>470</v>
      </c>
      <c r="K893" s="0">
        <v>1080</v>
      </c>
      <c r="L893" s="13">
        <v>3</v>
      </c>
      <c r="M893" s="0">
        <v>24</v>
      </c>
      <c r="N893" s="0">
        <v>2</v>
      </c>
      <c r="T893" s="0" t="str">
        <f>_xlfn.TEXTJOIN("_",TRUE,C893,"node_eff",D893,M893,N893)</f>
        <v>s1_node_eff_battle_24_2</v>
      </c>
    </row>
    <row r="894" spans="1:20" x14ac:dyDescent="0.45">
      <c r="A894" s="0" t="str">
        <f>_xlfn.TEXTJOIN("_",TRUE,C894,"node",D894,M894,N894)</f>
        <v>s1_node_battle_24_4</v>
      </c>
      <c r="B894" s="0" t="s">
        <v>0</v>
      </c>
      <c r="C894" s="0" t="s">
        <v>26</v>
      </c>
      <c r="D894" s="0" t="s">
        <v>106</v>
      </c>
      <c r="E894" s="0" t="str">
        <f>"s1_node_"&amp;D894&amp;"_name"</f>
        <v>s1_node_battle_name</v>
      </c>
      <c r="F894" s="13" t="str">
        <f>"s1_node_"&amp;D894&amp;"_desc"</f>
        <v>s1_node_battle_desc</v>
      </c>
      <c r="G894" s="0" t="s">
        <v>795</v>
      </c>
      <c r="H894" s="0">
        <v>2</v>
      </c>
      <c r="I894" s="0" t="s">
        <v>27</v>
      </c>
      <c r="J894" s="0" t="s">
        <v>470</v>
      </c>
      <c r="K894" s="0">
        <v>1080</v>
      </c>
      <c r="L894" s="13">
        <v>3</v>
      </c>
      <c r="M894" s="0">
        <v>24</v>
      </c>
      <c r="N894" s="0">
        <v>4</v>
      </c>
      <c r="P894" s="0" t="s">
        <v>986</v>
      </c>
      <c r="T894" s="0" t="str">
        <f>_xlfn.TEXTJOIN("_",TRUE,C894,"node_eff",D894,M894,N894)</f>
        <v>s1_node_eff_battle_24_4</v>
      </c>
    </row>
    <row r="895" spans="1:20" x14ac:dyDescent="0.45">
      <c r="A895" s="0" t="str">
        <f>_xlfn.TEXTJOIN("_",TRUE,C895,"node",D895,M895,N895)</f>
        <v>s1_node_battle_24_6</v>
      </c>
      <c r="B895" s="0" t="s">
        <v>0</v>
      </c>
      <c r="C895" s="0" t="s">
        <v>26</v>
      </c>
      <c r="D895" s="0" t="s">
        <v>106</v>
      </c>
      <c r="E895" s="0" t="str">
        <f>"s1_node_"&amp;D895&amp;"_name"</f>
        <v>s1_node_battle_name</v>
      </c>
      <c r="F895" s="13" t="str">
        <f>"s1_node_"&amp;D895&amp;"_desc"</f>
        <v>s1_node_battle_desc</v>
      </c>
      <c r="G895" s="0" t="s">
        <v>795</v>
      </c>
      <c r="H895" s="0">
        <v>2</v>
      </c>
      <c r="I895" s="0" t="s">
        <v>27</v>
      </c>
      <c r="J895" s="0" t="s">
        <v>470</v>
      </c>
      <c r="K895" s="0">
        <v>1080</v>
      </c>
      <c r="L895" s="13">
        <v>3</v>
      </c>
      <c r="M895" s="0">
        <v>24</v>
      </c>
      <c r="N895" s="0">
        <v>6</v>
      </c>
      <c r="T895" s="0" t="str">
        <f>_xlfn.TEXTJOIN("_",TRUE,C895,"node_eff",D895,M895,N895)</f>
        <v>s1_node_eff_battle_24_6</v>
      </c>
    </row>
    <row r="896" spans="1:20" x14ac:dyDescent="0.45">
      <c r="A896" s="0" t="str">
        <f>_xlfn.TEXTJOIN("_",TRUE,C896,"node",D896,M896,N896)</f>
        <v>s1_node_battle_25_2</v>
      </c>
      <c r="B896" s="0" t="s">
        <v>0</v>
      </c>
      <c r="C896" s="0" t="s">
        <v>26</v>
      </c>
      <c r="D896" s="0" t="s">
        <v>106</v>
      </c>
      <c r="E896" s="0" t="str">
        <f>"s1_node_"&amp;D896&amp;"_name"</f>
        <v>s1_node_battle_name</v>
      </c>
      <c r="F896" s="13" t="str">
        <f>"s1_node_"&amp;D896&amp;"_desc"</f>
        <v>s1_node_battle_desc</v>
      </c>
      <c r="G896" s="0" t="s">
        <v>795</v>
      </c>
      <c r="H896" s="0">
        <v>2</v>
      </c>
      <c r="I896" s="0" t="s">
        <v>27</v>
      </c>
      <c r="J896" s="0" t="s">
        <v>223</v>
      </c>
      <c r="K896" s="0">
        <v>1120</v>
      </c>
      <c r="L896" s="13">
        <v>3</v>
      </c>
      <c r="M896" s="0">
        <v>25</v>
      </c>
      <c r="N896" s="0">
        <v>2</v>
      </c>
      <c r="P896" s="0" t="s">
        <v>987</v>
      </c>
      <c r="T896" s="0" t="str">
        <f>_xlfn.TEXTJOIN("_",TRUE,C896,"node_eff",D896,M896,N896)</f>
        <v>s1_node_eff_battle_25_2</v>
      </c>
    </row>
    <row r="897" spans="1:20" x14ac:dyDescent="0.45">
      <c r="A897" s="0" t="str">
        <f>_xlfn.TEXTJOIN("_",TRUE,C897,"node",D897,M897,N897)</f>
        <v>s1_node_battle_25_6</v>
      </c>
      <c r="B897" s="0" t="s">
        <v>0</v>
      </c>
      <c r="C897" s="0" t="s">
        <v>26</v>
      </c>
      <c r="D897" s="0" t="s">
        <v>106</v>
      </c>
      <c r="E897" s="0" t="str">
        <f>"s1_node_"&amp;D897&amp;"_name"</f>
        <v>s1_node_battle_name</v>
      </c>
      <c r="F897" s="13" t="str">
        <f>"s1_node_"&amp;D897&amp;"_desc"</f>
        <v>s1_node_battle_desc</v>
      </c>
      <c r="G897" s="0" t="s">
        <v>795</v>
      </c>
      <c r="H897" s="0">
        <v>2</v>
      </c>
      <c r="I897" s="0" t="s">
        <v>27</v>
      </c>
      <c r="J897" s="0" t="s">
        <v>223</v>
      </c>
      <c r="K897" s="0">
        <v>1120</v>
      </c>
      <c r="L897" s="13">
        <v>3</v>
      </c>
      <c r="M897" s="0">
        <v>25</v>
      </c>
      <c r="N897" s="0">
        <v>6</v>
      </c>
      <c r="P897" s="0" t="s">
        <v>988</v>
      </c>
      <c r="T897" s="0" t="str">
        <f>_xlfn.TEXTJOIN("_",TRUE,C897,"node_eff",D897,M897,N897)</f>
        <v>s1_node_eff_battle_25_6</v>
      </c>
    </row>
    <row r="898" spans="1:20" x14ac:dyDescent="0.45">
      <c r="A898" s="0" t="str">
        <f>_xlfn.TEXTJOIN("_",TRUE,C898,"node",D898,M898,N898)</f>
        <v>s1_node_battle_26_4</v>
      </c>
      <c r="B898" s="0" t="s">
        <v>0</v>
      </c>
      <c r="C898" s="0" t="s">
        <v>26</v>
      </c>
      <c r="D898" s="0" t="s">
        <v>106</v>
      </c>
      <c r="E898" s="0" t="str">
        <f>"s1_node_"&amp;D898&amp;"_name"</f>
        <v>s1_node_battle_name</v>
      </c>
      <c r="F898" s="13" t="str">
        <f>"s1_node_"&amp;D898&amp;"_desc"</f>
        <v>s1_node_battle_desc</v>
      </c>
      <c r="G898" s="0" t="s">
        <v>795</v>
      </c>
      <c r="H898" s="0">
        <v>2</v>
      </c>
      <c r="I898" s="0" t="s">
        <v>27</v>
      </c>
      <c r="J898" s="0" t="s">
        <v>226</v>
      </c>
      <c r="K898" s="0">
        <v>1160</v>
      </c>
      <c r="L898" s="13">
        <v>3</v>
      </c>
      <c r="M898" s="0">
        <v>26</v>
      </c>
      <c r="N898" s="0">
        <v>4</v>
      </c>
      <c r="P898" s="0" t="s">
        <v>989</v>
      </c>
      <c r="T898" s="0" t="str">
        <f>_xlfn.TEXTJOIN("_",TRUE,C898,"node_eff",D898,M898,N898)</f>
        <v>s1_node_eff_battle_26_4</v>
      </c>
    </row>
    <row r="899" spans="1:20" x14ac:dyDescent="0.45">
      <c r="A899" s="0" t="str">
        <f>_xlfn.TEXTJOIN("_",TRUE,C899,"node",D899,M899,N899)</f>
        <v>s1_node_battle_27_2</v>
      </c>
      <c r="B899" s="0" t="s">
        <v>0</v>
      </c>
      <c r="C899" s="0" t="s">
        <v>26</v>
      </c>
      <c r="D899" s="0" t="s">
        <v>106</v>
      </c>
      <c r="E899" s="0" t="str">
        <f>"s1_node_"&amp;D899&amp;"_name"</f>
        <v>s1_node_battle_name</v>
      </c>
      <c r="F899" s="13" t="str">
        <f>"s1_node_"&amp;D899&amp;"_desc"</f>
        <v>s1_node_battle_desc</v>
      </c>
      <c r="G899" s="0" t="s">
        <v>795</v>
      </c>
      <c r="H899" s="0">
        <v>2</v>
      </c>
      <c r="I899" s="0" t="s">
        <v>27</v>
      </c>
      <c r="J899" s="0" t="s">
        <v>990</v>
      </c>
      <c r="K899" s="0">
        <v>1200</v>
      </c>
      <c r="L899" s="13">
        <v>3</v>
      </c>
      <c r="M899" s="0">
        <v>27</v>
      </c>
      <c r="N899" s="0">
        <v>2</v>
      </c>
      <c r="T899" s="0" t="str">
        <f>_xlfn.TEXTJOIN("_",TRUE,C899,"node_eff",D899,M899,N899)</f>
        <v>s1_node_eff_battle_27_2</v>
      </c>
    </row>
    <row r="900" spans="1:20" x14ac:dyDescent="0.45">
      <c r="A900" s="0" t="str">
        <f>_xlfn.TEXTJOIN("_",TRUE,C900,"node",D900,M900,N900)</f>
        <v>s1_node_battle_27_4</v>
      </c>
      <c r="B900" s="0" t="s">
        <v>0</v>
      </c>
      <c r="C900" s="0" t="s">
        <v>26</v>
      </c>
      <c r="D900" s="0" t="s">
        <v>106</v>
      </c>
      <c r="E900" s="0" t="str">
        <f>"s1_node_"&amp;D900&amp;"_name"</f>
        <v>s1_node_battle_name</v>
      </c>
      <c r="F900" s="13" t="str">
        <f>"s1_node_"&amp;D900&amp;"_desc"</f>
        <v>s1_node_battle_desc</v>
      </c>
      <c r="G900" s="0" t="s">
        <v>795</v>
      </c>
      <c r="H900" s="0">
        <v>2</v>
      </c>
      <c r="I900" s="0" t="s">
        <v>27</v>
      </c>
      <c r="J900" s="0" t="s">
        <v>990</v>
      </c>
      <c r="K900" s="0">
        <v>1200</v>
      </c>
      <c r="L900" s="13">
        <v>3</v>
      </c>
      <c r="M900" s="0">
        <v>27</v>
      </c>
      <c r="N900" s="0">
        <v>4</v>
      </c>
      <c r="T900" s="0" t="str">
        <f>_xlfn.TEXTJOIN("_",TRUE,C900,"node_eff",D900,M900,N900)</f>
        <v>s1_node_eff_battle_27_4</v>
      </c>
    </row>
    <row r="901" spans="1:20" x14ac:dyDescent="0.45">
      <c r="A901" s="0" t="str">
        <f>_xlfn.TEXTJOIN("_",TRUE,C901,"node",D901,M901,N901)</f>
        <v>s1_node_battle_27_6</v>
      </c>
      <c r="B901" s="0" t="s">
        <v>0</v>
      </c>
      <c r="C901" s="0" t="s">
        <v>26</v>
      </c>
      <c r="D901" s="0" t="s">
        <v>106</v>
      </c>
      <c r="E901" s="0" t="str">
        <f>"s1_node_"&amp;D901&amp;"_name"</f>
        <v>s1_node_battle_name</v>
      </c>
      <c r="F901" s="13" t="str">
        <f>"s1_node_"&amp;D901&amp;"_desc"</f>
        <v>s1_node_battle_desc</v>
      </c>
      <c r="G901" s="0" t="s">
        <v>795</v>
      </c>
      <c r="H901" s="0">
        <v>2</v>
      </c>
      <c r="I901" s="0" t="s">
        <v>27</v>
      </c>
      <c r="J901" s="0" t="s">
        <v>990</v>
      </c>
      <c r="K901" s="0">
        <v>1200</v>
      </c>
      <c r="L901" s="13">
        <v>3</v>
      </c>
      <c r="M901" s="0">
        <v>27</v>
      </c>
      <c r="N901" s="0">
        <v>6</v>
      </c>
      <c r="T901" s="0" t="str">
        <f>_xlfn.TEXTJOIN("_",TRUE,C901,"node_eff",D901,M901,N901)</f>
        <v>s1_node_eff_battle_27_6</v>
      </c>
    </row>
    <row r="902" spans="1:20" x14ac:dyDescent="0.45">
      <c r="A902" s="0" t="str">
        <f>_xlfn.TEXTJOIN("_",TRUE,C902,"node",D902,M902,N902)</f>
        <v>s1_node_battle_28_2</v>
      </c>
      <c r="B902" s="0" t="s">
        <v>0</v>
      </c>
      <c r="C902" s="0" t="s">
        <v>26</v>
      </c>
      <c r="D902" s="0" t="s">
        <v>106</v>
      </c>
      <c r="E902" s="0" t="str">
        <f>"s1_node_"&amp;D902&amp;"_name"</f>
        <v>s1_node_battle_name</v>
      </c>
      <c r="F902" s="13" t="str">
        <f>"s1_node_"&amp;D902&amp;"_desc"</f>
        <v>s1_node_battle_desc</v>
      </c>
      <c r="G902" s="0" t="s">
        <v>795</v>
      </c>
      <c r="H902" s="0">
        <v>2</v>
      </c>
      <c r="I902" s="0" t="s">
        <v>27</v>
      </c>
      <c r="J902" s="0" t="s">
        <v>991</v>
      </c>
      <c r="K902" s="0">
        <v>1240</v>
      </c>
      <c r="L902" s="13">
        <v>3</v>
      </c>
      <c r="M902" s="0">
        <v>28</v>
      </c>
      <c r="N902" s="0">
        <v>2</v>
      </c>
      <c r="P902" s="0" t="s">
        <v>992</v>
      </c>
      <c r="T902" s="0" t="str">
        <f>_xlfn.TEXTJOIN("_",TRUE,C902,"node_eff",D902,M902,N902)</f>
        <v>s1_node_eff_battle_28_2</v>
      </c>
    </row>
    <row r="903" spans="1:20" x14ac:dyDescent="0.45">
      <c r="A903" s="0" t="str">
        <f>_xlfn.TEXTJOIN("_",TRUE,C903,"node",D903,M903,N903)</f>
        <v>s1_node_battle_28_6</v>
      </c>
      <c r="B903" s="0" t="s">
        <v>0</v>
      </c>
      <c r="C903" s="0" t="s">
        <v>26</v>
      </c>
      <c r="D903" s="0" t="s">
        <v>106</v>
      </c>
      <c r="E903" s="0" t="str">
        <f>"s1_node_"&amp;D903&amp;"_name"</f>
        <v>s1_node_battle_name</v>
      </c>
      <c r="F903" s="13" t="str">
        <f>"s1_node_"&amp;D903&amp;"_desc"</f>
        <v>s1_node_battle_desc</v>
      </c>
      <c r="G903" s="0" t="s">
        <v>149</v>
      </c>
      <c r="H903" s="0">
        <v>2</v>
      </c>
      <c r="I903" s="0" t="s">
        <v>27</v>
      </c>
      <c r="J903" s="0" t="s">
        <v>991</v>
      </c>
      <c r="K903" s="0">
        <v>1240</v>
      </c>
      <c r="L903" s="13">
        <v>3</v>
      </c>
      <c r="M903" s="0">
        <v>28</v>
      </c>
      <c r="N903" s="0">
        <v>6</v>
      </c>
      <c r="P903" s="0" t="s">
        <v>993</v>
      </c>
      <c r="T903" s="0" t="str">
        <f>_xlfn.TEXTJOIN("_",TRUE,C903,"node_eff",D903,M903,N903)</f>
        <v>s1_node_eff_battle_28_6</v>
      </c>
    </row>
    <row r="904" spans="1:20" x14ac:dyDescent="0.45">
      <c r="A904" s="0" t="str">
        <f>_xlfn.TEXTJOIN("_",TRUE,C904,"node",D904,M904,N904)</f>
        <v>s1_node_battle_29_2</v>
      </c>
      <c r="B904" s="0" t="s">
        <v>0</v>
      </c>
      <c r="C904" s="0" t="s">
        <v>26</v>
      </c>
      <c r="D904" s="0" t="s">
        <v>106</v>
      </c>
      <c r="E904" s="0" t="str">
        <f>"s1_node_"&amp;D904&amp;"_name"</f>
        <v>s1_node_battle_name</v>
      </c>
      <c r="F904" s="13" t="str">
        <f>"s1_node_"&amp;D904&amp;"_desc"</f>
        <v>s1_node_battle_desc</v>
      </c>
      <c r="G904" s="0" t="s">
        <v>419</v>
      </c>
      <c r="H904" s="0">
        <v>2</v>
      </c>
      <c r="I904" s="0" t="s">
        <v>27</v>
      </c>
      <c r="J904" s="0" t="s">
        <v>994</v>
      </c>
      <c r="K904" s="0">
        <v>1280</v>
      </c>
      <c r="L904" s="13">
        <v>3</v>
      </c>
      <c r="M904" s="0">
        <v>29</v>
      </c>
      <c r="N904" s="0">
        <v>2</v>
      </c>
      <c r="T904" s="0" t="str">
        <f>_xlfn.TEXTJOIN("_",TRUE,C904,"node_eff",D904,M904,N904)</f>
        <v>s1_node_eff_battle_29_2</v>
      </c>
    </row>
    <row r="905" spans="1:20" x14ac:dyDescent="0.45">
      <c r="A905" s="0" t="str">
        <f>_xlfn.TEXTJOIN("_",TRUE,C905,"node",D905,M905,N905)</f>
        <v>s1_node_battle_29_4</v>
      </c>
      <c r="B905" s="0" t="s">
        <v>0</v>
      </c>
      <c r="C905" s="0" t="s">
        <v>26</v>
      </c>
      <c r="D905" s="0" t="s">
        <v>106</v>
      </c>
      <c r="E905" s="0" t="str">
        <f>"s1_node_"&amp;D905&amp;"_name"</f>
        <v>s1_node_battle_name</v>
      </c>
      <c r="F905" s="13" t="str">
        <f>"s1_node_"&amp;D905&amp;"_desc"</f>
        <v>s1_node_battle_desc</v>
      </c>
      <c r="G905" s="0" t="s">
        <v>419</v>
      </c>
      <c r="H905" s="0">
        <v>2</v>
      </c>
      <c r="I905" s="0" t="s">
        <v>27</v>
      </c>
      <c r="J905" s="0" t="s">
        <v>994</v>
      </c>
      <c r="K905" s="0">
        <v>1280</v>
      </c>
      <c r="L905" s="13">
        <v>3</v>
      </c>
      <c r="M905" s="0">
        <v>29</v>
      </c>
      <c r="N905" s="0">
        <v>4</v>
      </c>
      <c r="P905" s="0" t="s">
        <v>995</v>
      </c>
      <c r="T905" s="0" t="str">
        <f>_xlfn.TEXTJOIN("_",TRUE,C905,"node_eff",D905,M905,N905)</f>
        <v>s1_node_eff_battle_29_4</v>
      </c>
    </row>
    <row r="906" spans="1:20" x14ac:dyDescent="0.45">
      <c r="A906" s="0" t="str">
        <f>_xlfn.TEXTJOIN("_",TRUE,C906,"node",D906,M906,N906)</f>
        <v>s1_node_battle_29_6</v>
      </c>
      <c r="B906" s="0" t="s">
        <v>0</v>
      </c>
      <c r="C906" s="0" t="s">
        <v>26</v>
      </c>
      <c r="D906" s="0" t="s">
        <v>106</v>
      </c>
      <c r="E906" s="0" t="str">
        <f>"s1_node_"&amp;D906&amp;"_name"</f>
        <v>s1_node_battle_name</v>
      </c>
      <c r="F906" s="13" t="str">
        <f>"s1_node_"&amp;D906&amp;"_desc"</f>
        <v>s1_node_battle_desc</v>
      </c>
      <c r="G906" s="0" t="s">
        <v>795</v>
      </c>
      <c r="H906" s="0">
        <v>2</v>
      </c>
      <c r="I906" s="0" t="s">
        <v>27</v>
      </c>
      <c r="J906" s="0" t="s">
        <v>994</v>
      </c>
      <c r="K906" s="0">
        <v>1280</v>
      </c>
      <c r="L906" s="13">
        <v>3</v>
      </c>
      <c r="M906" s="0">
        <v>29</v>
      </c>
      <c r="N906" s="0">
        <v>6</v>
      </c>
      <c r="T906" s="0" t="str">
        <f>_xlfn.TEXTJOIN("_",TRUE,C906,"node_eff",D906,M906,N906)</f>
        <v>s1_node_eff_battle_29_6</v>
      </c>
    </row>
    <row r="907" spans="1:20" x14ac:dyDescent="0.45">
      <c r="A907" s="0" t="str">
        <f>_xlfn.TEXTJOIN("_",TRUE,C907,"node",D907,M907,N907)</f>
        <v>s1_node_battle_30_2</v>
      </c>
      <c r="B907" s="0" t="s">
        <v>0</v>
      </c>
      <c r="C907" s="0" t="s">
        <v>26</v>
      </c>
      <c r="D907" s="0" t="s">
        <v>106</v>
      </c>
      <c r="E907" s="0" t="str">
        <f>"s1_node_"&amp;D907&amp;"_name"</f>
        <v>s1_node_battle_name</v>
      </c>
      <c r="F907" s="13" t="str">
        <f>"s1_node_"&amp;D907&amp;"_desc"</f>
        <v>s1_node_battle_desc</v>
      </c>
      <c r="G907" s="0" t="s">
        <v>795</v>
      </c>
      <c r="H907" s="0">
        <v>2</v>
      </c>
      <c r="I907" s="0" t="s">
        <v>27</v>
      </c>
      <c r="J907" s="0" t="s">
        <v>996</v>
      </c>
      <c r="K907" s="0">
        <v>1320</v>
      </c>
      <c r="L907" s="13">
        <v>3</v>
      </c>
      <c r="M907" s="0">
        <v>30</v>
      </c>
      <c r="N907" s="0">
        <v>2</v>
      </c>
      <c r="P907" s="0" t="s">
        <v>997</v>
      </c>
      <c r="T907" s="0" t="str">
        <f>_xlfn.TEXTJOIN("_",TRUE,C907,"node_eff",D907,M907,N907)</f>
        <v>s1_node_eff_battle_30_2</v>
      </c>
    </row>
    <row r="908" spans="1:20" x14ac:dyDescent="0.45">
      <c r="A908" s="0" t="str">
        <f>_xlfn.TEXTJOIN("_",TRUE,C908,"node",D908,M908,N908)</f>
        <v>s1_node_battle_30_6</v>
      </c>
      <c r="B908" s="0" t="s">
        <v>0</v>
      </c>
      <c r="C908" s="0" t="s">
        <v>26</v>
      </c>
      <c r="D908" s="0" t="s">
        <v>106</v>
      </c>
      <c r="E908" s="0" t="str">
        <f>"s1_node_"&amp;D908&amp;"_name"</f>
        <v>s1_node_battle_name</v>
      </c>
      <c r="F908" s="13" t="str">
        <f>"s1_node_"&amp;D908&amp;"_desc"</f>
        <v>s1_node_battle_desc</v>
      </c>
      <c r="G908" s="0" t="s">
        <v>795</v>
      </c>
      <c r="H908" s="0">
        <v>2</v>
      </c>
      <c r="I908" s="0" t="s">
        <v>27</v>
      </c>
      <c r="J908" s="0" t="s">
        <v>996</v>
      </c>
      <c r="K908" s="0">
        <v>1320</v>
      </c>
      <c r="L908" s="13">
        <v>3</v>
      </c>
      <c r="M908" s="0">
        <v>30</v>
      </c>
      <c r="N908" s="0">
        <v>6</v>
      </c>
      <c r="P908" s="0" t="s">
        <v>998</v>
      </c>
      <c r="T908" s="0" t="str">
        <f>_xlfn.TEXTJOIN("_",TRUE,C908,"node_eff",D908,M908,N908)</f>
        <v>s1_node_eff_battle_30_6</v>
      </c>
    </row>
    <row r="909" spans="1:20" x14ac:dyDescent="0.45">
      <c r="A909" s="0" t="str">
        <f>_xlfn.TEXTJOIN("_",TRUE,C909,"node",D909,M909,N909)</f>
        <v>s1_node_battle_31_4</v>
      </c>
      <c r="B909" s="0" t="s">
        <v>0</v>
      </c>
      <c r="C909" s="0" t="s">
        <v>26</v>
      </c>
      <c r="D909" s="0" t="s">
        <v>106</v>
      </c>
      <c r="E909" s="0" t="str">
        <f>"s1_node_"&amp;D909&amp;"_name"</f>
        <v>s1_node_battle_name</v>
      </c>
      <c r="F909" s="13" t="str">
        <f>"s1_node_"&amp;D909&amp;"_desc"</f>
        <v>s1_node_battle_desc</v>
      </c>
      <c r="G909" s="0" t="s">
        <v>795</v>
      </c>
      <c r="H909" s="0">
        <v>2</v>
      </c>
      <c r="I909" s="0" t="s">
        <v>27</v>
      </c>
      <c r="J909" s="0" t="s">
        <v>488</v>
      </c>
      <c r="K909" s="0">
        <v>1360</v>
      </c>
      <c r="L909" s="13">
        <v>3</v>
      </c>
      <c r="M909" s="0">
        <v>31</v>
      </c>
      <c r="N909" s="0">
        <v>4</v>
      </c>
      <c r="P909" s="0" t="s">
        <v>999</v>
      </c>
      <c r="T909" s="0" t="str">
        <f>_xlfn.TEXTJOIN("_",TRUE,C909,"node_eff",D909,M909,N909)</f>
        <v>s1_node_eff_battle_31_4</v>
      </c>
    </row>
    <row r="910" spans="1:20" x14ac:dyDescent="0.45">
      <c r="A910" s="0" t="str">
        <f>_xlfn.TEXTJOIN("_",TRUE,C910,"node",D910,M910,N910)</f>
        <v>s1_node_battle_32_2</v>
      </c>
      <c r="B910" s="0" t="s">
        <v>0</v>
      </c>
      <c r="C910" s="0" t="s">
        <v>26</v>
      </c>
      <c r="D910" s="0" t="s">
        <v>106</v>
      </c>
      <c r="E910" s="0" t="str">
        <f>"s1_node_"&amp;D910&amp;"_name"</f>
        <v>s1_node_battle_name</v>
      </c>
      <c r="F910" s="13" t="str">
        <f>"s1_node_"&amp;D910&amp;"_desc"</f>
        <v>s1_node_battle_desc</v>
      </c>
      <c r="G910" s="0" t="s">
        <v>795</v>
      </c>
      <c r="H910" s="0">
        <v>2</v>
      </c>
      <c r="I910" s="0" t="s">
        <v>27</v>
      </c>
      <c r="J910" s="0" t="s">
        <v>245</v>
      </c>
      <c r="K910" s="0">
        <v>1400</v>
      </c>
      <c r="L910" s="13">
        <v>3</v>
      </c>
      <c r="M910" s="0">
        <v>32</v>
      </c>
      <c r="N910" s="0">
        <v>2</v>
      </c>
      <c r="T910" s="0" t="str">
        <f>_xlfn.TEXTJOIN("_",TRUE,C910,"node_eff",D910,M910,N910)</f>
        <v>s1_node_eff_battle_32_2</v>
      </c>
    </row>
    <row r="911" spans="1:20" x14ac:dyDescent="0.45">
      <c r="A911" s="0" t="str">
        <f>_xlfn.TEXTJOIN("_",TRUE,C911,"node",D911,M911,N911)</f>
        <v>s1_node_battle_32_4</v>
      </c>
      <c r="B911" s="0" t="s">
        <v>0</v>
      </c>
      <c r="C911" s="0" t="s">
        <v>26</v>
      </c>
      <c r="D911" s="0" t="s">
        <v>106</v>
      </c>
      <c r="E911" s="0" t="str">
        <f>"s1_node_"&amp;D911&amp;"_name"</f>
        <v>s1_node_battle_name</v>
      </c>
      <c r="F911" s="13" t="str">
        <f>"s1_node_"&amp;D911&amp;"_desc"</f>
        <v>s1_node_battle_desc</v>
      </c>
      <c r="G911" s="0" t="s">
        <v>795</v>
      </c>
      <c r="H911" s="0">
        <v>2</v>
      </c>
      <c r="I911" s="0" t="s">
        <v>27</v>
      </c>
      <c r="J911" s="0" t="s">
        <v>245</v>
      </c>
      <c r="K911" s="0">
        <v>1400</v>
      </c>
      <c r="L911" s="13">
        <v>3</v>
      </c>
      <c r="M911" s="0">
        <v>32</v>
      </c>
      <c r="N911" s="0">
        <v>4</v>
      </c>
      <c r="T911" s="0" t="str">
        <f>_xlfn.TEXTJOIN("_",TRUE,C911,"node_eff",D911,M911,N911)</f>
        <v>s1_node_eff_battle_32_4</v>
      </c>
    </row>
    <row r="912" spans="1:20" x14ac:dyDescent="0.45">
      <c r="A912" s="0" t="str">
        <f>_xlfn.TEXTJOIN("_",TRUE,C912,"node",D912,M912,N912)</f>
        <v>s1_node_battle_32_6</v>
      </c>
      <c r="B912" s="0" t="s">
        <v>0</v>
      </c>
      <c r="C912" s="0" t="s">
        <v>26</v>
      </c>
      <c r="D912" s="0" t="s">
        <v>106</v>
      </c>
      <c r="E912" s="0" t="str">
        <f>"s1_node_"&amp;D912&amp;"_name"</f>
        <v>s1_node_battle_name</v>
      </c>
      <c r="F912" s="13" t="str">
        <f>"s1_node_"&amp;D912&amp;"_desc"</f>
        <v>s1_node_battle_desc</v>
      </c>
      <c r="G912" s="0" t="s">
        <v>795</v>
      </c>
      <c r="H912" s="0">
        <v>2</v>
      </c>
      <c r="I912" s="0" t="s">
        <v>27</v>
      </c>
      <c r="J912" s="0" t="s">
        <v>245</v>
      </c>
      <c r="K912" s="0">
        <v>1400</v>
      </c>
      <c r="L912" s="13">
        <v>3</v>
      </c>
      <c r="M912" s="0">
        <v>32</v>
      </c>
      <c r="N912" s="0">
        <v>6</v>
      </c>
      <c r="T912" s="0" t="str">
        <f>_xlfn.TEXTJOIN("_",TRUE,C912,"node_eff",D912,M912,N912)</f>
        <v>s1_node_eff_battle_32_6</v>
      </c>
    </row>
    <row r="913" spans="1:20" x14ac:dyDescent="0.45">
      <c r="A913" s="0" t="str">
        <f>_xlfn.TEXTJOIN("_",TRUE,C913,"node",D913,M913,N913)</f>
        <v>s1_node_battle_33_2</v>
      </c>
      <c r="B913" s="0" t="s">
        <v>0</v>
      </c>
      <c r="C913" s="0" t="s">
        <v>26</v>
      </c>
      <c r="D913" s="0" t="s">
        <v>106</v>
      </c>
      <c r="E913" s="0" t="str">
        <f>"s1_node_"&amp;D913&amp;"_name"</f>
        <v>s1_node_battle_name</v>
      </c>
      <c r="F913" s="13" t="str">
        <f>"s1_node_"&amp;D913&amp;"_desc"</f>
        <v>s1_node_battle_desc</v>
      </c>
      <c r="G913" s="0" t="s">
        <v>795</v>
      </c>
      <c r="H913" s="0">
        <v>2</v>
      </c>
      <c r="I913" s="0" t="s">
        <v>27</v>
      </c>
      <c r="J913" s="0" t="s">
        <v>490</v>
      </c>
      <c r="K913" s="0">
        <v>1430</v>
      </c>
      <c r="L913" s="13">
        <v>3</v>
      </c>
      <c r="M913" s="0">
        <v>33</v>
      </c>
      <c r="N913" s="0">
        <v>2</v>
      </c>
      <c r="P913" s="0" t="s">
        <v>1000</v>
      </c>
      <c r="T913" s="0" t="str">
        <f>_xlfn.TEXTJOIN("_",TRUE,C913,"node_eff",D913,M913,N913)</f>
        <v>s1_node_eff_battle_33_2</v>
      </c>
    </row>
    <row r="914" spans="1:20" x14ac:dyDescent="0.45">
      <c r="A914" s="0" t="str">
        <f>_xlfn.TEXTJOIN("_",TRUE,C914,"node",D914,M914,N914)</f>
        <v>s1_node_battle_33_6</v>
      </c>
      <c r="B914" s="0" t="s">
        <v>0</v>
      </c>
      <c r="C914" s="0" t="s">
        <v>26</v>
      </c>
      <c r="D914" s="0" t="s">
        <v>106</v>
      </c>
      <c r="E914" s="0" t="str">
        <f>"s1_node_"&amp;D914&amp;"_name"</f>
        <v>s1_node_battle_name</v>
      </c>
      <c r="F914" s="13" t="str">
        <f>"s1_node_"&amp;D914&amp;"_desc"</f>
        <v>s1_node_battle_desc</v>
      </c>
      <c r="G914" s="0" t="s">
        <v>795</v>
      </c>
      <c r="H914" s="0">
        <v>2</v>
      </c>
      <c r="I914" s="0" t="s">
        <v>27</v>
      </c>
      <c r="J914" s="0" t="s">
        <v>490</v>
      </c>
      <c r="K914" s="0">
        <v>1430</v>
      </c>
      <c r="L914" s="13">
        <v>3</v>
      </c>
      <c r="M914" s="0">
        <v>33</v>
      </c>
      <c r="N914" s="0">
        <v>6</v>
      </c>
      <c r="P914" s="0" t="s">
        <v>1001</v>
      </c>
      <c r="T914" s="0" t="str">
        <f>_xlfn.TEXTJOIN("_",TRUE,C914,"node_eff",D914,M914,N914)</f>
        <v>s1_node_eff_battle_33_6</v>
      </c>
    </row>
    <row r="915" spans="1:20" x14ac:dyDescent="0.45">
      <c r="A915" s="0" t="str">
        <f>_xlfn.TEXTJOIN("_",TRUE,C915,"node",D915,M915,N915)</f>
        <v>s1_node_battle_34_2</v>
      </c>
      <c r="B915" s="0" t="s">
        <v>0</v>
      </c>
      <c r="C915" s="0" t="s">
        <v>26</v>
      </c>
      <c r="D915" s="0" t="s">
        <v>106</v>
      </c>
      <c r="E915" s="0" t="str">
        <f>"s1_node_"&amp;D915&amp;"_name"</f>
        <v>s1_node_battle_name</v>
      </c>
      <c r="F915" s="13" t="str">
        <f>"s1_node_"&amp;D915&amp;"_desc"</f>
        <v>s1_node_battle_desc</v>
      </c>
      <c r="G915" s="0" t="s">
        <v>795</v>
      </c>
      <c r="H915" s="0">
        <v>2</v>
      </c>
      <c r="I915" s="0" t="s">
        <v>27</v>
      </c>
      <c r="J915" s="0" t="s">
        <v>251</v>
      </c>
      <c r="K915" s="0">
        <v>1470</v>
      </c>
      <c r="L915" s="13">
        <v>3</v>
      </c>
      <c r="M915" s="0">
        <v>34</v>
      </c>
      <c r="N915" s="0">
        <v>2</v>
      </c>
      <c r="T915" s="0" t="str">
        <f>_xlfn.TEXTJOIN("_",TRUE,C915,"node_eff",D915,M915,N915)</f>
        <v>s1_node_eff_battle_34_2</v>
      </c>
    </row>
    <row r="916" spans="1:20" x14ac:dyDescent="0.45">
      <c r="A916" s="0" t="str">
        <f>_xlfn.TEXTJOIN("_",TRUE,C916,"node",D916,M916,N916)</f>
        <v>s1_node_battle_34_4</v>
      </c>
      <c r="B916" s="0" t="s">
        <v>0</v>
      </c>
      <c r="C916" s="0" t="s">
        <v>26</v>
      </c>
      <c r="D916" s="0" t="s">
        <v>106</v>
      </c>
      <c r="E916" s="0" t="str">
        <f>"s1_node_"&amp;D916&amp;"_name"</f>
        <v>s1_node_battle_name</v>
      </c>
      <c r="F916" s="13" t="str">
        <f>"s1_node_"&amp;D916&amp;"_desc"</f>
        <v>s1_node_battle_desc</v>
      </c>
      <c r="G916" s="0" t="s">
        <v>795</v>
      </c>
      <c r="H916" s="0">
        <v>2</v>
      </c>
      <c r="I916" s="0" t="s">
        <v>27</v>
      </c>
      <c r="J916" s="0" t="s">
        <v>251</v>
      </c>
      <c r="K916" s="0">
        <v>1470</v>
      </c>
      <c r="L916" s="13">
        <v>3</v>
      </c>
      <c r="M916" s="0">
        <v>34</v>
      </c>
      <c r="N916" s="0">
        <v>4</v>
      </c>
      <c r="P916" s="0" t="s">
        <v>1002</v>
      </c>
      <c r="T916" s="0" t="str">
        <f>_xlfn.TEXTJOIN("_",TRUE,C916,"node_eff",D916,M916,N916)</f>
        <v>s1_node_eff_battle_34_4</v>
      </c>
    </row>
    <row r="917" spans="1:20" x14ac:dyDescent="0.45">
      <c r="A917" s="0" t="str">
        <f>_xlfn.TEXTJOIN("_",TRUE,C917,"node",D917,M917,N917)</f>
        <v>s1_node_battle_34_6</v>
      </c>
      <c r="B917" s="0" t="s">
        <v>0</v>
      </c>
      <c r="C917" s="0" t="s">
        <v>26</v>
      </c>
      <c r="D917" s="0" t="s">
        <v>106</v>
      </c>
      <c r="E917" s="0" t="str">
        <f>"s1_node_"&amp;D917&amp;"_name"</f>
        <v>s1_node_battle_name</v>
      </c>
      <c r="F917" s="13" t="str">
        <f>"s1_node_"&amp;D917&amp;"_desc"</f>
        <v>s1_node_battle_desc</v>
      </c>
      <c r="G917" s="0" t="s">
        <v>795</v>
      </c>
      <c r="H917" s="0">
        <v>2</v>
      </c>
      <c r="I917" s="0" t="s">
        <v>27</v>
      </c>
      <c r="J917" s="0" t="s">
        <v>251</v>
      </c>
      <c r="K917" s="0">
        <v>1470</v>
      </c>
      <c r="L917" s="13">
        <v>3</v>
      </c>
      <c r="M917" s="0">
        <v>34</v>
      </c>
      <c r="N917" s="0">
        <v>6</v>
      </c>
      <c r="T917" s="0" t="str">
        <f>_xlfn.TEXTJOIN("_",TRUE,C917,"node_eff",D917,M917,N917)</f>
        <v>s1_node_eff_battle_34_6</v>
      </c>
    </row>
    <row r="918" spans="1:20" x14ac:dyDescent="0.45">
      <c r="A918" s="0" t="str">
        <f>_xlfn.TEXTJOIN("_",TRUE,C918,"node",D918,M918,N918)</f>
        <v>s1_node_battle_35_2</v>
      </c>
      <c r="B918" s="0" t="s">
        <v>0</v>
      </c>
      <c r="C918" s="0" t="s">
        <v>26</v>
      </c>
      <c r="D918" s="0" t="s">
        <v>106</v>
      </c>
      <c r="E918" s="0" t="str">
        <f>"s1_node_"&amp;D918&amp;"_name"</f>
        <v>s1_node_battle_name</v>
      </c>
      <c r="F918" s="13" t="str">
        <f>"s1_node_"&amp;D918&amp;"_desc"</f>
        <v>s1_node_battle_desc</v>
      </c>
      <c r="G918" s="0" t="s">
        <v>149</v>
      </c>
      <c r="H918" s="0">
        <v>2</v>
      </c>
      <c r="I918" s="0" t="s">
        <v>27</v>
      </c>
      <c r="J918" s="0" t="s">
        <v>254</v>
      </c>
      <c r="K918" s="0">
        <v>1510</v>
      </c>
      <c r="L918" s="13">
        <v>3</v>
      </c>
      <c r="M918" s="0">
        <v>35</v>
      </c>
      <c r="N918" s="0">
        <v>2</v>
      </c>
      <c r="P918" s="0" t="s">
        <v>1003</v>
      </c>
      <c r="T918" s="0" t="str">
        <f>_xlfn.TEXTJOIN("_",TRUE,C918,"node_eff",D918,M918,N918)</f>
        <v>s1_node_eff_battle_35_2</v>
      </c>
    </row>
    <row r="919" spans="1:20" x14ac:dyDescent="0.45">
      <c r="A919" s="0" t="str">
        <f>_xlfn.TEXTJOIN("_",TRUE,C919,"node",D919,M919,N919)</f>
        <v>s1_node_battle_35_6</v>
      </c>
      <c r="B919" s="0" t="s">
        <v>0</v>
      </c>
      <c r="C919" s="0" t="s">
        <v>26</v>
      </c>
      <c r="D919" s="0" t="s">
        <v>106</v>
      </c>
      <c r="E919" s="0" t="str">
        <f>"s1_node_"&amp;D919&amp;"_name"</f>
        <v>s1_node_battle_name</v>
      </c>
      <c r="F919" s="13" t="str">
        <f>"s1_node_"&amp;D919&amp;"_desc"</f>
        <v>s1_node_battle_desc</v>
      </c>
      <c r="G919" s="0" t="s">
        <v>419</v>
      </c>
      <c r="H919" s="0">
        <v>2</v>
      </c>
      <c r="I919" s="0" t="s">
        <v>27</v>
      </c>
      <c r="J919" s="0" t="s">
        <v>254</v>
      </c>
      <c r="K919" s="0">
        <v>1510</v>
      </c>
      <c r="L919" s="13">
        <v>3</v>
      </c>
      <c r="M919" s="0">
        <v>35</v>
      </c>
      <c r="N919" s="0">
        <v>6</v>
      </c>
      <c r="P919" s="0" t="s">
        <v>1004</v>
      </c>
      <c r="T919" s="0" t="str">
        <f>_xlfn.TEXTJOIN("_",TRUE,C919,"node_eff",D919,M919,N919)</f>
        <v>s1_node_eff_battle_35_6</v>
      </c>
    </row>
    <row r="920" spans="1:20" x14ac:dyDescent="0.45">
      <c r="A920" s="0" t="str">
        <f>_xlfn.TEXTJOIN("_",TRUE,C920,"node",D920,M920,N920)</f>
        <v>s1_node_battle_36_4</v>
      </c>
      <c r="B920" s="0" t="s">
        <v>0</v>
      </c>
      <c r="C920" s="0" t="s">
        <v>26</v>
      </c>
      <c r="D920" s="0" t="s">
        <v>106</v>
      </c>
      <c r="E920" s="0" t="str">
        <f>"s1_node_"&amp;D920&amp;"_name"</f>
        <v>s1_node_battle_name</v>
      </c>
      <c r="F920" s="13" t="str">
        <f>"s1_node_"&amp;D920&amp;"_desc"</f>
        <v>s1_node_battle_desc</v>
      </c>
      <c r="G920" s="0" t="s">
        <v>419</v>
      </c>
      <c r="H920" s="0">
        <v>2</v>
      </c>
      <c r="I920" s="0" t="s">
        <v>27</v>
      </c>
      <c r="J920" s="0" t="s">
        <v>1005</v>
      </c>
      <c r="K920" s="0">
        <v>1550</v>
      </c>
      <c r="L920" s="13">
        <v>3</v>
      </c>
      <c r="M920" s="0">
        <v>36</v>
      </c>
      <c r="N920" s="0">
        <v>4</v>
      </c>
      <c r="P920" s="0" t="s">
        <v>1006</v>
      </c>
      <c r="T920" s="0" t="str">
        <f>_xlfn.TEXTJOIN("_",TRUE,C920,"node_eff",D920,M920,N920)</f>
        <v>s1_node_eff_battle_36_4</v>
      </c>
    </row>
    <row r="921" spans="1:20" x14ac:dyDescent="0.45">
      <c r="A921" s="0" t="str">
        <f>_xlfn.TEXTJOIN("_",TRUE,C921,"node",D921,M921,N921)</f>
        <v>s1_node_battle_37_2</v>
      </c>
      <c r="B921" s="0" t="s">
        <v>0</v>
      </c>
      <c r="C921" s="0" t="s">
        <v>26</v>
      </c>
      <c r="D921" s="0" t="s">
        <v>106</v>
      </c>
      <c r="E921" s="0" t="str">
        <f>"s1_node_"&amp;D921&amp;"_name"</f>
        <v>s1_node_battle_name</v>
      </c>
      <c r="F921" s="13" t="str">
        <f>"s1_node_"&amp;D921&amp;"_desc"</f>
        <v>s1_node_battle_desc</v>
      </c>
      <c r="G921" s="0" t="s">
        <v>795</v>
      </c>
      <c r="H921" s="0">
        <v>2</v>
      </c>
      <c r="I921" s="0" t="s">
        <v>27</v>
      </c>
      <c r="J921" s="0" t="s">
        <v>1007</v>
      </c>
      <c r="K921" s="0">
        <v>1590</v>
      </c>
      <c r="L921" s="13">
        <v>3</v>
      </c>
      <c r="M921" s="0">
        <v>37</v>
      </c>
      <c r="N921" s="0">
        <v>2</v>
      </c>
      <c r="T921" s="0" t="str">
        <f>_xlfn.TEXTJOIN("_",TRUE,C921,"node_eff",D921,M921,N921)</f>
        <v>s1_node_eff_battle_37_2</v>
      </c>
    </row>
    <row r="922" spans="1:20" x14ac:dyDescent="0.45">
      <c r="A922" s="0" t="str">
        <f>_xlfn.TEXTJOIN("_",TRUE,C922,"node",D922,M922,N922)</f>
        <v>s1_node_battle_37_4</v>
      </c>
      <c r="B922" s="0" t="s">
        <v>0</v>
      </c>
      <c r="C922" s="0" t="s">
        <v>26</v>
      </c>
      <c r="D922" s="0" t="s">
        <v>106</v>
      </c>
      <c r="E922" s="0" t="str">
        <f>"s1_node_"&amp;D922&amp;"_name"</f>
        <v>s1_node_battle_name</v>
      </c>
      <c r="F922" s="13" t="str">
        <f>"s1_node_"&amp;D922&amp;"_desc"</f>
        <v>s1_node_battle_desc</v>
      </c>
      <c r="G922" s="0" t="s">
        <v>795</v>
      </c>
      <c r="H922" s="0">
        <v>2</v>
      </c>
      <c r="I922" s="0" t="s">
        <v>27</v>
      </c>
      <c r="J922" s="0" t="s">
        <v>1007</v>
      </c>
      <c r="K922" s="0">
        <v>1590</v>
      </c>
      <c r="L922" s="13">
        <v>3</v>
      </c>
      <c r="M922" s="0">
        <v>37</v>
      </c>
      <c r="N922" s="0">
        <v>4</v>
      </c>
      <c r="T922" s="0" t="str">
        <f>_xlfn.TEXTJOIN("_",TRUE,C922,"node_eff",D922,M922,N922)</f>
        <v>s1_node_eff_battle_37_4</v>
      </c>
    </row>
    <row r="923" spans="1:20" x14ac:dyDescent="0.45">
      <c r="A923" s="0" t="str">
        <f>_xlfn.TEXTJOIN("_",TRUE,C923,"node",D923,M923,N923)</f>
        <v>s1_node_battle_37_6</v>
      </c>
      <c r="B923" s="0" t="s">
        <v>0</v>
      </c>
      <c r="C923" s="0" t="s">
        <v>26</v>
      </c>
      <c r="D923" s="0" t="s">
        <v>106</v>
      </c>
      <c r="E923" s="0" t="str">
        <f>"s1_node_"&amp;D923&amp;"_name"</f>
        <v>s1_node_battle_name</v>
      </c>
      <c r="F923" s="13" t="str">
        <f>"s1_node_"&amp;D923&amp;"_desc"</f>
        <v>s1_node_battle_desc</v>
      </c>
      <c r="G923" s="0" t="s">
        <v>795</v>
      </c>
      <c r="H923" s="0">
        <v>2</v>
      </c>
      <c r="I923" s="0" t="s">
        <v>27</v>
      </c>
      <c r="J923" s="0" t="s">
        <v>1007</v>
      </c>
      <c r="K923" s="0">
        <v>1590</v>
      </c>
      <c r="L923" s="13">
        <v>3</v>
      </c>
      <c r="M923" s="0">
        <v>37</v>
      </c>
      <c r="N923" s="0">
        <v>6</v>
      </c>
      <c r="T923" s="0" t="str">
        <f>_xlfn.TEXTJOIN("_",TRUE,C923,"node_eff",D923,M923,N923)</f>
        <v>s1_node_eff_battle_37_6</v>
      </c>
    </row>
    <row r="924" spans="1:20" x14ac:dyDescent="0.45">
      <c r="A924" s="0" t="str">
        <f>_xlfn.TEXTJOIN("_",TRUE,C924,"node",D924,M924,N924)</f>
        <v>s1_node_battle_38_2</v>
      </c>
      <c r="B924" s="0" t="s">
        <v>0</v>
      </c>
      <c r="C924" s="0" t="s">
        <v>26</v>
      </c>
      <c r="D924" s="0" t="s">
        <v>106</v>
      </c>
      <c r="E924" s="0" t="str">
        <f>"s1_node_"&amp;D924&amp;"_name"</f>
        <v>s1_node_battle_name</v>
      </c>
      <c r="F924" s="13" t="str">
        <f>"s1_node_"&amp;D924&amp;"_desc"</f>
        <v>s1_node_battle_desc</v>
      </c>
      <c r="G924" s="0" t="s">
        <v>795</v>
      </c>
      <c r="H924" s="0">
        <v>2</v>
      </c>
      <c r="I924" s="0" t="s">
        <v>27</v>
      </c>
      <c r="J924" s="0" t="s">
        <v>1008</v>
      </c>
      <c r="K924" s="0">
        <v>1630</v>
      </c>
      <c r="L924" s="13">
        <v>3</v>
      </c>
      <c r="M924" s="0">
        <v>38</v>
      </c>
      <c r="N924" s="0">
        <v>2</v>
      </c>
      <c r="P924" s="0" t="s">
        <v>1009</v>
      </c>
      <c r="T924" s="0" t="str">
        <f>_xlfn.TEXTJOIN("_",TRUE,C924,"node_eff",D924,M924,N924)</f>
        <v>s1_node_eff_battle_38_2</v>
      </c>
    </row>
    <row r="925" spans="1:20" x14ac:dyDescent="0.45">
      <c r="A925" s="0" t="str">
        <f>_xlfn.TEXTJOIN("_",TRUE,C925,"node",D925,M925,N925)</f>
        <v>s1_node_battle_38_6</v>
      </c>
      <c r="B925" s="0" t="s">
        <v>0</v>
      </c>
      <c r="C925" s="0" t="s">
        <v>26</v>
      </c>
      <c r="D925" s="0" t="s">
        <v>106</v>
      </c>
      <c r="E925" s="0" t="str">
        <f>"s1_node_"&amp;D925&amp;"_name"</f>
        <v>s1_node_battle_name</v>
      </c>
      <c r="F925" s="13" t="str">
        <f>"s1_node_"&amp;D925&amp;"_desc"</f>
        <v>s1_node_battle_desc</v>
      </c>
      <c r="G925" s="0" t="s">
        <v>795</v>
      </c>
      <c r="H925" s="0">
        <v>2</v>
      </c>
      <c r="I925" s="0" t="s">
        <v>27</v>
      </c>
      <c r="J925" s="0" t="s">
        <v>1008</v>
      </c>
      <c r="K925" s="0">
        <v>1630</v>
      </c>
      <c r="L925" s="13">
        <v>3</v>
      </c>
      <c r="M925" s="0">
        <v>38</v>
      </c>
      <c r="N925" s="0">
        <v>6</v>
      </c>
      <c r="P925" s="0" t="s">
        <v>1010</v>
      </c>
      <c r="T925" s="0" t="str">
        <f>_xlfn.TEXTJOIN("_",TRUE,C925,"node_eff",D925,M925,N925)</f>
        <v>s1_node_eff_battle_38_6</v>
      </c>
    </row>
    <row r="926" spans="1:20" x14ac:dyDescent="0.45">
      <c r="A926" s="0" t="str">
        <f>_xlfn.TEXTJOIN("_",TRUE,C926,"node",D926,M926,N926)</f>
        <v>s1_node_battle_39_2</v>
      </c>
      <c r="B926" s="0" t="s">
        <v>0</v>
      </c>
      <c r="C926" s="0" t="s">
        <v>26</v>
      </c>
      <c r="D926" s="0" t="s">
        <v>106</v>
      </c>
      <c r="E926" s="0" t="str">
        <f>"s1_node_"&amp;D926&amp;"_name"</f>
        <v>s1_node_battle_name</v>
      </c>
      <c r="F926" s="13" t="str">
        <f>"s1_node_"&amp;D926&amp;"_desc"</f>
        <v>s1_node_battle_desc</v>
      </c>
      <c r="G926" s="0" t="s">
        <v>795</v>
      </c>
      <c r="H926" s="0">
        <v>2</v>
      </c>
      <c r="I926" s="0" t="s">
        <v>27</v>
      </c>
      <c r="J926" s="0" t="s">
        <v>1011</v>
      </c>
      <c r="K926" s="0">
        <v>1670</v>
      </c>
      <c r="L926" s="13">
        <v>3</v>
      </c>
      <c r="M926" s="0">
        <v>39</v>
      </c>
      <c r="N926" s="0">
        <v>2</v>
      </c>
      <c r="T926" s="0" t="str">
        <f>_xlfn.TEXTJOIN("_",TRUE,C926,"node_eff",D926,M926,N926)</f>
        <v>s1_node_eff_battle_39_2</v>
      </c>
    </row>
    <row r="927" spans="1:20" x14ac:dyDescent="0.45">
      <c r="A927" s="0" t="str">
        <f>_xlfn.TEXTJOIN("_",TRUE,C927,"node",D927,M927,N927)</f>
        <v>s1_node_battle_39_4</v>
      </c>
      <c r="B927" s="0" t="s">
        <v>0</v>
      </c>
      <c r="C927" s="0" t="s">
        <v>26</v>
      </c>
      <c r="D927" s="0" t="s">
        <v>106</v>
      </c>
      <c r="E927" s="0" t="str">
        <f>"s1_node_"&amp;D927&amp;"_name"</f>
        <v>s1_node_battle_name</v>
      </c>
      <c r="F927" s="13" t="str">
        <f>"s1_node_"&amp;D927&amp;"_desc"</f>
        <v>s1_node_battle_desc</v>
      </c>
      <c r="G927" s="0" t="s">
        <v>795</v>
      </c>
      <c r="H927" s="0">
        <v>2</v>
      </c>
      <c r="I927" s="0" t="s">
        <v>27</v>
      </c>
      <c r="J927" s="0" t="s">
        <v>1011</v>
      </c>
      <c r="K927" s="0">
        <v>1670</v>
      </c>
      <c r="L927" s="13">
        <v>3</v>
      </c>
      <c r="M927" s="0">
        <v>39</v>
      </c>
      <c r="N927" s="0">
        <v>4</v>
      </c>
      <c r="P927" s="0" t="s">
        <v>1012</v>
      </c>
      <c r="T927" s="0" t="str">
        <f>_xlfn.TEXTJOIN("_",TRUE,C927,"node_eff",D927,M927,N927)</f>
        <v>s1_node_eff_battle_39_4</v>
      </c>
    </row>
    <row r="928" spans="1:20" x14ac:dyDescent="0.45">
      <c r="A928" s="0" t="str">
        <f>_xlfn.TEXTJOIN("_",TRUE,C928,"node",D928,M928,N928)</f>
        <v>s1_node_battle_39_6</v>
      </c>
      <c r="B928" s="0" t="s">
        <v>0</v>
      </c>
      <c r="C928" s="0" t="s">
        <v>26</v>
      </c>
      <c r="D928" s="0" t="s">
        <v>106</v>
      </c>
      <c r="E928" s="0" t="str">
        <f>"s1_node_"&amp;D928&amp;"_name"</f>
        <v>s1_node_battle_name</v>
      </c>
      <c r="F928" s="13" t="str">
        <f>"s1_node_"&amp;D928&amp;"_desc"</f>
        <v>s1_node_battle_desc</v>
      </c>
      <c r="G928" s="0" t="s">
        <v>795</v>
      </c>
      <c r="H928" s="0">
        <v>2</v>
      </c>
      <c r="I928" s="0" t="s">
        <v>27</v>
      </c>
      <c r="J928" s="0" t="s">
        <v>1011</v>
      </c>
      <c r="K928" s="0">
        <v>1670</v>
      </c>
      <c r="L928" s="13">
        <v>3</v>
      </c>
      <c r="M928" s="0">
        <v>39</v>
      </c>
      <c r="N928" s="0">
        <v>6</v>
      </c>
      <c r="T928" s="0" t="str">
        <f>_xlfn.TEXTJOIN("_",TRUE,C928,"node_eff",D928,M928,N928)</f>
        <v>s1_node_eff_battle_39_6</v>
      </c>
    </row>
    <row r="929" spans="1:20" x14ac:dyDescent="0.45">
      <c r="A929" s="0" t="str">
        <f>_xlfn.TEXTJOIN("_",TRUE,C929,"node",D929,M929,N929)</f>
        <v>s1_node_battle_40_2</v>
      </c>
      <c r="B929" s="0" t="s">
        <v>0</v>
      </c>
      <c r="C929" s="0" t="s">
        <v>26</v>
      </c>
      <c r="D929" s="0" t="s">
        <v>106</v>
      </c>
      <c r="E929" s="0" t="str">
        <f>"s1_node_"&amp;D929&amp;"_name"</f>
        <v>s1_node_battle_name</v>
      </c>
      <c r="F929" s="13" t="str">
        <f>"s1_node_"&amp;D929&amp;"_desc"</f>
        <v>s1_node_battle_desc</v>
      </c>
      <c r="G929" s="0" t="s">
        <v>795</v>
      </c>
      <c r="H929" s="0">
        <v>2</v>
      </c>
      <c r="I929" s="0" t="s">
        <v>27</v>
      </c>
      <c r="J929" s="0" t="s">
        <v>270</v>
      </c>
      <c r="K929" s="0">
        <v>1710</v>
      </c>
      <c r="L929" s="13">
        <v>3</v>
      </c>
      <c r="M929" s="0">
        <v>40</v>
      </c>
      <c r="N929" s="0">
        <v>2</v>
      </c>
      <c r="P929" s="0" t="s">
        <v>1013</v>
      </c>
      <c r="T929" s="0" t="str">
        <f>_xlfn.TEXTJOIN("_",TRUE,C929,"node_eff",D929,M929,N929)</f>
        <v>s1_node_eff_battle_40_2</v>
      </c>
    </row>
    <row r="930" spans="1:20" x14ac:dyDescent="0.45">
      <c r="A930" s="0" t="str">
        <f>_xlfn.TEXTJOIN("_",TRUE,C930,"node",D930,M930,N930)</f>
        <v>s1_node_battle_40_6</v>
      </c>
      <c r="B930" s="0" t="s">
        <v>0</v>
      </c>
      <c r="C930" s="0" t="s">
        <v>26</v>
      </c>
      <c r="D930" s="0" t="s">
        <v>106</v>
      </c>
      <c r="E930" s="0" t="str">
        <f>"s1_node_"&amp;D930&amp;"_name"</f>
        <v>s1_node_battle_name</v>
      </c>
      <c r="F930" s="13" t="str">
        <f>"s1_node_"&amp;D930&amp;"_desc"</f>
        <v>s1_node_battle_desc</v>
      </c>
      <c r="G930" s="0" t="s">
        <v>795</v>
      </c>
      <c r="H930" s="0">
        <v>2</v>
      </c>
      <c r="I930" s="0" t="s">
        <v>27</v>
      </c>
      <c r="J930" s="0" t="s">
        <v>270</v>
      </c>
      <c r="K930" s="0">
        <v>1710</v>
      </c>
      <c r="L930" s="13">
        <v>3</v>
      </c>
      <c r="M930" s="0">
        <v>40</v>
      </c>
      <c r="N930" s="0">
        <v>6</v>
      </c>
      <c r="P930" s="0" t="s">
        <v>1014</v>
      </c>
      <c r="T930" s="0" t="str">
        <f>_xlfn.TEXTJOIN("_",TRUE,C930,"node_eff",D930,M930,N930)</f>
        <v>s1_node_eff_battle_40_6</v>
      </c>
    </row>
    <row r="931" spans="1:20" x14ac:dyDescent="0.45">
      <c r="A931" s="0" t="str">
        <f>_xlfn.TEXTJOIN("_",TRUE,C931,"node",D931,M931,N931)</f>
        <v>s1_node_battle_41_4</v>
      </c>
      <c r="B931" s="0" t="s">
        <v>0</v>
      </c>
      <c r="C931" s="0" t="s">
        <v>26</v>
      </c>
      <c r="D931" s="0" t="s">
        <v>106</v>
      </c>
      <c r="E931" s="0" t="str">
        <f>"s1_node_"&amp;D931&amp;"_name"</f>
        <v>s1_node_battle_name</v>
      </c>
      <c r="F931" s="13" t="str">
        <f>"s1_node_"&amp;D931&amp;"_desc"</f>
        <v>s1_node_battle_desc</v>
      </c>
      <c r="G931" s="0" t="s">
        <v>795</v>
      </c>
      <c r="H931" s="0">
        <v>3</v>
      </c>
      <c r="I931" s="0" t="s">
        <v>27</v>
      </c>
      <c r="J931" s="0" t="s">
        <v>273</v>
      </c>
      <c r="K931" s="0">
        <v>1750</v>
      </c>
      <c r="L931" s="13">
        <v>3</v>
      </c>
      <c r="M931" s="0">
        <v>41</v>
      </c>
      <c r="N931" s="0">
        <v>4</v>
      </c>
      <c r="P931" s="0" t="s">
        <v>1015</v>
      </c>
      <c r="T931" s="0" t="str">
        <f>_xlfn.TEXTJOIN("_",TRUE,C931,"node_eff",D931,M931,N931)</f>
        <v>s1_node_eff_battle_41_4</v>
      </c>
    </row>
    <row r="932" spans="1:20" x14ac:dyDescent="0.45">
      <c r="A932" s="0" t="str">
        <f>_xlfn.TEXTJOIN("_",TRUE,C932,"node",D932,M932,N932)</f>
        <v>s1_node_battle_42_2</v>
      </c>
      <c r="B932" s="0" t="s">
        <v>0</v>
      </c>
      <c r="C932" s="0" t="s">
        <v>26</v>
      </c>
      <c r="D932" s="0" t="s">
        <v>106</v>
      </c>
      <c r="E932" s="0" t="str">
        <f>"s1_node_"&amp;D932&amp;"_name"</f>
        <v>s1_node_battle_name</v>
      </c>
      <c r="F932" s="13" t="str">
        <f>"s1_node_"&amp;D932&amp;"_desc"</f>
        <v>s1_node_battle_desc</v>
      </c>
      <c r="G932" s="0" t="s">
        <v>795</v>
      </c>
      <c r="H932" s="0">
        <v>3</v>
      </c>
      <c r="I932" s="0" t="s">
        <v>27</v>
      </c>
      <c r="J932" s="0" t="s">
        <v>507</v>
      </c>
      <c r="K932" s="0">
        <v>1790</v>
      </c>
      <c r="L932" s="13">
        <v>3</v>
      </c>
      <c r="M932" s="0">
        <v>42</v>
      </c>
      <c r="N932" s="0">
        <v>2</v>
      </c>
      <c r="T932" s="0" t="str">
        <f>_xlfn.TEXTJOIN("_",TRUE,C932,"node_eff",D932,M932,N932)</f>
        <v>s1_node_eff_battle_42_2</v>
      </c>
    </row>
    <row r="933" spans="1:20" x14ac:dyDescent="0.45">
      <c r="A933" s="0" t="str">
        <f>_xlfn.TEXTJOIN("_",TRUE,C933,"node",D933,M933,N933)</f>
        <v>s1_node_battle_42_4</v>
      </c>
      <c r="B933" s="0" t="s">
        <v>0</v>
      </c>
      <c r="C933" s="0" t="s">
        <v>26</v>
      </c>
      <c r="D933" s="0" t="s">
        <v>106</v>
      </c>
      <c r="E933" s="0" t="str">
        <f>"s1_node_"&amp;D933&amp;"_name"</f>
        <v>s1_node_battle_name</v>
      </c>
      <c r="F933" s="13" t="str">
        <f>"s1_node_"&amp;D933&amp;"_desc"</f>
        <v>s1_node_battle_desc</v>
      </c>
      <c r="G933" s="0" t="s">
        <v>149</v>
      </c>
      <c r="H933" s="0">
        <v>3</v>
      </c>
      <c r="I933" s="0" t="s">
        <v>27</v>
      </c>
      <c r="J933" s="0" t="s">
        <v>507</v>
      </c>
      <c r="K933" s="0">
        <v>1790</v>
      </c>
      <c r="L933" s="13">
        <v>3</v>
      </c>
      <c r="M933" s="0">
        <v>42</v>
      </c>
      <c r="N933" s="0">
        <v>4</v>
      </c>
      <c r="T933" s="0" t="str">
        <f>_xlfn.TEXTJOIN("_",TRUE,C933,"node_eff",D933,M933,N933)</f>
        <v>s1_node_eff_battle_42_4</v>
      </c>
    </row>
    <row r="934" spans="1:20" x14ac:dyDescent="0.45">
      <c r="A934" s="0" t="str">
        <f>_xlfn.TEXTJOIN("_",TRUE,C934,"node",D934,M934,N934)</f>
        <v>s1_node_battle_42_6</v>
      </c>
      <c r="B934" s="0" t="s">
        <v>0</v>
      </c>
      <c r="C934" s="0" t="s">
        <v>26</v>
      </c>
      <c r="D934" s="0" t="s">
        <v>106</v>
      </c>
      <c r="E934" s="0" t="str">
        <f>"s1_node_"&amp;D934&amp;"_name"</f>
        <v>s1_node_battle_name</v>
      </c>
      <c r="F934" s="13" t="str">
        <f>"s1_node_"&amp;D934&amp;"_desc"</f>
        <v>s1_node_battle_desc</v>
      </c>
      <c r="G934" s="0" t="s">
        <v>419</v>
      </c>
      <c r="H934" s="0">
        <v>3</v>
      </c>
      <c r="I934" s="0" t="s">
        <v>27</v>
      </c>
      <c r="J934" s="0" t="s">
        <v>507</v>
      </c>
      <c r="K934" s="0">
        <v>1790</v>
      </c>
      <c r="L934" s="13">
        <v>3</v>
      </c>
      <c r="M934" s="0">
        <v>42</v>
      </c>
      <c r="N934" s="0">
        <v>6</v>
      </c>
      <c r="T934" s="0" t="str">
        <f>_xlfn.TEXTJOIN("_",TRUE,C934,"node_eff",D934,M934,N934)</f>
        <v>s1_node_eff_battle_42_6</v>
      </c>
    </row>
    <row r="935" spans="1:20" x14ac:dyDescent="0.45">
      <c r="A935" s="0" t="str">
        <f>_xlfn.TEXTJOIN("_",TRUE,C935,"node",D935,M935,N935)</f>
        <v>s1_node_battle_43_2</v>
      </c>
      <c r="B935" s="0" t="s">
        <v>0</v>
      </c>
      <c r="C935" s="0" t="s">
        <v>26</v>
      </c>
      <c r="D935" s="0" t="s">
        <v>106</v>
      </c>
      <c r="E935" s="0" t="str">
        <f>"s1_node_"&amp;D935&amp;"_name"</f>
        <v>s1_node_battle_name</v>
      </c>
      <c r="F935" s="13" t="str">
        <f>"s1_node_"&amp;D935&amp;"_desc"</f>
        <v>s1_node_battle_desc</v>
      </c>
      <c r="G935" s="0" t="s">
        <v>419</v>
      </c>
      <c r="H935" s="0">
        <v>3</v>
      </c>
      <c r="I935" s="0" t="s">
        <v>27</v>
      </c>
      <c r="J935" s="0" t="s">
        <v>510</v>
      </c>
      <c r="K935" s="0">
        <v>1830</v>
      </c>
      <c r="L935" s="13">
        <v>3</v>
      </c>
      <c r="M935" s="0">
        <v>43</v>
      </c>
      <c r="N935" s="0">
        <v>2</v>
      </c>
      <c r="P935" s="0" t="s">
        <v>1016</v>
      </c>
      <c r="T935" s="0" t="str">
        <f>_xlfn.TEXTJOIN("_",TRUE,C935,"node_eff",D935,M935,N935)</f>
        <v>s1_node_eff_battle_43_2</v>
      </c>
    </row>
    <row r="936" spans="1:20" x14ac:dyDescent="0.45">
      <c r="A936" s="0" t="str">
        <f>_xlfn.TEXTJOIN("_",TRUE,C936,"node",D936,M936,N936)</f>
        <v>s1_node_battle_43_6</v>
      </c>
      <c r="B936" s="0" t="s">
        <v>0</v>
      </c>
      <c r="C936" s="0" t="s">
        <v>26</v>
      </c>
      <c r="D936" s="0" t="s">
        <v>106</v>
      </c>
      <c r="E936" s="0" t="str">
        <f>"s1_node_"&amp;D936&amp;"_name"</f>
        <v>s1_node_battle_name</v>
      </c>
      <c r="F936" s="13" t="str">
        <f>"s1_node_"&amp;D936&amp;"_desc"</f>
        <v>s1_node_battle_desc</v>
      </c>
      <c r="G936" s="0" t="s">
        <v>795</v>
      </c>
      <c r="H936" s="0">
        <v>3</v>
      </c>
      <c r="I936" s="0" t="s">
        <v>27</v>
      </c>
      <c r="J936" s="0" t="s">
        <v>510</v>
      </c>
      <c r="K936" s="0">
        <v>1830</v>
      </c>
      <c r="L936" s="13">
        <v>3</v>
      </c>
      <c r="M936" s="0">
        <v>43</v>
      </c>
      <c r="N936" s="0">
        <v>6</v>
      </c>
      <c r="P936" s="0" t="s">
        <v>1017</v>
      </c>
      <c r="T936" s="0" t="str">
        <f>_xlfn.TEXTJOIN("_",TRUE,C936,"node_eff",D936,M936,N936)</f>
        <v>s1_node_eff_battle_43_6</v>
      </c>
    </row>
    <row r="937" spans="1:20" x14ac:dyDescent="0.45">
      <c r="A937" s="0" t="str">
        <f>_xlfn.TEXTJOIN("_",TRUE,C937,"node",D937,M937,N937)</f>
        <v>s1_node_battle_44_2</v>
      </c>
      <c r="B937" s="0" t="s">
        <v>0</v>
      </c>
      <c r="C937" s="0" t="s">
        <v>26</v>
      </c>
      <c r="D937" s="0" t="s">
        <v>106</v>
      </c>
      <c r="E937" s="0" t="str">
        <f>"s1_node_"&amp;D937&amp;"_name"</f>
        <v>s1_node_battle_name</v>
      </c>
      <c r="F937" s="13" t="str">
        <f>"s1_node_"&amp;D937&amp;"_desc"</f>
        <v>s1_node_battle_desc</v>
      </c>
      <c r="G937" s="0" t="s">
        <v>795</v>
      </c>
      <c r="H937" s="0">
        <v>3</v>
      </c>
      <c r="I937" s="0" t="s">
        <v>27</v>
      </c>
      <c r="J937" s="0" t="s">
        <v>856</v>
      </c>
      <c r="K937" s="0">
        <v>1870</v>
      </c>
      <c r="L937" s="13">
        <v>3</v>
      </c>
      <c r="M937" s="0">
        <v>44</v>
      </c>
      <c r="N937" s="0">
        <v>2</v>
      </c>
      <c r="T937" s="0" t="str">
        <f>_xlfn.TEXTJOIN("_",TRUE,C937,"node_eff",D937,M937,N937)</f>
        <v>s1_node_eff_battle_44_2</v>
      </c>
    </row>
    <row r="938" spans="1:20" x14ac:dyDescent="0.45">
      <c r="A938" s="0" t="str">
        <f>_xlfn.TEXTJOIN("_",TRUE,C938,"node",D938,M938,N938)</f>
        <v>s1_node_battle_44_4</v>
      </c>
      <c r="B938" s="0" t="s">
        <v>0</v>
      </c>
      <c r="C938" s="0" t="s">
        <v>26</v>
      </c>
      <c r="D938" s="0" t="s">
        <v>106</v>
      </c>
      <c r="E938" s="0" t="str">
        <f>"s1_node_"&amp;D938&amp;"_name"</f>
        <v>s1_node_battle_name</v>
      </c>
      <c r="F938" s="13" t="str">
        <f>"s1_node_"&amp;D938&amp;"_desc"</f>
        <v>s1_node_battle_desc</v>
      </c>
      <c r="G938" s="0" t="s">
        <v>795</v>
      </c>
      <c r="H938" s="0">
        <v>3</v>
      </c>
      <c r="I938" s="0" t="s">
        <v>27</v>
      </c>
      <c r="J938" s="0" t="s">
        <v>856</v>
      </c>
      <c r="K938" s="0">
        <v>1870</v>
      </c>
      <c r="L938" s="13">
        <v>3</v>
      </c>
      <c r="M938" s="0">
        <v>44</v>
      </c>
      <c r="N938" s="0">
        <v>4</v>
      </c>
      <c r="P938" s="0" t="s">
        <v>1018</v>
      </c>
      <c r="T938" s="0" t="str">
        <f>_xlfn.TEXTJOIN("_",TRUE,C938,"node_eff",D938,M938,N938)</f>
        <v>s1_node_eff_battle_44_4</v>
      </c>
    </row>
    <row r="939" spans="1:20" x14ac:dyDescent="0.45">
      <c r="A939" s="0" t="str">
        <f>_xlfn.TEXTJOIN("_",TRUE,C939,"node",D939,M939,N939)</f>
        <v>s1_node_battle_44_6</v>
      </c>
      <c r="B939" s="0" t="s">
        <v>0</v>
      </c>
      <c r="C939" s="0" t="s">
        <v>26</v>
      </c>
      <c r="D939" s="0" t="s">
        <v>106</v>
      </c>
      <c r="E939" s="0" t="str">
        <f>"s1_node_"&amp;D939&amp;"_name"</f>
        <v>s1_node_battle_name</v>
      </c>
      <c r="F939" s="13" t="str">
        <f>"s1_node_"&amp;D939&amp;"_desc"</f>
        <v>s1_node_battle_desc</v>
      </c>
      <c r="G939" s="0" t="s">
        <v>795</v>
      </c>
      <c r="H939" s="0">
        <v>3</v>
      </c>
      <c r="I939" s="0" t="s">
        <v>27</v>
      </c>
      <c r="J939" s="0" t="s">
        <v>856</v>
      </c>
      <c r="K939" s="0">
        <v>1870</v>
      </c>
      <c r="L939" s="13">
        <v>3</v>
      </c>
      <c r="M939" s="0">
        <v>44</v>
      </c>
      <c r="N939" s="0">
        <v>6</v>
      </c>
      <c r="T939" s="0" t="str">
        <f>_xlfn.TEXTJOIN("_",TRUE,C939,"node_eff",D939,M939,N939)</f>
        <v>s1_node_eff_battle_44_6</v>
      </c>
    </row>
    <row r="940" spans="1:20" x14ac:dyDescent="0.45">
      <c r="A940" s="0" t="str">
        <f>_xlfn.TEXTJOIN("_",TRUE,C940,"node",D940,M940,N940)</f>
        <v>s1_node_battle_45_2</v>
      </c>
      <c r="B940" s="0" t="s">
        <v>0</v>
      </c>
      <c r="C940" s="0" t="s">
        <v>26</v>
      </c>
      <c r="D940" s="0" t="s">
        <v>106</v>
      </c>
      <c r="E940" s="0" t="str">
        <f>"s1_node_"&amp;D940&amp;"_name"</f>
        <v>s1_node_battle_name</v>
      </c>
      <c r="F940" s="13" t="str">
        <f>"s1_node_"&amp;D940&amp;"_desc"</f>
        <v>s1_node_battle_desc</v>
      </c>
      <c r="G940" s="0" t="s">
        <v>795</v>
      </c>
      <c r="H940" s="0">
        <v>3</v>
      </c>
      <c r="I940" s="0" t="s">
        <v>27</v>
      </c>
      <c r="J940" s="0" t="s">
        <v>515</v>
      </c>
      <c r="K940" s="0">
        <v>1900</v>
      </c>
      <c r="L940" s="13">
        <v>3</v>
      </c>
      <c r="M940" s="0">
        <v>45</v>
      </c>
      <c r="N940" s="0">
        <v>2</v>
      </c>
      <c r="P940" s="0" t="s">
        <v>1019</v>
      </c>
      <c r="T940" s="0" t="str">
        <f>_xlfn.TEXTJOIN("_",TRUE,C940,"node_eff",D940,M940,N940)</f>
        <v>s1_node_eff_battle_45_2</v>
      </c>
    </row>
    <row r="941" spans="1:20" x14ac:dyDescent="0.45">
      <c r="A941" s="0" t="str">
        <f>_xlfn.TEXTJOIN("_",TRUE,C941,"node",D941,M941,N941)</f>
        <v>s1_node_battle_45_6</v>
      </c>
      <c r="B941" s="0" t="s">
        <v>0</v>
      </c>
      <c r="C941" s="0" t="s">
        <v>26</v>
      </c>
      <c r="D941" s="0" t="s">
        <v>106</v>
      </c>
      <c r="E941" s="0" t="str">
        <f>"s1_node_"&amp;D941&amp;"_name"</f>
        <v>s1_node_battle_name</v>
      </c>
      <c r="F941" s="13" t="str">
        <f>"s1_node_"&amp;D941&amp;"_desc"</f>
        <v>s1_node_battle_desc</v>
      </c>
      <c r="G941" s="0" t="s">
        <v>795</v>
      </c>
      <c r="H941" s="0">
        <v>3</v>
      </c>
      <c r="I941" s="0" t="s">
        <v>27</v>
      </c>
      <c r="J941" s="0" t="s">
        <v>515</v>
      </c>
      <c r="K941" s="0">
        <v>1900</v>
      </c>
      <c r="L941" s="13">
        <v>3</v>
      </c>
      <c r="M941" s="0">
        <v>45</v>
      </c>
      <c r="N941" s="0">
        <v>6</v>
      </c>
      <c r="P941" s="0" t="s">
        <v>1020</v>
      </c>
      <c r="T941" s="0" t="str">
        <f>_xlfn.TEXTJOIN("_",TRUE,C941,"node_eff",D941,M941,N941)</f>
        <v>s1_node_eff_battle_45_6</v>
      </c>
    </row>
    <row r="942" spans="1:20" x14ac:dyDescent="0.45">
      <c r="A942" s="0" t="str">
        <f>_xlfn.TEXTJOIN("_",TRUE,C942,"node",D942,M942,N942)</f>
        <v>s1_node_battle_46_4</v>
      </c>
      <c r="B942" s="0" t="s">
        <v>0</v>
      </c>
      <c r="C942" s="0" t="s">
        <v>26</v>
      </c>
      <c r="D942" s="0" t="s">
        <v>106</v>
      </c>
      <c r="E942" s="0" t="str">
        <f>"s1_node_"&amp;D942&amp;"_name"</f>
        <v>s1_node_battle_name</v>
      </c>
      <c r="F942" s="13" t="str">
        <f>"s1_node_"&amp;D942&amp;"_desc"</f>
        <v>s1_node_battle_desc</v>
      </c>
      <c r="G942" s="0" t="s">
        <v>795</v>
      </c>
      <c r="H942" s="0">
        <v>3</v>
      </c>
      <c r="I942" s="0" t="s">
        <v>27</v>
      </c>
      <c r="J942" s="0" t="s">
        <v>693</v>
      </c>
      <c r="K942" s="0">
        <v>1940</v>
      </c>
      <c r="L942" s="13">
        <v>3</v>
      </c>
      <c r="M942" s="0">
        <v>46</v>
      </c>
      <c r="N942" s="0">
        <v>4</v>
      </c>
      <c r="P942" s="0" t="s">
        <v>1021</v>
      </c>
      <c r="T942" s="0" t="str">
        <f>_xlfn.TEXTJOIN("_",TRUE,C942,"node_eff",D942,M942,N942)</f>
        <v>s1_node_eff_battle_46_4</v>
      </c>
    </row>
    <row r="943" spans="1:20" x14ac:dyDescent="0.45">
      <c r="A943" s="0" t="str">
        <f>_xlfn.TEXTJOIN("_",TRUE,C943,"node",D943,M943,N943)</f>
        <v>s1_node_battle_47_2</v>
      </c>
      <c r="B943" s="0" t="s">
        <v>0</v>
      </c>
      <c r="C943" s="0" t="s">
        <v>26</v>
      </c>
      <c r="D943" s="0" t="s">
        <v>106</v>
      </c>
      <c r="E943" s="0" t="str">
        <f>"s1_node_"&amp;D943&amp;"_name"</f>
        <v>s1_node_battle_name</v>
      </c>
      <c r="F943" s="13" t="str">
        <f>"s1_node_"&amp;D943&amp;"_desc"</f>
        <v>s1_node_battle_desc</v>
      </c>
      <c r="G943" s="0" t="s">
        <v>795</v>
      </c>
      <c r="H943" s="0">
        <v>3</v>
      </c>
      <c r="I943" s="0" t="s">
        <v>27</v>
      </c>
      <c r="J943" s="0" t="s">
        <v>695</v>
      </c>
      <c r="K943" s="0">
        <v>1980</v>
      </c>
      <c r="L943" s="13">
        <v>3</v>
      </c>
      <c r="M943" s="0">
        <v>47</v>
      </c>
      <c r="N943" s="0">
        <v>2</v>
      </c>
      <c r="T943" s="0" t="str">
        <f>_xlfn.TEXTJOIN("_",TRUE,C943,"node_eff",D943,M943,N943)</f>
        <v>s1_node_eff_battle_47_2</v>
      </c>
    </row>
    <row r="944" spans="1:20" x14ac:dyDescent="0.45">
      <c r="A944" s="0" t="str">
        <f>_xlfn.TEXTJOIN("_",TRUE,C944,"node",D944,M944,N944)</f>
        <v>s1_node_battle_47_4</v>
      </c>
      <c r="B944" s="0" t="s">
        <v>0</v>
      </c>
      <c r="C944" s="0" t="s">
        <v>26</v>
      </c>
      <c r="D944" s="0" t="s">
        <v>106</v>
      </c>
      <c r="E944" s="0" t="str">
        <f>"s1_node_"&amp;D944&amp;"_name"</f>
        <v>s1_node_battle_name</v>
      </c>
      <c r="F944" s="13" t="str">
        <f>"s1_node_"&amp;D944&amp;"_desc"</f>
        <v>s1_node_battle_desc</v>
      </c>
      <c r="G944" s="0" t="s">
        <v>795</v>
      </c>
      <c r="H944" s="0">
        <v>3</v>
      </c>
      <c r="I944" s="0" t="s">
        <v>27</v>
      </c>
      <c r="J944" s="0" t="s">
        <v>695</v>
      </c>
      <c r="K944" s="0">
        <v>1980</v>
      </c>
      <c r="L944" s="13">
        <v>3</v>
      </c>
      <c r="M944" s="0">
        <v>47</v>
      </c>
      <c r="N944" s="0">
        <v>4</v>
      </c>
      <c r="T944" s="0" t="str">
        <f>_xlfn.TEXTJOIN("_",TRUE,C944,"node_eff",D944,M944,N944)</f>
        <v>s1_node_eff_battle_47_4</v>
      </c>
    </row>
    <row r="945" spans="1:20" x14ac:dyDescent="0.45">
      <c r="A945" s="0" t="str">
        <f>_xlfn.TEXTJOIN("_",TRUE,C945,"node",D945,M945,N945)</f>
        <v>s1_node_battle_47_6</v>
      </c>
      <c r="B945" s="0" t="s">
        <v>0</v>
      </c>
      <c r="C945" s="0" t="s">
        <v>26</v>
      </c>
      <c r="D945" s="0" t="s">
        <v>106</v>
      </c>
      <c r="E945" s="0" t="str">
        <f>"s1_node_"&amp;D945&amp;"_name"</f>
        <v>s1_node_battle_name</v>
      </c>
      <c r="F945" s="13" t="str">
        <f>"s1_node_"&amp;D945&amp;"_desc"</f>
        <v>s1_node_battle_desc</v>
      </c>
      <c r="G945" s="0" t="s">
        <v>795</v>
      </c>
      <c r="H945" s="0">
        <v>3</v>
      </c>
      <c r="I945" s="0" t="s">
        <v>27</v>
      </c>
      <c r="J945" s="0" t="s">
        <v>695</v>
      </c>
      <c r="K945" s="0">
        <v>1980</v>
      </c>
      <c r="L945" s="13">
        <v>3</v>
      </c>
      <c r="M945" s="0">
        <v>47</v>
      </c>
      <c r="N945" s="0">
        <v>6</v>
      </c>
      <c r="T945" s="0" t="str">
        <f>_xlfn.TEXTJOIN("_",TRUE,C945,"node_eff",D945,M945,N945)</f>
        <v>s1_node_eff_battle_47_6</v>
      </c>
    </row>
    <row r="946" spans="1:20" x14ac:dyDescent="0.45">
      <c r="A946" s="0" t="str">
        <f>_xlfn.TEXTJOIN("_",TRUE,C946,"node",D946,M946,N946)</f>
        <v>s1_node_battle_48_2</v>
      </c>
      <c r="B946" s="0" t="s">
        <v>0</v>
      </c>
      <c r="C946" s="0" t="s">
        <v>26</v>
      </c>
      <c r="D946" s="0" t="s">
        <v>106</v>
      </c>
      <c r="E946" s="0" t="str">
        <f>"s1_node_"&amp;D946&amp;"_name"</f>
        <v>s1_node_battle_name</v>
      </c>
      <c r="F946" s="13" t="str">
        <f>"s1_node_"&amp;D946&amp;"_desc"</f>
        <v>s1_node_battle_desc</v>
      </c>
      <c r="G946" s="0" t="s">
        <v>795</v>
      </c>
      <c r="H946" s="0">
        <v>3</v>
      </c>
      <c r="I946" s="0" t="s">
        <v>27</v>
      </c>
      <c r="J946" s="0" t="s">
        <v>863</v>
      </c>
      <c r="K946" s="0">
        <v>2020</v>
      </c>
      <c r="L946" s="13">
        <v>3</v>
      </c>
      <c r="M946" s="0">
        <v>48</v>
      </c>
      <c r="N946" s="0">
        <v>2</v>
      </c>
      <c r="P946" s="0" t="s">
        <v>1022</v>
      </c>
      <c r="T946" s="0" t="str">
        <f>_xlfn.TEXTJOIN("_",TRUE,C946,"node_eff",D946,M946,N946)</f>
        <v>s1_node_eff_battle_48_2</v>
      </c>
    </row>
    <row r="947" spans="1:20" x14ac:dyDescent="0.45">
      <c r="A947" s="0" t="str">
        <f>_xlfn.TEXTJOIN("_",TRUE,C947,"node",D947,M947,N947)</f>
        <v>s1_node_battle_48_6</v>
      </c>
      <c r="B947" s="0" t="s">
        <v>0</v>
      </c>
      <c r="C947" s="0" t="s">
        <v>26</v>
      </c>
      <c r="D947" s="0" t="s">
        <v>106</v>
      </c>
      <c r="E947" s="0" t="str">
        <f>"s1_node_"&amp;D947&amp;"_name"</f>
        <v>s1_node_battle_name</v>
      </c>
      <c r="F947" s="13" t="str">
        <f>"s1_node_"&amp;D947&amp;"_desc"</f>
        <v>s1_node_battle_desc</v>
      </c>
      <c r="G947" s="0" t="s">
        <v>795</v>
      </c>
      <c r="H947" s="0">
        <v>3</v>
      </c>
      <c r="I947" s="0" t="s">
        <v>27</v>
      </c>
      <c r="J947" s="0" t="s">
        <v>863</v>
      </c>
      <c r="K947" s="0">
        <v>2020</v>
      </c>
      <c r="L947" s="13">
        <v>3</v>
      </c>
      <c r="M947" s="0">
        <v>48</v>
      </c>
      <c r="N947" s="0">
        <v>6</v>
      </c>
      <c r="P947" s="0" t="s">
        <v>1023</v>
      </c>
      <c r="T947" s="0" t="str">
        <f>_xlfn.TEXTJOIN("_",TRUE,C947,"node_eff",D947,M947,N947)</f>
        <v>s1_node_eff_battle_48_6</v>
      </c>
    </row>
    <row r="948" spans="1:20" x14ac:dyDescent="0.45">
      <c r="A948" s="0" t="str">
        <f>_xlfn.TEXTJOIN("_",TRUE,C948,"node",D948,M948,N948)</f>
        <v>s1_node_battle_49_2</v>
      </c>
      <c r="B948" s="0" t="s">
        <v>0</v>
      </c>
      <c r="C948" s="0" t="s">
        <v>26</v>
      </c>
      <c r="D948" s="0" t="s">
        <v>106</v>
      </c>
      <c r="E948" s="0" t="str">
        <f>"s1_node_"&amp;D948&amp;"_name"</f>
        <v>s1_node_battle_name</v>
      </c>
      <c r="F948" s="13" t="str">
        <f>"s1_node_"&amp;D948&amp;"_desc"</f>
        <v>s1_node_battle_desc</v>
      </c>
      <c r="G948" s="0" t="s">
        <v>149</v>
      </c>
      <c r="H948" s="0">
        <v>3</v>
      </c>
      <c r="I948" s="0" t="s">
        <v>27</v>
      </c>
      <c r="J948" s="0" t="s">
        <v>298</v>
      </c>
      <c r="K948" s="0">
        <v>2060</v>
      </c>
      <c r="L948" s="13">
        <v>3</v>
      </c>
      <c r="M948" s="0">
        <v>49</v>
      </c>
      <c r="N948" s="0">
        <v>2</v>
      </c>
      <c r="T948" s="0" t="str">
        <f>_xlfn.TEXTJOIN("_",TRUE,C948,"node_eff",D948,M948,N948)</f>
        <v>s1_node_eff_battle_49_2</v>
      </c>
    </row>
    <row r="949" spans="1:20" x14ac:dyDescent="0.45">
      <c r="A949" s="0" t="str">
        <f>_xlfn.TEXTJOIN("_",TRUE,C949,"node",D949,M949,N949)</f>
        <v>s1_node_battle_49_4</v>
      </c>
      <c r="B949" s="0" t="s">
        <v>0</v>
      </c>
      <c r="C949" s="0" t="s">
        <v>26</v>
      </c>
      <c r="D949" s="0" t="s">
        <v>106</v>
      </c>
      <c r="E949" s="0" t="str">
        <f>"s1_node_"&amp;D949&amp;"_name"</f>
        <v>s1_node_battle_name</v>
      </c>
      <c r="F949" s="13" t="str">
        <f>"s1_node_"&amp;D949&amp;"_desc"</f>
        <v>s1_node_battle_desc</v>
      </c>
      <c r="G949" s="0" t="s">
        <v>419</v>
      </c>
      <c r="H949" s="0">
        <v>3</v>
      </c>
      <c r="I949" s="0" t="s">
        <v>27</v>
      </c>
      <c r="J949" s="0" t="s">
        <v>298</v>
      </c>
      <c r="K949" s="0">
        <v>2060</v>
      </c>
      <c r="L949" s="13">
        <v>3</v>
      </c>
      <c r="M949" s="0">
        <v>49</v>
      </c>
      <c r="N949" s="0">
        <v>4</v>
      </c>
      <c r="P949" s="0" t="s">
        <v>1024</v>
      </c>
      <c r="T949" s="0" t="str">
        <f>_xlfn.TEXTJOIN("_",TRUE,C949,"node_eff",D949,M949,N949)</f>
        <v>s1_node_eff_battle_49_4</v>
      </c>
    </row>
    <row r="950" spans="1:20" x14ac:dyDescent="0.45">
      <c r="A950" s="0" t="str">
        <f>_xlfn.TEXTJOIN("_",TRUE,C950,"node",D950,M950,N950)</f>
        <v>s1_node_battle_49_6</v>
      </c>
      <c r="B950" s="0" t="s">
        <v>0</v>
      </c>
      <c r="C950" s="0" t="s">
        <v>26</v>
      </c>
      <c r="D950" s="0" t="s">
        <v>106</v>
      </c>
      <c r="E950" s="0" t="str">
        <f>"s1_node_"&amp;D950&amp;"_name"</f>
        <v>s1_node_battle_name</v>
      </c>
      <c r="F950" s="13" t="str">
        <f>"s1_node_"&amp;D950&amp;"_desc"</f>
        <v>s1_node_battle_desc</v>
      </c>
      <c r="G950" s="0" t="s">
        <v>419</v>
      </c>
      <c r="H950" s="0">
        <v>3</v>
      </c>
      <c r="I950" s="0" t="s">
        <v>27</v>
      </c>
      <c r="J950" s="0" t="s">
        <v>298</v>
      </c>
      <c r="K950" s="0">
        <v>2060</v>
      </c>
      <c r="L950" s="13">
        <v>3</v>
      </c>
      <c r="M950" s="0">
        <v>49</v>
      </c>
      <c r="N950" s="0">
        <v>6</v>
      </c>
      <c r="T950" s="0" t="str">
        <f>_xlfn.TEXTJOIN("_",TRUE,C950,"node_eff",D950,M950,N950)</f>
        <v>s1_node_eff_battle_49_6</v>
      </c>
    </row>
    <row r="951" spans="1:20" x14ac:dyDescent="0.45">
      <c r="A951" s="0" t="str">
        <f>_xlfn.TEXTJOIN("_",TRUE,C951,"node",D951,M951,N951)</f>
        <v>s1_node_battle_50_2</v>
      </c>
      <c r="B951" s="0" t="s">
        <v>0</v>
      </c>
      <c r="C951" s="0" t="s">
        <v>26</v>
      </c>
      <c r="D951" s="0" t="s">
        <v>106</v>
      </c>
      <c r="E951" s="0" t="str">
        <f>"s1_node_"&amp;D951&amp;"_name"</f>
        <v>s1_node_battle_name</v>
      </c>
      <c r="F951" s="13" t="str">
        <f>"s1_node_"&amp;D951&amp;"_desc"</f>
        <v>s1_node_battle_desc</v>
      </c>
      <c r="G951" s="0" t="s">
        <v>795</v>
      </c>
      <c r="H951" s="0">
        <v>3</v>
      </c>
      <c r="I951" s="0" t="s">
        <v>27</v>
      </c>
      <c r="J951" s="0" t="s">
        <v>301</v>
      </c>
      <c r="K951" s="0">
        <v>2100</v>
      </c>
      <c r="L951" s="13">
        <v>3</v>
      </c>
      <c r="M951" s="0">
        <v>50</v>
      </c>
      <c r="N951" s="0">
        <v>2</v>
      </c>
      <c r="P951" s="0" t="s">
        <v>1025</v>
      </c>
      <c r="T951" s="0" t="str">
        <f>_xlfn.TEXTJOIN("_",TRUE,C951,"node_eff",D951,M951,N951)</f>
        <v>s1_node_eff_battle_50_2</v>
      </c>
    </row>
    <row r="952" spans="1:20" x14ac:dyDescent="0.45">
      <c r="A952" s="0" t="str">
        <f>_xlfn.TEXTJOIN("_",TRUE,C952,"node",D952,M952,N952)</f>
        <v>s1_node_battle_50_6</v>
      </c>
      <c r="B952" s="0" t="s">
        <v>0</v>
      </c>
      <c r="C952" s="0" t="s">
        <v>26</v>
      </c>
      <c r="D952" s="0" t="s">
        <v>106</v>
      </c>
      <c r="E952" s="0" t="str">
        <f>"s1_node_"&amp;D952&amp;"_name"</f>
        <v>s1_node_battle_name</v>
      </c>
      <c r="F952" s="13" t="str">
        <f>"s1_node_"&amp;D952&amp;"_desc"</f>
        <v>s1_node_battle_desc</v>
      </c>
      <c r="G952" s="0" t="s">
        <v>795</v>
      </c>
      <c r="H952" s="0">
        <v>3</v>
      </c>
      <c r="I952" s="0" t="s">
        <v>27</v>
      </c>
      <c r="J952" s="0" t="s">
        <v>301</v>
      </c>
      <c r="K952" s="0">
        <v>2100</v>
      </c>
      <c r="L952" s="13">
        <v>3</v>
      </c>
      <c r="M952" s="0">
        <v>50</v>
      </c>
      <c r="N952" s="0">
        <v>6</v>
      </c>
      <c r="P952" s="0" t="s">
        <v>1026</v>
      </c>
      <c r="T952" s="0" t="str">
        <f>_xlfn.TEXTJOIN("_",TRUE,C952,"node_eff",D952,M952,N952)</f>
        <v>s1_node_eff_battle_50_6</v>
      </c>
    </row>
    <row r="953" spans="1:20" x14ac:dyDescent="0.45">
      <c r="A953" s="0" t="str">
        <f>_xlfn.TEXTJOIN("_",TRUE,C953,"node",D953,M953,N953)</f>
        <v>s1_node_battle_51_4</v>
      </c>
      <c r="B953" s="0" t="s">
        <v>0</v>
      </c>
      <c r="C953" s="0" t="s">
        <v>26</v>
      </c>
      <c r="D953" s="0" t="s">
        <v>106</v>
      </c>
      <c r="E953" s="0" t="str">
        <f>"s1_node_"&amp;D953&amp;"_name"</f>
        <v>s1_node_battle_name</v>
      </c>
      <c r="F953" s="13" t="str">
        <f>"s1_node_"&amp;D953&amp;"_desc"</f>
        <v>s1_node_battle_desc</v>
      </c>
      <c r="G953" s="0" t="s">
        <v>795</v>
      </c>
      <c r="H953" s="0">
        <v>3</v>
      </c>
      <c r="I953" s="0" t="s">
        <v>27</v>
      </c>
      <c r="J953" s="0" t="s">
        <v>867</v>
      </c>
      <c r="K953" s="0">
        <v>2140</v>
      </c>
      <c r="L953" s="13">
        <v>3</v>
      </c>
      <c r="M953" s="0">
        <v>51</v>
      </c>
      <c r="N953" s="0">
        <v>4</v>
      </c>
      <c r="P953" s="0" t="s">
        <v>1027</v>
      </c>
      <c r="T953" s="0" t="str">
        <f>_xlfn.TEXTJOIN("_",TRUE,C953,"node_eff",D953,M953,N953)</f>
        <v>s1_node_eff_battle_51_4</v>
      </c>
    </row>
    <row r="954" spans="1:20" x14ac:dyDescent="0.45">
      <c r="A954" s="0" t="str">
        <f>_xlfn.TEXTJOIN("_",TRUE,C954,"node",D954,M954,N954)</f>
        <v>s1_node_battle_52_2</v>
      </c>
      <c r="B954" s="0" t="s">
        <v>0</v>
      </c>
      <c r="C954" s="0" t="s">
        <v>26</v>
      </c>
      <c r="D954" s="0" t="s">
        <v>106</v>
      </c>
      <c r="E954" s="0" t="str">
        <f>"s1_node_"&amp;D954&amp;"_name"</f>
        <v>s1_node_battle_name</v>
      </c>
      <c r="F954" s="13" t="str">
        <f>"s1_node_"&amp;D954&amp;"_desc"</f>
        <v>s1_node_battle_desc</v>
      </c>
      <c r="G954" s="0" t="s">
        <v>795</v>
      </c>
      <c r="H954" s="0">
        <v>3</v>
      </c>
      <c r="I954" s="0" t="s">
        <v>27</v>
      </c>
      <c r="J954" s="0" t="s">
        <v>532</v>
      </c>
      <c r="K954" s="0">
        <v>2180</v>
      </c>
      <c r="L954" s="13">
        <v>3</v>
      </c>
      <c r="M954" s="0">
        <v>52</v>
      </c>
      <c r="N954" s="0">
        <v>2</v>
      </c>
      <c r="T954" s="0" t="str">
        <f>_xlfn.TEXTJOIN("_",TRUE,C954,"node_eff",D954,M954,N954)</f>
        <v>s1_node_eff_battle_52_2</v>
      </c>
    </row>
    <row r="955" spans="1:20" x14ac:dyDescent="0.45">
      <c r="A955" s="0" t="str">
        <f>_xlfn.TEXTJOIN("_",TRUE,C955,"node",D955,M955,N955)</f>
        <v>s1_node_battle_52_4</v>
      </c>
      <c r="B955" s="0" t="s">
        <v>0</v>
      </c>
      <c r="C955" s="0" t="s">
        <v>26</v>
      </c>
      <c r="D955" s="0" t="s">
        <v>106</v>
      </c>
      <c r="E955" s="0" t="str">
        <f>"s1_node_"&amp;D955&amp;"_name"</f>
        <v>s1_node_battle_name</v>
      </c>
      <c r="F955" s="13" t="str">
        <f>"s1_node_"&amp;D955&amp;"_desc"</f>
        <v>s1_node_battle_desc</v>
      </c>
      <c r="G955" s="0" t="s">
        <v>795</v>
      </c>
      <c r="H955" s="0">
        <v>3</v>
      </c>
      <c r="I955" s="0" t="s">
        <v>27</v>
      </c>
      <c r="J955" s="0" t="s">
        <v>532</v>
      </c>
      <c r="K955" s="0">
        <v>2180</v>
      </c>
      <c r="L955" s="13">
        <v>3</v>
      </c>
      <c r="M955" s="0">
        <v>52</v>
      </c>
      <c r="N955" s="0">
        <v>4</v>
      </c>
      <c r="T955" s="0" t="str">
        <f>_xlfn.TEXTJOIN("_",TRUE,C955,"node_eff",D955,M955,N955)</f>
        <v>s1_node_eff_battle_52_4</v>
      </c>
    </row>
    <row r="956" spans="1:20" x14ac:dyDescent="0.45">
      <c r="A956" s="0" t="str">
        <f>_xlfn.TEXTJOIN("_",TRUE,C956,"node",D956,M956,N956)</f>
        <v>s1_node_battle_52_6</v>
      </c>
      <c r="B956" s="0" t="s">
        <v>0</v>
      </c>
      <c r="C956" s="0" t="s">
        <v>26</v>
      </c>
      <c r="D956" s="0" t="s">
        <v>106</v>
      </c>
      <c r="E956" s="0" t="str">
        <f>"s1_node_"&amp;D956&amp;"_name"</f>
        <v>s1_node_battle_name</v>
      </c>
      <c r="F956" s="13" t="str">
        <f>"s1_node_"&amp;D956&amp;"_desc"</f>
        <v>s1_node_battle_desc</v>
      </c>
      <c r="G956" s="0" t="s">
        <v>795</v>
      </c>
      <c r="H956" s="0">
        <v>3</v>
      </c>
      <c r="I956" s="0" t="s">
        <v>27</v>
      </c>
      <c r="J956" s="0" t="s">
        <v>532</v>
      </c>
      <c r="K956" s="0">
        <v>2180</v>
      </c>
      <c r="L956" s="13">
        <v>3</v>
      </c>
      <c r="M956" s="0">
        <v>52</v>
      </c>
      <c r="N956" s="0">
        <v>6</v>
      </c>
      <c r="T956" s="0" t="str">
        <f>_xlfn.TEXTJOIN("_",TRUE,C956,"node_eff",D956,M956,N956)</f>
        <v>s1_node_eff_battle_52_6</v>
      </c>
    </row>
    <row r="957" spans="1:20" x14ac:dyDescent="0.45">
      <c r="A957" s="0" t="str">
        <f>_xlfn.TEXTJOIN("_",TRUE,C957,"node",D957,M957,N957)</f>
        <v>s1_node_battle_53_2</v>
      </c>
      <c r="B957" s="0" t="s">
        <v>0</v>
      </c>
      <c r="C957" s="0" t="s">
        <v>26</v>
      </c>
      <c r="D957" s="0" t="s">
        <v>106</v>
      </c>
      <c r="E957" s="0" t="str">
        <f>"s1_node_"&amp;D957&amp;"_name"</f>
        <v>s1_node_battle_name</v>
      </c>
      <c r="F957" s="13" t="str">
        <f>"s1_node_"&amp;D957&amp;"_desc"</f>
        <v>s1_node_battle_desc</v>
      </c>
      <c r="G957" s="0" t="s">
        <v>795</v>
      </c>
      <c r="H957" s="0">
        <v>3</v>
      </c>
      <c r="I957" s="0" t="s">
        <v>27</v>
      </c>
      <c r="J957" s="0" t="s">
        <v>534</v>
      </c>
      <c r="K957" s="0">
        <v>2220</v>
      </c>
      <c r="L957" s="13">
        <v>3</v>
      </c>
      <c r="M957" s="0">
        <v>53</v>
      </c>
      <c r="N957" s="0">
        <v>2</v>
      </c>
      <c r="P957" s="0" t="s">
        <v>1028</v>
      </c>
      <c r="T957" s="0" t="str">
        <f>_xlfn.TEXTJOIN("_",TRUE,C957,"node_eff",D957,M957,N957)</f>
        <v>s1_node_eff_battle_53_2</v>
      </c>
    </row>
    <row r="958" spans="1:20" x14ac:dyDescent="0.45">
      <c r="A958" s="0" t="str">
        <f>_xlfn.TEXTJOIN("_",TRUE,C958,"node",D958,M958,N958)</f>
        <v>s1_node_battle_53_6</v>
      </c>
      <c r="B958" s="0" t="s">
        <v>0</v>
      </c>
      <c r="C958" s="0" t="s">
        <v>26</v>
      </c>
      <c r="D958" s="0" t="s">
        <v>106</v>
      </c>
      <c r="E958" s="0" t="str">
        <f>"s1_node_"&amp;D958&amp;"_name"</f>
        <v>s1_node_battle_name</v>
      </c>
      <c r="F958" s="13" t="str">
        <f>"s1_node_"&amp;D958&amp;"_desc"</f>
        <v>s1_node_battle_desc</v>
      </c>
      <c r="G958" s="0" t="s">
        <v>795</v>
      </c>
      <c r="H958" s="0">
        <v>3</v>
      </c>
      <c r="I958" s="0" t="s">
        <v>27</v>
      </c>
      <c r="J958" s="0" t="s">
        <v>534</v>
      </c>
      <c r="K958" s="0">
        <v>2220</v>
      </c>
      <c r="L958" s="13">
        <v>3</v>
      </c>
      <c r="M958" s="0">
        <v>53</v>
      </c>
      <c r="N958" s="0">
        <v>6</v>
      </c>
      <c r="P958" s="0" t="s">
        <v>1029</v>
      </c>
      <c r="T958" s="0" t="str">
        <f>_xlfn.TEXTJOIN("_",TRUE,C958,"node_eff",D958,M958,N958)</f>
        <v>s1_node_eff_battle_53_6</v>
      </c>
    </row>
    <row r="959" spans="1:20" x14ac:dyDescent="0.45">
      <c r="A959" s="0" t="str">
        <f>_xlfn.TEXTJOIN("_",TRUE,C959,"node",D959,M959,N959)</f>
        <v>s1_node_battle_54_2</v>
      </c>
      <c r="B959" s="0" t="s">
        <v>0</v>
      </c>
      <c r="C959" s="0" t="s">
        <v>26</v>
      </c>
      <c r="D959" s="0" t="s">
        <v>106</v>
      </c>
      <c r="E959" s="0" t="str">
        <f>"s1_node_"&amp;D959&amp;"_name"</f>
        <v>s1_node_battle_name</v>
      </c>
      <c r="F959" s="13" t="str">
        <f>"s1_node_"&amp;D959&amp;"_desc"</f>
        <v>s1_node_battle_desc</v>
      </c>
      <c r="G959" s="0" t="s">
        <v>795</v>
      </c>
      <c r="H959" s="0">
        <v>3</v>
      </c>
      <c r="I959" s="0" t="s">
        <v>27</v>
      </c>
      <c r="J959" s="0" t="s">
        <v>537</v>
      </c>
      <c r="K959" s="0">
        <v>2260</v>
      </c>
      <c r="L959" s="13">
        <v>3</v>
      </c>
      <c r="M959" s="0">
        <v>54</v>
      </c>
      <c r="N959" s="0">
        <v>2</v>
      </c>
      <c r="T959" s="0" t="str">
        <f>_xlfn.TEXTJOIN("_",TRUE,C959,"node_eff",D959,M959,N959)</f>
        <v>s1_node_eff_battle_54_2</v>
      </c>
    </row>
    <row r="960" spans="1:20" x14ac:dyDescent="0.45">
      <c r="A960" s="0" t="str">
        <f>_xlfn.TEXTJOIN("_",TRUE,C960,"node",D960,M960,N960)</f>
        <v>s1_node_battle_54_4</v>
      </c>
      <c r="B960" s="0" t="s">
        <v>0</v>
      </c>
      <c r="C960" s="0" t="s">
        <v>26</v>
      </c>
      <c r="D960" s="0" t="s">
        <v>106</v>
      </c>
      <c r="E960" s="0" t="str">
        <f>"s1_node_"&amp;D960&amp;"_name"</f>
        <v>s1_node_battle_name</v>
      </c>
      <c r="F960" s="13" t="str">
        <f>"s1_node_"&amp;D960&amp;"_desc"</f>
        <v>s1_node_battle_desc</v>
      </c>
      <c r="G960" s="0" t="s">
        <v>795</v>
      </c>
      <c r="H960" s="0">
        <v>3</v>
      </c>
      <c r="I960" s="0" t="s">
        <v>27</v>
      </c>
      <c r="J960" s="0" t="s">
        <v>537</v>
      </c>
      <c r="K960" s="0">
        <v>2260</v>
      </c>
      <c r="L960" s="13">
        <v>3</v>
      </c>
      <c r="M960" s="0">
        <v>54</v>
      </c>
      <c r="N960" s="0">
        <v>4</v>
      </c>
      <c r="P960" s="0" t="s">
        <v>1030</v>
      </c>
      <c r="T960" s="0" t="str">
        <f>_xlfn.TEXTJOIN("_",TRUE,C960,"node_eff",D960,M960,N960)</f>
        <v>s1_node_eff_battle_54_4</v>
      </c>
    </row>
    <row r="961" spans="1:20" x14ac:dyDescent="0.45">
      <c r="A961" s="0" t="str">
        <f>_xlfn.TEXTJOIN("_",TRUE,C961,"node",D961,M961,N961)</f>
        <v>s1_node_battle_54_6</v>
      </c>
      <c r="B961" s="0" t="s">
        <v>0</v>
      </c>
      <c r="C961" s="0" t="s">
        <v>26</v>
      </c>
      <c r="D961" s="0" t="s">
        <v>106</v>
      </c>
      <c r="E961" s="0" t="str">
        <f>"s1_node_"&amp;D961&amp;"_name"</f>
        <v>s1_node_battle_name</v>
      </c>
      <c r="F961" s="13" t="str">
        <f>"s1_node_"&amp;D961&amp;"_desc"</f>
        <v>s1_node_battle_desc</v>
      </c>
      <c r="G961" s="0" t="s">
        <v>795</v>
      </c>
      <c r="H961" s="0">
        <v>3</v>
      </c>
      <c r="I961" s="0" t="s">
        <v>27</v>
      </c>
      <c r="J961" s="0" t="s">
        <v>537</v>
      </c>
      <c r="K961" s="0">
        <v>2260</v>
      </c>
      <c r="L961" s="13">
        <v>3</v>
      </c>
      <c r="M961" s="0">
        <v>54</v>
      </c>
      <c r="N961" s="0">
        <v>6</v>
      </c>
      <c r="T961" s="0" t="str">
        <f>_xlfn.TEXTJOIN("_",TRUE,C961,"node_eff",D961,M961,N961)</f>
        <v>s1_node_eff_battle_54_6</v>
      </c>
    </row>
    <row r="962" spans="1:20" x14ac:dyDescent="0.45">
      <c r="A962" s="0" t="str">
        <f>_xlfn.TEXTJOIN("_",TRUE,C962,"node",D962,M962,N962)</f>
        <v>s1_node_battle_55_2</v>
      </c>
      <c r="B962" s="0" t="s">
        <v>0</v>
      </c>
      <c r="C962" s="0" t="s">
        <v>26</v>
      </c>
      <c r="D962" s="0" t="s">
        <v>106</v>
      </c>
      <c r="E962" s="0" t="str">
        <f>"s1_node_"&amp;D962&amp;"_name"</f>
        <v>s1_node_battle_name</v>
      </c>
      <c r="F962" s="13" t="str">
        <f>"s1_node_"&amp;D962&amp;"_desc"</f>
        <v>s1_node_battle_desc</v>
      </c>
      <c r="G962" s="0" t="s">
        <v>795</v>
      </c>
      <c r="H962" s="0">
        <v>3</v>
      </c>
      <c r="I962" s="0" t="s">
        <v>27</v>
      </c>
      <c r="J962" s="0" t="s">
        <v>318</v>
      </c>
      <c r="K962" s="0">
        <v>2300</v>
      </c>
      <c r="L962" s="13">
        <v>3</v>
      </c>
      <c r="M962" s="0">
        <v>55</v>
      </c>
      <c r="N962" s="0">
        <v>2</v>
      </c>
      <c r="P962" s="0" t="s">
        <v>1031</v>
      </c>
      <c r="T962" s="0" t="str">
        <f>_xlfn.TEXTJOIN("_",TRUE,C962,"node_eff",D962,M962,N962)</f>
        <v>s1_node_eff_battle_55_2</v>
      </c>
    </row>
    <row r="963" spans="1:20" x14ac:dyDescent="0.45">
      <c r="A963" s="0" t="str">
        <f>_xlfn.TEXTJOIN("_",TRUE,C963,"node",D963,M963,N963)</f>
        <v>s1_node_battle_55_6</v>
      </c>
      <c r="B963" s="0" t="s">
        <v>0</v>
      </c>
      <c r="C963" s="0" t="s">
        <v>26</v>
      </c>
      <c r="D963" s="0" t="s">
        <v>106</v>
      </c>
      <c r="E963" s="0" t="str">
        <f>"s1_node_"&amp;D963&amp;"_name"</f>
        <v>s1_node_battle_name</v>
      </c>
      <c r="F963" s="13" t="str">
        <f>"s1_node_"&amp;D963&amp;"_desc"</f>
        <v>s1_node_battle_desc</v>
      </c>
      <c r="G963" s="0" t="s">
        <v>149</v>
      </c>
      <c r="H963" s="0">
        <v>3</v>
      </c>
      <c r="I963" s="0" t="s">
        <v>27</v>
      </c>
      <c r="J963" s="0" t="s">
        <v>318</v>
      </c>
      <c r="K963" s="0">
        <v>2300</v>
      </c>
      <c r="L963" s="13">
        <v>3</v>
      </c>
      <c r="M963" s="0">
        <v>55</v>
      </c>
      <c r="N963" s="0">
        <v>6</v>
      </c>
      <c r="P963" s="0" t="s">
        <v>1032</v>
      </c>
      <c r="T963" s="0" t="str">
        <f>_xlfn.TEXTJOIN("_",TRUE,C963,"node_eff",D963,M963,N963)</f>
        <v>s1_node_eff_battle_55_6</v>
      </c>
    </row>
    <row r="964" spans="1:20" x14ac:dyDescent="0.45">
      <c r="A964" s="0" t="str">
        <f>_xlfn.TEXTJOIN("_",TRUE,C964,"node",D964,M964,N964)</f>
        <v>s1_node_battle_56_4</v>
      </c>
      <c r="B964" s="0" t="s">
        <v>0</v>
      </c>
      <c r="C964" s="0" t="s">
        <v>26</v>
      </c>
      <c r="D964" s="0" t="s">
        <v>106</v>
      </c>
      <c r="E964" s="0" t="str">
        <f>"s1_node_"&amp;D964&amp;"_name"</f>
        <v>s1_node_battle_name</v>
      </c>
      <c r="F964" s="13" t="str">
        <f>"s1_node_"&amp;D964&amp;"_desc"</f>
        <v>s1_node_battle_desc</v>
      </c>
      <c r="G964" s="0" t="s">
        <v>419</v>
      </c>
      <c r="H964" s="0">
        <v>3</v>
      </c>
      <c r="I964" s="0" t="s">
        <v>27</v>
      </c>
      <c r="J964" s="0" t="s">
        <v>321</v>
      </c>
      <c r="K964" s="0">
        <v>2340</v>
      </c>
      <c r="L964" s="13">
        <v>3</v>
      </c>
      <c r="M964" s="0">
        <v>56</v>
      </c>
      <c r="N964" s="0">
        <v>4</v>
      </c>
      <c r="P964" s="0" t="s">
        <v>1033</v>
      </c>
      <c r="T964" s="0" t="str">
        <f>_xlfn.TEXTJOIN("_",TRUE,C964,"node_eff",D964,M964,N964)</f>
        <v>s1_node_eff_battle_56_4</v>
      </c>
    </row>
    <row r="965" spans="1:20" x14ac:dyDescent="0.45">
      <c r="A965" s="0" t="str">
        <f>_xlfn.TEXTJOIN("_",TRUE,C965,"node",D965,M965,N965)</f>
        <v>s1_node_battle_57_2</v>
      </c>
      <c r="B965" s="0" t="s">
        <v>0</v>
      </c>
      <c r="C965" s="0" t="s">
        <v>26</v>
      </c>
      <c r="D965" s="0" t="s">
        <v>106</v>
      </c>
      <c r="E965" s="0" t="str">
        <f>"s1_node_"&amp;D965&amp;"_name"</f>
        <v>s1_node_battle_name</v>
      </c>
      <c r="F965" s="13" t="str">
        <f>"s1_node_"&amp;D965&amp;"_desc"</f>
        <v>s1_node_battle_desc</v>
      </c>
      <c r="G965" s="0" t="s">
        <v>419</v>
      </c>
      <c r="H965" s="0">
        <v>3</v>
      </c>
      <c r="I965" s="0" t="s">
        <v>27</v>
      </c>
      <c r="J965" s="0" t="s">
        <v>1034</v>
      </c>
      <c r="K965" s="0">
        <v>2380</v>
      </c>
      <c r="L965" s="13">
        <v>3</v>
      </c>
      <c r="M965" s="0">
        <v>57</v>
      </c>
      <c r="N965" s="0">
        <v>2</v>
      </c>
      <c r="T965" s="0" t="str">
        <f>_xlfn.TEXTJOIN("_",TRUE,C965,"node_eff",D965,M965,N965)</f>
        <v>s1_node_eff_battle_57_2</v>
      </c>
    </row>
    <row r="966" spans="1:20" x14ac:dyDescent="0.45">
      <c r="A966" s="0" t="str">
        <f>_xlfn.TEXTJOIN("_",TRUE,C966,"node",D966,M966,N966)</f>
        <v>s1_node_battle_57_4</v>
      </c>
      <c r="B966" s="0" t="s">
        <v>0</v>
      </c>
      <c r="C966" s="0" t="s">
        <v>26</v>
      </c>
      <c r="D966" s="0" t="s">
        <v>106</v>
      </c>
      <c r="E966" s="0" t="str">
        <f>"s1_node_"&amp;D966&amp;"_name"</f>
        <v>s1_node_battle_name</v>
      </c>
      <c r="F966" s="13" t="str">
        <f>"s1_node_"&amp;D966&amp;"_desc"</f>
        <v>s1_node_battle_desc</v>
      </c>
      <c r="G966" s="0" t="s">
        <v>795</v>
      </c>
      <c r="H966" s="0">
        <v>3</v>
      </c>
      <c r="I966" s="0" t="s">
        <v>27</v>
      </c>
      <c r="J966" s="0" t="s">
        <v>1034</v>
      </c>
      <c r="K966" s="0">
        <v>2380</v>
      </c>
      <c r="L966" s="13">
        <v>3</v>
      </c>
      <c r="M966" s="0">
        <v>57</v>
      </c>
      <c r="N966" s="0">
        <v>4</v>
      </c>
      <c r="T966" s="0" t="str">
        <f>_xlfn.TEXTJOIN("_",TRUE,C966,"node_eff",D966,M966,N966)</f>
        <v>s1_node_eff_battle_57_4</v>
      </c>
    </row>
    <row r="967" spans="1:20" x14ac:dyDescent="0.45">
      <c r="A967" s="0" t="str">
        <f>_xlfn.TEXTJOIN("_",TRUE,C967,"node",D967,M967,N967)</f>
        <v>s1_node_battle_57_6</v>
      </c>
      <c r="B967" s="0" t="s">
        <v>0</v>
      </c>
      <c r="C967" s="0" t="s">
        <v>26</v>
      </c>
      <c r="D967" s="0" t="s">
        <v>106</v>
      </c>
      <c r="E967" s="0" t="str">
        <f>"s1_node_"&amp;D967&amp;"_name"</f>
        <v>s1_node_battle_name</v>
      </c>
      <c r="F967" s="13" t="str">
        <f>"s1_node_"&amp;D967&amp;"_desc"</f>
        <v>s1_node_battle_desc</v>
      </c>
      <c r="G967" s="0" t="s">
        <v>795</v>
      </c>
      <c r="H967" s="0">
        <v>3</v>
      </c>
      <c r="I967" s="0" t="s">
        <v>27</v>
      </c>
      <c r="J967" s="0" t="s">
        <v>1034</v>
      </c>
      <c r="K967" s="0">
        <v>2380</v>
      </c>
      <c r="L967" s="13">
        <v>3</v>
      </c>
      <c r="M967" s="0">
        <v>57</v>
      </c>
      <c r="N967" s="0">
        <v>6</v>
      </c>
      <c r="T967" s="0" t="str">
        <f>_xlfn.TEXTJOIN("_",TRUE,C967,"node_eff",D967,M967,N967)</f>
        <v>s1_node_eff_battle_57_6</v>
      </c>
    </row>
    <row r="968" spans="1:20" x14ac:dyDescent="0.45">
      <c r="A968" s="0" t="str">
        <f>_xlfn.TEXTJOIN("_",TRUE,C968,"node",D968,M968,N968)</f>
        <v>s1_node_battle_58_2</v>
      </c>
      <c r="B968" s="0" t="s">
        <v>0</v>
      </c>
      <c r="C968" s="0" t="s">
        <v>26</v>
      </c>
      <c r="D968" s="0" t="s">
        <v>106</v>
      </c>
      <c r="E968" s="0" t="str">
        <f>"s1_node_"&amp;D968&amp;"_name"</f>
        <v>s1_node_battle_name</v>
      </c>
      <c r="F968" s="13" t="str">
        <f>"s1_node_"&amp;D968&amp;"_desc"</f>
        <v>s1_node_battle_desc</v>
      </c>
      <c r="G968" s="0" t="s">
        <v>795</v>
      </c>
      <c r="H968" s="0">
        <v>3</v>
      </c>
      <c r="I968" s="0" t="s">
        <v>27</v>
      </c>
      <c r="J968" s="0" t="s">
        <v>326</v>
      </c>
      <c r="K968" s="0">
        <v>2410</v>
      </c>
      <c r="L968" s="13">
        <v>3</v>
      </c>
      <c r="M968" s="0">
        <v>58</v>
      </c>
      <c r="N968" s="0">
        <v>2</v>
      </c>
      <c r="P968" s="0" t="s">
        <v>1035</v>
      </c>
      <c r="T968" s="0" t="str">
        <f>_xlfn.TEXTJOIN("_",TRUE,C968,"node_eff",D968,M968,N968)</f>
        <v>s1_node_eff_battle_58_2</v>
      </c>
    </row>
    <row r="969" spans="1:20" x14ac:dyDescent="0.45">
      <c r="A969" s="0" t="str">
        <f>_xlfn.TEXTJOIN("_",TRUE,C969,"node",D969,M969,N969)</f>
        <v>s1_node_battle_58_6</v>
      </c>
      <c r="B969" s="0" t="s">
        <v>0</v>
      </c>
      <c r="C969" s="0" t="s">
        <v>26</v>
      </c>
      <c r="D969" s="0" t="s">
        <v>106</v>
      </c>
      <c r="E969" s="0" t="str">
        <f>"s1_node_"&amp;D969&amp;"_name"</f>
        <v>s1_node_battle_name</v>
      </c>
      <c r="F969" s="13" t="str">
        <f>"s1_node_"&amp;D969&amp;"_desc"</f>
        <v>s1_node_battle_desc</v>
      </c>
      <c r="G969" s="0" t="s">
        <v>795</v>
      </c>
      <c r="H969" s="0">
        <v>3</v>
      </c>
      <c r="I969" s="0" t="s">
        <v>27</v>
      </c>
      <c r="J969" s="0" t="s">
        <v>326</v>
      </c>
      <c r="K969" s="0">
        <v>2410</v>
      </c>
      <c r="L969" s="13">
        <v>3</v>
      </c>
      <c r="M969" s="0">
        <v>58</v>
      </c>
      <c r="N969" s="0">
        <v>6</v>
      </c>
      <c r="P969" s="0" t="s">
        <v>1036</v>
      </c>
      <c r="T969" s="0" t="str">
        <f>_xlfn.TEXTJOIN("_",TRUE,C969,"node_eff",D969,M969,N969)</f>
        <v>s1_node_eff_battle_58_6</v>
      </c>
    </row>
    <row r="970" spans="1:20" x14ac:dyDescent="0.45">
      <c r="A970" s="0" t="str">
        <f>_xlfn.TEXTJOIN("_",TRUE,C970,"node",D970,M970,N970)</f>
        <v>s1_node_battle_59_2</v>
      </c>
      <c r="B970" s="0" t="s">
        <v>0</v>
      </c>
      <c r="C970" s="0" t="s">
        <v>26</v>
      </c>
      <c r="D970" s="0" t="s">
        <v>106</v>
      </c>
      <c r="E970" s="0" t="str">
        <f>"s1_node_"&amp;D970&amp;"_name"</f>
        <v>s1_node_battle_name</v>
      </c>
      <c r="F970" s="13" t="str">
        <f>"s1_node_"&amp;D970&amp;"_desc"</f>
        <v>s1_node_battle_desc</v>
      </c>
      <c r="G970" s="0" t="s">
        <v>795</v>
      </c>
      <c r="H970" s="0">
        <v>3</v>
      </c>
      <c r="I970" s="0" t="s">
        <v>27</v>
      </c>
      <c r="J970" s="0" t="s">
        <v>1037</v>
      </c>
      <c r="K970" s="0">
        <v>2450</v>
      </c>
      <c r="L970" s="13">
        <v>3</v>
      </c>
      <c r="M970" s="0">
        <v>59</v>
      </c>
      <c r="N970" s="0">
        <v>2</v>
      </c>
      <c r="T970" s="0" t="str">
        <f>_xlfn.TEXTJOIN("_",TRUE,C970,"node_eff",D970,M970,N970)</f>
        <v>s1_node_eff_battle_59_2</v>
      </c>
    </row>
    <row r="971" spans="1:20" x14ac:dyDescent="0.45">
      <c r="A971" s="0" t="str">
        <f>_xlfn.TEXTJOIN("_",TRUE,C971,"node",D971,M971,N971)</f>
        <v>s1_node_battle_59_4</v>
      </c>
      <c r="B971" s="0" t="s">
        <v>0</v>
      </c>
      <c r="C971" s="0" t="s">
        <v>26</v>
      </c>
      <c r="D971" s="0" t="s">
        <v>106</v>
      </c>
      <c r="E971" s="0" t="str">
        <f>"s1_node_"&amp;D971&amp;"_name"</f>
        <v>s1_node_battle_name</v>
      </c>
      <c r="F971" s="13" t="str">
        <f>"s1_node_"&amp;D971&amp;"_desc"</f>
        <v>s1_node_battle_desc</v>
      </c>
      <c r="G971" s="0" t="s">
        <v>795</v>
      </c>
      <c r="H971" s="0">
        <v>3</v>
      </c>
      <c r="I971" s="0" t="s">
        <v>27</v>
      </c>
      <c r="J971" s="0" t="s">
        <v>1037</v>
      </c>
      <c r="K971" s="0">
        <v>2450</v>
      </c>
      <c r="L971" s="13">
        <v>3</v>
      </c>
      <c r="M971" s="0">
        <v>59</v>
      </c>
      <c r="N971" s="0">
        <v>4</v>
      </c>
      <c r="P971" s="0" t="s">
        <v>1038</v>
      </c>
      <c r="T971" s="0" t="str">
        <f>_xlfn.TEXTJOIN("_",TRUE,C971,"node_eff",D971,M971,N971)</f>
        <v>s1_node_eff_battle_59_4</v>
      </c>
    </row>
    <row r="972" spans="1:20" x14ac:dyDescent="0.45">
      <c r="A972" s="0" t="str">
        <f>_xlfn.TEXTJOIN("_",TRUE,C972,"node",D972,M972,N972)</f>
        <v>s1_node_battle_59_6</v>
      </c>
      <c r="B972" s="0" t="s">
        <v>0</v>
      </c>
      <c r="C972" s="0" t="s">
        <v>26</v>
      </c>
      <c r="D972" s="0" t="s">
        <v>106</v>
      </c>
      <c r="E972" s="0" t="str">
        <f>"s1_node_"&amp;D972&amp;"_name"</f>
        <v>s1_node_battle_name</v>
      </c>
      <c r="F972" s="13" t="str">
        <f>"s1_node_"&amp;D972&amp;"_desc"</f>
        <v>s1_node_battle_desc</v>
      </c>
      <c r="G972" s="0" t="s">
        <v>795</v>
      </c>
      <c r="H972" s="0">
        <v>3</v>
      </c>
      <c r="I972" s="0" t="s">
        <v>27</v>
      </c>
      <c r="J972" s="0" t="s">
        <v>1037</v>
      </c>
      <c r="K972" s="0">
        <v>2450</v>
      </c>
      <c r="L972" s="13">
        <v>3</v>
      </c>
      <c r="M972" s="0">
        <v>59</v>
      </c>
      <c r="N972" s="0">
        <v>6</v>
      </c>
      <c r="T972" s="0" t="str">
        <f>_xlfn.TEXTJOIN("_",TRUE,C972,"node_eff",D972,M972,N972)</f>
        <v>s1_node_eff_battle_59_6</v>
      </c>
    </row>
    <row r="973" spans="1:20" x14ac:dyDescent="0.45">
      <c r="A973" s="0" t="str">
        <f>_xlfn.TEXTJOIN("_",TRUE,C973,"node",D973,M973,N973)</f>
        <v>s1_node_battle_60_2</v>
      </c>
      <c r="B973" s="0" t="s">
        <v>0</v>
      </c>
      <c r="C973" s="0" t="s">
        <v>26</v>
      </c>
      <c r="D973" s="0" t="s">
        <v>106</v>
      </c>
      <c r="E973" s="0" t="str">
        <f>"s1_node_"&amp;D973&amp;"_name"</f>
        <v>s1_node_battle_name</v>
      </c>
      <c r="F973" s="13" t="str">
        <f>"s1_node_"&amp;D973&amp;"_desc"</f>
        <v>s1_node_battle_desc</v>
      </c>
      <c r="G973" s="0" t="s">
        <v>795</v>
      </c>
      <c r="H973" s="0">
        <v>3</v>
      </c>
      <c r="I973" s="0" t="s">
        <v>27</v>
      </c>
      <c r="J973" s="0" t="s">
        <v>1039</v>
      </c>
      <c r="K973" s="0">
        <v>2490</v>
      </c>
      <c r="L973" s="13">
        <v>3</v>
      </c>
      <c r="M973" s="0">
        <v>60</v>
      </c>
      <c r="N973" s="0">
        <v>2</v>
      </c>
      <c r="P973" s="0" t="s">
        <v>1040</v>
      </c>
      <c r="T973" s="0" t="str">
        <f>_xlfn.TEXTJOIN("_",TRUE,C973,"node_eff",D973,M973,N973)</f>
        <v>s1_node_eff_battle_60_2</v>
      </c>
    </row>
    <row r="974" spans="1:20" x14ac:dyDescent="0.45">
      <c r="A974" s="0" t="str">
        <f>_xlfn.TEXTJOIN("_",TRUE,C974,"node",D974,M974,N974)</f>
        <v>s1_node_battle_60_6</v>
      </c>
      <c r="B974" s="0" t="s">
        <v>0</v>
      </c>
      <c r="C974" s="0" t="s">
        <v>26</v>
      </c>
      <c r="D974" s="0" t="s">
        <v>106</v>
      </c>
      <c r="E974" s="0" t="str">
        <f>"s1_node_"&amp;D974&amp;"_name"</f>
        <v>s1_node_battle_name</v>
      </c>
      <c r="F974" s="13" t="str">
        <f>"s1_node_"&amp;D974&amp;"_desc"</f>
        <v>s1_node_battle_desc</v>
      </c>
      <c r="G974" s="0" t="s">
        <v>795</v>
      </c>
      <c r="H974" s="0">
        <v>3</v>
      </c>
      <c r="I974" s="0" t="s">
        <v>27</v>
      </c>
      <c r="J974" s="0" t="s">
        <v>1039</v>
      </c>
      <c r="K974" s="0">
        <v>2490</v>
      </c>
      <c r="L974" s="13">
        <v>3</v>
      </c>
      <c r="M974" s="0">
        <v>60</v>
      </c>
      <c r="N974" s="0">
        <v>6</v>
      </c>
      <c r="P974" s="0" t="s">
        <v>1041</v>
      </c>
      <c r="T974" s="0" t="str">
        <f>_xlfn.TEXTJOIN("_",TRUE,C974,"node_eff",D974,M974,N974)</f>
        <v>s1_node_eff_battle_60_6</v>
      </c>
    </row>
    <row r="975" spans="1:20" x14ac:dyDescent="0.45">
      <c r="A975" s="0" t="str">
        <f>_xlfn.TEXTJOIN("_",TRUE,C975,"node",D975,M975,N975)</f>
        <v>s1_node_battle_61_4</v>
      </c>
      <c r="B975" s="0" t="s">
        <v>0</v>
      </c>
      <c r="C975" s="0" t="s">
        <v>26</v>
      </c>
      <c r="D975" s="0" t="s">
        <v>106</v>
      </c>
      <c r="E975" s="0" t="str">
        <f>"s1_node_"&amp;D975&amp;"_name"</f>
        <v>s1_node_battle_name</v>
      </c>
      <c r="F975" s="13" t="str">
        <f>"s1_node_"&amp;D975&amp;"_desc"</f>
        <v>s1_node_battle_desc</v>
      </c>
      <c r="G975" s="0" t="s">
        <v>795</v>
      </c>
      <c r="H975" s="0">
        <v>4</v>
      </c>
      <c r="I975" s="0" t="s">
        <v>27</v>
      </c>
      <c r="J975" s="0" t="s">
        <v>1042</v>
      </c>
      <c r="K975" s="0">
        <v>2530</v>
      </c>
      <c r="L975" s="13">
        <v>3</v>
      </c>
      <c r="M975" s="0">
        <v>61</v>
      </c>
      <c r="N975" s="0">
        <v>4</v>
      </c>
      <c r="P975" s="0" t="s">
        <v>1043</v>
      </c>
      <c r="T975" s="0" t="str">
        <f>_xlfn.TEXTJOIN("_",TRUE,C975,"node_eff",D975,M975,N975)</f>
        <v>s1_node_eff_battle_61_4</v>
      </c>
    </row>
    <row r="976" spans="1:20" x14ac:dyDescent="0.45">
      <c r="A976" s="0" t="str">
        <f>_xlfn.TEXTJOIN("_",TRUE,C976,"node",D976,M976,N976)</f>
        <v>s1_node_battle_62_2</v>
      </c>
      <c r="B976" s="0" t="s">
        <v>0</v>
      </c>
      <c r="C976" s="0" t="s">
        <v>26</v>
      </c>
      <c r="D976" s="0" t="s">
        <v>106</v>
      </c>
      <c r="E976" s="0" t="str">
        <f>"s1_node_"&amp;D976&amp;"_name"</f>
        <v>s1_node_battle_name</v>
      </c>
      <c r="F976" s="13" t="str">
        <f>"s1_node_"&amp;D976&amp;"_desc"</f>
        <v>s1_node_battle_desc</v>
      </c>
      <c r="G976" s="0" t="s">
        <v>795</v>
      </c>
      <c r="H976" s="0">
        <v>4</v>
      </c>
      <c r="I976" s="0" t="s">
        <v>27</v>
      </c>
      <c r="J976" s="0" t="s">
        <v>1044</v>
      </c>
      <c r="K976" s="0">
        <v>2570</v>
      </c>
      <c r="L976" s="13">
        <v>3</v>
      </c>
      <c r="M976" s="0">
        <v>62</v>
      </c>
      <c r="N976" s="0">
        <v>2</v>
      </c>
      <c r="T976" s="0" t="str">
        <f>_xlfn.TEXTJOIN("_",TRUE,C976,"node_eff",D976,M976,N976)</f>
        <v>s1_node_eff_battle_62_2</v>
      </c>
    </row>
    <row r="977" spans="1:20" x14ac:dyDescent="0.45">
      <c r="A977" s="0" t="str">
        <f>_xlfn.TEXTJOIN("_",TRUE,C977,"node",D977,M977,N977)</f>
        <v>s1_node_battle_62_4</v>
      </c>
      <c r="B977" s="0" t="s">
        <v>0</v>
      </c>
      <c r="C977" s="0" t="s">
        <v>26</v>
      </c>
      <c r="D977" s="0" t="s">
        <v>106</v>
      </c>
      <c r="E977" s="0" t="str">
        <f>"s1_node_"&amp;D977&amp;"_name"</f>
        <v>s1_node_battle_name</v>
      </c>
      <c r="F977" s="13" t="str">
        <f>"s1_node_"&amp;D977&amp;"_desc"</f>
        <v>s1_node_battle_desc</v>
      </c>
      <c r="G977" s="0" t="s">
        <v>795</v>
      </c>
      <c r="H977" s="0">
        <v>4</v>
      </c>
      <c r="I977" s="0" t="s">
        <v>27</v>
      </c>
      <c r="J977" s="0" t="s">
        <v>1044</v>
      </c>
      <c r="K977" s="0">
        <v>2570</v>
      </c>
      <c r="L977" s="13">
        <v>3</v>
      </c>
      <c r="M977" s="0">
        <v>62</v>
      </c>
      <c r="N977" s="0">
        <v>4</v>
      </c>
      <c r="T977" s="0" t="str">
        <f>_xlfn.TEXTJOIN("_",TRUE,C977,"node_eff",D977,M977,N977)</f>
        <v>s1_node_eff_battle_62_4</v>
      </c>
    </row>
    <row r="978" spans="1:20" x14ac:dyDescent="0.45">
      <c r="A978" s="0" t="str">
        <f>_xlfn.TEXTJOIN("_",TRUE,C978,"node",D978,M978,N978)</f>
        <v>s1_node_battle_62_6</v>
      </c>
      <c r="B978" s="0" t="s">
        <v>0</v>
      </c>
      <c r="C978" s="0" t="s">
        <v>26</v>
      </c>
      <c r="D978" s="0" t="s">
        <v>106</v>
      </c>
      <c r="E978" s="0" t="str">
        <f>"s1_node_"&amp;D978&amp;"_name"</f>
        <v>s1_node_battle_name</v>
      </c>
      <c r="F978" s="13" t="str">
        <f>"s1_node_"&amp;D978&amp;"_desc"</f>
        <v>s1_node_battle_desc</v>
      </c>
      <c r="G978" s="0" t="s">
        <v>149</v>
      </c>
      <c r="H978" s="0">
        <v>4</v>
      </c>
      <c r="I978" s="0" t="s">
        <v>27</v>
      </c>
      <c r="J978" s="0" t="s">
        <v>1044</v>
      </c>
      <c r="K978" s="0">
        <v>2570</v>
      </c>
      <c r="L978" s="13">
        <v>3</v>
      </c>
      <c r="M978" s="0">
        <v>62</v>
      </c>
      <c r="N978" s="0">
        <v>6</v>
      </c>
      <c r="T978" s="0" t="str">
        <f>_xlfn.TEXTJOIN("_",TRUE,C978,"node_eff",D978,M978,N978)</f>
        <v>s1_node_eff_battle_62_6</v>
      </c>
    </row>
    <row r="979" spans="1:20" x14ac:dyDescent="0.45">
      <c r="A979" s="0" t="str">
        <f>_xlfn.TEXTJOIN("_",TRUE,C979,"node",D979,M979,N979)</f>
        <v>s1_node_battle_63_2</v>
      </c>
      <c r="B979" s="0" t="s">
        <v>0</v>
      </c>
      <c r="C979" s="0" t="s">
        <v>26</v>
      </c>
      <c r="D979" s="0" t="s">
        <v>106</v>
      </c>
      <c r="E979" s="0" t="str">
        <f>"s1_node_"&amp;D979&amp;"_name"</f>
        <v>s1_node_battle_name</v>
      </c>
      <c r="F979" s="13" t="str">
        <f>"s1_node_"&amp;D979&amp;"_desc"</f>
        <v>s1_node_battle_desc</v>
      </c>
      <c r="G979" s="0" t="s">
        <v>419</v>
      </c>
      <c r="H979" s="0">
        <v>4</v>
      </c>
      <c r="I979" s="0" t="s">
        <v>27</v>
      </c>
      <c r="J979" s="0" t="s">
        <v>557</v>
      </c>
      <c r="K979" s="0">
        <v>2610</v>
      </c>
      <c r="L979" s="13">
        <v>3</v>
      </c>
      <c r="M979" s="0">
        <v>63</v>
      </c>
      <c r="N979" s="0">
        <v>2</v>
      </c>
      <c r="P979" s="0" t="s">
        <v>1045</v>
      </c>
      <c r="T979" s="0" t="str">
        <f>_xlfn.TEXTJOIN("_",TRUE,C979,"node_eff",D979,M979,N979)</f>
        <v>s1_node_eff_battle_63_2</v>
      </c>
    </row>
    <row r="980" spans="1:20" x14ac:dyDescent="0.45">
      <c r="A980" s="0" t="str">
        <f>_xlfn.TEXTJOIN("_",TRUE,C980,"node",D980,M980,N980)</f>
        <v>s1_node_battle_63_6</v>
      </c>
      <c r="B980" s="0" t="s">
        <v>0</v>
      </c>
      <c r="C980" s="0" t="s">
        <v>26</v>
      </c>
      <c r="D980" s="0" t="s">
        <v>106</v>
      </c>
      <c r="E980" s="0" t="str">
        <f>"s1_node_"&amp;D980&amp;"_name"</f>
        <v>s1_node_battle_name</v>
      </c>
      <c r="F980" s="13" t="str">
        <f>"s1_node_"&amp;D980&amp;"_desc"</f>
        <v>s1_node_battle_desc</v>
      </c>
      <c r="G980" s="0" t="s">
        <v>419</v>
      </c>
      <c r="H980" s="0">
        <v>4</v>
      </c>
      <c r="I980" s="0" t="s">
        <v>27</v>
      </c>
      <c r="J980" s="0" t="s">
        <v>557</v>
      </c>
      <c r="K980" s="0">
        <v>2610</v>
      </c>
      <c r="L980" s="13">
        <v>3</v>
      </c>
      <c r="M980" s="0">
        <v>63</v>
      </c>
      <c r="N980" s="0">
        <v>6</v>
      </c>
      <c r="P980" s="0" t="s">
        <v>1046</v>
      </c>
      <c r="T980" s="0" t="str">
        <f>_xlfn.TEXTJOIN("_",TRUE,C980,"node_eff",D980,M980,N980)</f>
        <v>s1_node_eff_battle_63_6</v>
      </c>
    </row>
    <row r="981" spans="1:20" x14ac:dyDescent="0.45">
      <c r="A981" s="0" t="str">
        <f>_xlfn.TEXTJOIN("_",TRUE,C981,"node",D981,M981,N981)</f>
        <v>s1_node_battle_64_2</v>
      </c>
      <c r="B981" s="0" t="s">
        <v>0</v>
      </c>
      <c r="C981" s="0" t="s">
        <v>26</v>
      </c>
      <c r="D981" s="0" t="s">
        <v>106</v>
      </c>
      <c r="E981" s="0" t="str">
        <f>"s1_node_"&amp;D981&amp;"_name"</f>
        <v>s1_node_battle_name</v>
      </c>
      <c r="F981" s="13" t="str">
        <f>"s1_node_"&amp;D981&amp;"_desc"</f>
        <v>s1_node_battle_desc</v>
      </c>
      <c r="G981" s="0" t="s">
        <v>795</v>
      </c>
      <c r="H981" s="0">
        <v>4</v>
      </c>
      <c r="I981" s="0" t="s">
        <v>27</v>
      </c>
      <c r="J981" s="0" t="s">
        <v>346</v>
      </c>
      <c r="K981" s="0">
        <v>2650</v>
      </c>
      <c r="L981" s="13">
        <v>3</v>
      </c>
      <c r="M981" s="0">
        <v>64</v>
      </c>
      <c r="N981" s="0">
        <v>2</v>
      </c>
      <c r="T981" s="0" t="str">
        <f>_xlfn.TEXTJOIN("_",TRUE,C981,"node_eff",D981,M981,N981)</f>
        <v>s1_node_eff_battle_64_2</v>
      </c>
    </row>
    <row r="982" spans="1:20" x14ac:dyDescent="0.45">
      <c r="A982" s="0" t="str">
        <f>_xlfn.TEXTJOIN("_",TRUE,C982,"node",D982,M982,N982)</f>
        <v>s1_node_battle_64_4</v>
      </c>
      <c r="B982" s="0" t="s">
        <v>0</v>
      </c>
      <c r="C982" s="0" t="s">
        <v>26</v>
      </c>
      <c r="D982" s="0" t="s">
        <v>106</v>
      </c>
      <c r="E982" s="0" t="str">
        <f>"s1_node_"&amp;D982&amp;"_name"</f>
        <v>s1_node_battle_name</v>
      </c>
      <c r="F982" s="13" t="str">
        <f>"s1_node_"&amp;D982&amp;"_desc"</f>
        <v>s1_node_battle_desc</v>
      </c>
      <c r="G982" s="0" t="s">
        <v>795</v>
      </c>
      <c r="H982" s="0">
        <v>4</v>
      </c>
      <c r="I982" s="0" t="s">
        <v>27</v>
      </c>
      <c r="J982" s="0" t="s">
        <v>346</v>
      </c>
      <c r="K982" s="0">
        <v>2650</v>
      </c>
      <c r="L982" s="13">
        <v>3</v>
      </c>
      <c r="M982" s="0">
        <v>64</v>
      </c>
      <c r="N982" s="0">
        <v>4</v>
      </c>
      <c r="P982" s="0" t="s">
        <v>1047</v>
      </c>
      <c r="T982" s="0" t="str">
        <f>_xlfn.TEXTJOIN("_",TRUE,C982,"node_eff",D982,M982,N982)</f>
        <v>s1_node_eff_battle_64_4</v>
      </c>
    </row>
    <row r="983" spans="1:20" x14ac:dyDescent="0.45">
      <c r="A983" s="0" t="str">
        <f>_xlfn.TEXTJOIN("_",TRUE,C983,"node",D983,M983,N983)</f>
        <v>s1_node_battle_64_6</v>
      </c>
      <c r="B983" s="0" t="s">
        <v>0</v>
      </c>
      <c r="C983" s="0" t="s">
        <v>26</v>
      </c>
      <c r="D983" s="0" t="s">
        <v>106</v>
      </c>
      <c r="E983" s="0" t="str">
        <f>"s1_node_"&amp;D983&amp;"_name"</f>
        <v>s1_node_battle_name</v>
      </c>
      <c r="F983" s="13" t="str">
        <f>"s1_node_"&amp;D983&amp;"_desc"</f>
        <v>s1_node_battle_desc</v>
      </c>
      <c r="G983" s="0" t="s">
        <v>795</v>
      </c>
      <c r="H983" s="0">
        <v>4</v>
      </c>
      <c r="I983" s="0" t="s">
        <v>27</v>
      </c>
      <c r="J983" s="0" t="s">
        <v>346</v>
      </c>
      <c r="K983" s="0">
        <v>2650</v>
      </c>
      <c r="L983" s="13">
        <v>3</v>
      </c>
      <c r="M983" s="0">
        <v>64</v>
      </c>
      <c r="N983" s="0">
        <v>6</v>
      </c>
      <c r="T983" s="0" t="str">
        <f>_xlfn.TEXTJOIN("_",TRUE,C983,"node_eff",D983,M983,N983)</f>
        <v>s1_node_eff_battle_64_6</v>
      </c>
    </row>
    <row r="984" spans="1:20" x14ac:dyDescent="0.45">
      <c r="A984" s="0" t="str">
        <f>_xlfn.TEXTJOIN("_",TRUE,C984,"node",D984,M984,N984)</f>
        <v>s1_node_battle_65_2</v>
      </c>
      <c r="B984" s="0" t="s">
        <v>0</v>
      </c>
      <c r="C984" s="0" t="s">
        <v>26</v>
      </c>
      <c r="D984" s="0" t="s">
        <v>106</v>
      </c>
      <c r="E984" s="0" t="str">
        <f>"s1_node_"&amp;D984&amp;"_name"</f>
        <v>s1_node_battle_name</v>
      </c>
      <c r="F984" s="13" t="str">
        <f>"s1_node_"&amp;D984&amp;"_desc"</f>
        <v>s1_node_battle_desc</v>
      </c>
      <c r="G984" s="0" t="s">
        <v>795</v>
      </c>
      <c r="H984" s="0">
        <v>4</v>
      </c>
      <c r="I984" s="0" t="s">
        <v>27</v>
      </c>
      <c r="J984" s="0" t="s">
        <v>349</v>
      </c>
      <c r="K984" s="0">
        <v>2690</v>
      </c>
      <c r="L984" s="13">
        <v>3</v>
      </c>
      <c r="M984" s="0">
        <v>65</v>
      </c>
      <c r="N984" s="0">
        <v>2</v>
      </c>
      <c r="P984" s="0" t="s">
        <v>1048</v>
      </c>
      <c r="T984" s="0" t="str">
        <f>_xlfn.TEXTJOIN("_",TRUE,C984,"node_eff",D984,M984,N984)</f>
        <v>s1_node_eff_battle_65_2</v>
      </c>
    </row>
    <row r="985" spans="1:20" x14ac:dyDescent="0.45">
      <c r="A985" s="0" t="str">
        <f>_xlfn.TEXTJOIN("_",TRUE,C985,"node",D985,M985,N985)</f>
        <v>s1_node_battle_65_6</v>
      </c>
      <c r="B985" s="0" t="s">
        <v>0</v>
      </c>
      <c r="C985" s="0" t="s">
        <v>26</v>
      </c>
      <c r="D985" s="0" t="s">
        <v>106</v>
      </c>
      <c r="E985" s="0" t="str">
        <f>"s1_node_"&amp;D985&amp;"_name"</f>
        <v>s1_node_battle_name</v>
      </c>
      <c r="F985" s="13" t="str">
        <f>"s1_node_"&amp;D985&amp;"_desc"</f>
        <v>s1_node_battle_desc</v>
      </c>
      <c r="G985" s="0" t="s">
        <v>795</v>
      </c>
      <c r="H985" s="0">
        <v>4</v>
      </c>
      <c r="I985" s="0" t="s">
        <v>27</v>
      </c>
      <c r="J985" s="0" t="s">
        <v>349</v>
      </c>
      <c r="K985" s="0">
        <v>2690</v>
      </c>
      <c r="L985" s="13">
        <v>3</v>
      </c>
      <c r="M985" s="0">
        <v>65</v>
      </c>
      <c r="N985" s="0">
        <v>6</v>
      </c>
      <c r="P985" s="0" t="s">
        <v>1049</v>
      </c>
      <c r="T985" s="0" t="str">
        <f>_xlfn.TEXTJOIN("_",TRUE,C985,"node_eff",D985,M985,N985)</f>
        <v>s1_node_eff_battle_65_6</v>
      </c>
    </row>
    <row r="986" spans="1:20" x14ac:dyDescent="0.45">
      <c r="A986" s="0" t="str">
        <f>_xlfn.TEXTJOIN("_",TRUE,C986,"node",D986,M986,N986)</f>
        <v>s1_node_battle_66_4</v>
      </c>
      <c r="B986" s="0" t="s">
        <v>0</v>
      </c>
      <c r="C986" s="0" t="s">
        <v>26</v>
      </c>
      <c r="D986" s="0" t="s">
        <v>106</v>
      </c>
      <c r="E986" s="0" t="str">
        <f>"s1_node_"&amp;D986&amp;"_name"</f>
        <v>s1_node_battle_name</v>
      </c>
      <c r="F986" s="13" t="str">
        <f>"s1_node_"&amp;D986&amp;"_desc"</f>
        <v>s1_node_battle_desc</v>
      </c>
      <c r="G986" s="0" t="s">
        <v>795</v>
      </c>
      <c r="H986" s="0">
        <v>4</v>
      </c>
      <c r="I986" s="0" t="s">
        <v>27</v>
      </c>
      <c r="J986" s="0" t="s">
        <v>730</v>
      </c>
      <c r="K986" s="0">
        <v>2730</v>
      </c>
      <c r="L986" s="13">
        <v>3</v>
      </c>
      <c r="M986" s="0">
        <v>66</v>
      </c>
      <c r="N986" s="0">
        <v>4</v>
      </c>
      <c r="P986" s="0" t="s">
        <v>1050</v>
      </c>
      <c r="T986" s="0" t="str">
        <f>_xlfn.TEXTJOIN("_",TRUE,C986,"node_eff",D986,M986,N986)</f>
        <v>s1_node_eff_battle_66_4</v>
      </c>
    </row>
    <row r="987" spans="1:20" x14ac:dyDescent="0.45">
      <c r="A987" s="0" t="str">
        <f>_xlfn.TEXTJOIN("_",TRUE,C987,"node",D987,M987,N987)</f>
        <v>s1_node_battle_67_2</v>
      </c>
      <c r="B987" s="0" t="s">
        <v>0</v>
      </c>
      <c r="C987" s="0" t="s">
        <v>26</v>
      </c>
      <c r="D987" s="0" t="s">
        <v>106</v>
      </c>
      <c r="E987" s="0" t="str">
        <f>"s1_node_"&amp;D987&amp;"_name"</f>
        <v>s1_node_battle_name</v>
      </c>
      <c r="F987" s="13" t="str">
        <f>"s1_node_"&amp;D987&amp;"_desc"</f>
        <v>s1_node_battle_desc</v>
      </c>
      <c r="G987" s="0" t="s">
        <v>795</v>
      </c>
      <c r="H987" s="0">
        <v>4</v>
      </c>
      <c r="I987" s="0" t="s">
        <v>27</v>
      </c>
      <c r="J987" s="0" t="s">
        <v>1051</v>
      </c>
      <c r="K987" s="0">
        <v>2770</v>
      </c>
      <c r="L987" s="13">
        <v>3</v>
      </c>
      <c r="M987" s="0">
        <v>67</v>
      </c>
      <c r="N987" s="0">
        <v>2</v>
      </c>
      <c r="T987" s="0" t="str">
        <f>_xlfn.TEXTJOIN("_",TRUE,C987,"node_eff",D987,M987,N987)</f>
        <v>s1_node_eff_battle_67_2</v>
      </c>
    </row>
    <row r="988" spans="1:20" x14ac:dyDescent="0.45">
      <c r="A988" s="0" t="str">
        <f>_xlfn.TEXTJOIN("_",TRUE,C988,"node",D988,M988,N988)</f>
        <v>s1_node_battle_67_4</v>
      </c>
      <c r="B988" s="0" t="s">
        <v>0</v>
      </c>
      <c r="C988" s="0" t="s">
        <v>26</v>
      </c>
      <c r="D988" s="0" t="s">
        <v>106</v>
      </c>
      <c r="E988" s="0" t="str">
        <f>"s1_node_"&amp;D988&amp;"_name"</f>
        <v>s1_node_battle_name</v>
      </c>
      <c r="F988" s="13" t="str">
        <f>"s1_node_"&amp;D988&amp;"_desc"</f>
        <v>s1_node_battle_desc</v>
      </c>
      <c r="G988" s="0" t="s">
        <v>795</v>
      </c>
      <c r="H988" s="0">
        <v>4</v>
      </c>
      <c r="I988" s="0" t="s">
        <v>27</v>
      </c>
      <c r="J988" s="0" t="s">
        <v>1051</v>
      </c>
      <c r="K988" s="0">
        <v>2770</v>
      </c>
      <c r="L988" s="13">
        <v>3</v>
      </c>
      <c r="M988" s="0">
        <v>67</v>
      </c>
      <c r="N988" s="0">
        <v>4</v>
      </c>
      <c r="T988" s="0" t="str">
        <f>_xlfn.TEXTJOIN("_",TRUE,C988,"node_eff",D988,M988,N988)</f>
        <v>s1_node_eff_battle_67_4</v>
      </c>
    </row>
    <row r="989" spans="1:20" x14ac:dyDescent="0.45">
      <c r="A989" s="0" t="str">
        <f>_xlfn.TEXTJOIN("_",TRUE,C989,"node",D989,M989,N989)</f>
        <v>s1_node_battle_67_6</v>
      </c>
      <c r="B989" s="0" t="s">
        <v>0</v>
      </c>
      <c r="C989" s="0" t="s">
        <v>26</v>
      </c>
      <c r="D989" s="0" t="s">
        <v>106</v>
      </c>
      <c r="E989" s="0" t="str">
        <f>"s1_node_"&amp;D989&amp;"_name"</f>
        <v>s1_node_battle_name</v>
      </c>
      <c r="F989" s="13" t="str">
        <f>"s1_node_"&amp;D989&amp;"_desc"</f>
        <v>s1_node_battle_desc</v>
      </c>
      <c r="G989" s="0" t="s">
        <v>795</v>
      </c>
      <c r="H989" s="0">
        <v>4</v>
      </c>
      <c r="I989" s="0" t="s">
        <v>27</v>
      </c>
      <c r="J989" s="0" t="s">
        <v>1051</v>
      </c>
      <c r="K989" s="0">
        <v>2770</v>
      </c>
      <c r="L989" s="13">
        <v>3</v>
      </c>
      <c r="M989" s="0">
        <v>67</v>
      </c>
      <c r="N989" s="0">
        <v>6</v>
      </c>
      <c r="T989" s="0" t="str">
        <f>_xlfn.TEXTJOIN("_",TRUE,C989,"node_eff",D989,M989,N989)</f>
        <v>s1_node_eff_battle_67_6</v>
      </c>
    </row>
    <row r="990" spans="1:20" x14ac:dyDescent="0.45">
      <c r="A990" s="0" t="str">
        <f>_xlfn.TEXTJOIN("_",TRUE,C990,"node",D990,M990,N990)</f>
        <v>s1_node_battle_68_2</v>
      </c>
      <c r="B990" s="0" t="s">
        <v>0</v>
      </c>
      <c r="C990" s="0" t="s">
        <v>26</v>
      </c>
      <c r="D990" s="0" t="s">
        <v>106</v>
      </c>
      <c r="E990" s="0" t="str">
        <f>"s1_node_"&amp;D990&amp;"_name"</f>
        <v>s1_node_battle_name</v>
      </c>
      <c r="F990" s="13" t="str">
        <f>"s1_node_"&amp;D990&amp;"_desc"</f>
        <v>s1_node_battle_desc</v>
      </c>
      <c r="G990" s="0" t="s">
        <v>795</v>
      </c>
      <c r="H990" s="0">
        <v>4</v>
      </c>
      <c r="I990" s="0" t="s">
        <v>27</v>
      </c>
      <c r="J990" s="0" t="s">
        <v>1052</v>
      </c>
      <c r="K990" s="0">
        <v>2810</v>
      </c>
      <c r="L990" s="13">
        <v>3</v>
      </c>
      <c r="M990" s="0">
        <v>68</v>
      </c>
      <c r="N990" s="0">
        <v>2</v>
      </c>
      <c r="P990" s="0" t="s">
        <v>1053</v>
      </c>
      <c r="T990" s="0" t="str">
        <f>_xlfn.TEXTJOIN("_",TRUE,C990,"node_eff",D990,M990,N990)</f>
        <v>s1_node_eff_battle_68_2</v>
      </c>
    </row>
    <row r="991" spans="1:20" x14ac:dyDescent="0.45">
      <c r="A991" s="0" t="str">
        <f>_xlfn.TEXTJOIN("_",TRUE,C991,"node",D991,M991,N991)</f>
        <v>s1_node_battle_68_6</v>
      </c>
      <c r="B991" s="0" t="s">
        <v>0</v>
      </c>
      <c r="C991" s="0" t="s">
        <v>26</v>
      </c>
      <c r="D991" s="0" t="s">
        <v>106</v>
      </c>
      <c r="E991" s="0" t="str">
        <f>"s1_node_"&amp;D991&amp;"_name"</f>
        <v>s1_node_battle_name</v>
      </c>
      <c r="F991" s="13" t="str">
        <f>"s1_node_"&amp;D991&amp;"_desc"</f>
        <v>s1_node_battle_desc</v>
      </c>
      <c r="G991" s="0" t="s">
        <v>795</v>
      </c>
      <c r="H991" s="0">
        <v>4</v>
      </c>
      <c r="I991" s="0" t="s">
        <v>27</v>
      </c>
      <c r="J991" s="0" t="s">
        <v>1052</v>
      </c>
      <c r="K991" s="0">
        <v>2810</v>
      </c>
      <c r="L991" s="13">
        <v>3</v>
      </c>
      <c r="M991" s="0">
        <v>68</v>
      </c>
      <c r="N991" s="0">
        <v>6</v>
      </c>
      <c r="P991" s="0" t="s">
        <v>1054</v>
      </c>
      <c r="T991" s="0" t="str">
        <f>_xlfn.TEXTJOIN("_",TRUE,C991,"node_eff",D991,M991,N991)</f>
        <v>s1_node_eff_battle_68_6</v>
      </c>
    </row>
    <row r="992" spans="1:20" x14ac:dyDescent="0.45">
      <c r="A992" s="0" t="str">
        <f>_xlfn.TEXTJOIN("_",TRUE,C992,"node",D992,M992,N992)</f>
        <v>s1_node_battle_69_2</v>
      </c>
      <c r="B992" s="0" t="s">
        <v>0</v>
      </c>
      <c r="C992" s="0" t="s">
        <v>26</v>
      </c>
      <c r="D992" s="0" t="s">
        <v>106</v>
      </c>
      <c r="E992" s="0" t="str">
        <f>"s1_node_"&amp;D992&amp;"_name"</f>
        <v>s1_node_battle_name</v>
      </c>
      <c r="F992" s="13" t="str">
        <f>"s1_node_"&amp;D992&amp;"_desc"</f>
        <v>s1_node_battle_desc</v>
      </c>
      <c r="G992" s="0" t="s">
        <v>795</v>
      </c>
      <c r="H992" s="0">
        <v>4</v>
      </c>
      <c r="I992" s="0" t="s">
        <v>27</v>
      </c>
      <c r="J992" s="0" t="s">
        <v>1055</v>
      </c>
      <c r="K992" s="0">
        <v>2850</v>
      </c>
      <c r="L992" s="13">
        <v>3</v>
      </c>
      <c r="M992" s="0">
        <v>69</v>
      </c>
      <c r="N992" s="0">
        <v>2</v>
      </c>
      <c r="T992" s="0" t="str">
        <f>_xlfn.TEXTJOIN("_",TRUE,C992,"node_eff",D992,M992,N992)</f>
        <v>s1_node_eff_battle_69_2</v>
      </c>
    </row>
    <row r="993" spans="1:20" x14ac:dyDescent="0.45">
      <c r="A993" s="0" t="str">
        <f>_xlfn.TEXTJOIN("_",TRUE,C993,"node",D993,M993,N993)</f>
        <v>s1_node_battle_69_4</v>
      </c>
      <c r="B993" s="0" t="s">
        <v>0</v>
      </c>
      <c r="C993" s="0" t="s">
        <v>26</v>
      </c>
      <c r="D993" s="0" t="s">
        <v>106</v>
      </c>
      <c r="E993" s="0" t="str">
        <f>"s1_node_"&amp;D993&amp;"_name"</f>
        <v>s1_node_battle_name</v>
      </c>
      <c r="F993" s="13" t="str">
        <f>"s1_node_"&amp;D993&amp;"_desc"</f>
        <v>s1_node_battle_desc</v>
      </c>
      <c r="G993" s="0" t="s">
        <v>149</v>
      </c>
      <c r="H993" s="0">
        <v>4</v>
      </c>
      <c r="I993" s="0" t="s">
        <v>27</v>
      </c>
      <c r="J993" s="0" t="s">
        <v>1055</v>
      </c>
      <c r="K993" s="0">
        <v>2850</v>
      </c>
      <c r="L993" s="13">
        <v>3</v>
      </c>
      <c r="M993" s="0">
        <v>69</v>
      </c>
      <c r="N993" s="0">
        <v>4</v>
      </c>
      <c r="P993" s="0" t="s">
        <v>1056</v>
      </c>
      <c r="T993" s="0" t="str">
        <f>_xlfn.TEXTJOIN("_",TRUE,C993,"node_eff",D993,M993,N993)</f>
        <v>s1_node_eff_battle_69_4</v>
      </c>
    </row>
    <row r="994" spans="1:20" x14ac:dyDescent="0.45">
      <c r="A994" s="0" t="str">
        <f>_xlfn.TEXTJOIN("_",TRUE,C994,"node",D994,M994,N994)</f>
        <v>s1_node_battle_69_6</v>
      </c>
      <c r="B994" s="0" t="s">
        <v>0</v>
      </c>
      <c r="C994" s="0" t="s">
        <v>26</v>
      </c>
      <c r="D994" s="0" t="s">
        <v>106</v>
      </c>
      <c r="E994" s="0" t="str">
        <f>"s1_node_"&amp;D994&amp;"_name"</f>
        <v>s1_node_battle_name</v>
      </c>
      <c r="F994" s="13" t="str">
        <f>"s1_node_"&amp;D994&amp;"_desc"</f>
        <v>s1_node_battle_desc</v>
      </c>
      <c r="G994" s="0" t="s">
        <v>419</v>
      </c>
      <c r="H994" s="0">
        <v>4</v>
      </c>
      <c r="I994" s="0" t="s">
        <v>27</v>
      </c>
      <c r="J994" s="0" t="s">
        <v>1055</v>
      </c>
      <c r="K994" s="0">
        <v>2850</v>
      </c>
      <c r="L994" s="13">
        <v>3</v>
      </c>
      <c r="M994" s="0">
        <v>69</v>
      </c>
      <c r="N994" s="0">
        <v>6</v>
      </c>
      <c r="T994" s="0" t="str">
        <f>_xlfn.TEXTJOIN("_",TRUE,C994,"node_eff",D994,M994,N994)</f>
        <v>s1_node_eff_battle_69_6</v>
      </c>
    </row>
    <row r="995" spans="1:20" x14ac:dyDescent="0.45">
      <c r="A995" s="0" t="str">
        <f>_xlfn.TEXTJOIN("_",TRUE,C995,"node",D995,M995,N995)</f>
        <v>s1_node_battle_70_2</v>
      </c>
      <c r="B995" s="0" t="s">
        <v>0</v>
      </c>
      <c r="C995" s="0" t="s">
        <v>26</v>
      </c>
      <c r="D995" s="0" t="s">
        <v>106</v>
      </c>
      <c r="E995" s="0" t="str">
        <f>"s1_node_"&amp;D995&amp;"_name"</f>
        <v>s1_node_battle_name</v>
      </c>
      <c r="F995" s="13" t="str">
        <f>"s1_node_"&amp;D995&amp;"_desc"</f>
        <v>s1_node_battle_desc</v>
      </c>
      <c r="G995" s="0" t="s">
        <v>419</v>
      </c>
      <c r="H995" s="0">
        <v>4</v>
      </c>
      <c r="I995" s="0" t="s">
        <v>27</v>
      </c>
      <c r="J995" s="0" t="s">
        <v>738</v>
      </c>
      <c r="K995" s="0">
        <v>2880</v>
      </c>
      <c r="L995" s="13">
        <v>3</v>
      </c>
      <c r="M995" s="0">
        <v>70</v>
      </c>
      <c r="N995" s="0">
        <v>2</v>
      </c>
      <c r="P995" s="0" t="s">
        <v>1057</v>
      </c>
      <c r="T995" s="0" t="str">
        <f>_xlfn.TEXTJOIN("_",TRUE,C995,"node_eff",D995,M995,N995)</f>
        <v>s1_node_eff_battle_70_2</v>
      </c>
    </row>
    <row r="996" spans="1:20" x14ac:dyDescent="0.45">
      <c r="A996" s="0" t="str">
        <f>_xlfn.TEXTJOIN("_",TRUE,C996,"node",D996,M996,N996)</f>
        <v>s1_node_battle_70_6</v>
      </c>
      <c r="B996" s="0" t="s">
        <v>0</v>
      </c>
      <c r="C996" s="0" t="s">
        <v>26</v>
      </c>
      <c r="D996" s="0" t="s">
        <v>106</v>
      </c>
      <c r="E996" s="0" t="str">
        <f>"s1_node_"&amp;D996&amp;"_name"</f>
        <v>s1_node_battle_name</v>
      </c>
      <c r="F996" s="13" t="str">
        <f>"s1_node_"&amp;D996&amp;"_desc"</f>
        <v>s1_node_battle_desc</v>
      </c>
      <c r="G996" s="0" t="s">
        <v>795</v>
      </c>
      <c r="H996" s="0">
        <v>4</v>
      </c>
      <c r="I996" s="0" t="s">
        <v>27</v>
      </c>
      <c r="J996" s="0" t="s">
        <v>738</v>
      </c>
      <c r="K996" s="0">
        <v>2880</v>
      </c>
      <c r="L996" s="13">
        <v>3</v>
      </c>
      <c r="M996" s="0">
        <v>70</v>
      </c>
      <c r="N996" s="0">
        <v>6</v>
      </c>
      <c r="P996" s="0" t="s">
        <v>1058</v>
      </c>
      <c r="T996" s="0" t="str">
        <f>_xlfn.TEXTJOIN("_",TRUE,C996,"node_eff",D996,M996,N996)</f>
        <v>s1_node_eff_battle_70_6</v>
      </c>
    </row>
    <row r="997" spans="1:20" x14ac:dyDescent="0.45">
      <c r="A997" s="0" t="str">
        <f>_xlfn.TEXTJOIN("_",TRUE,C997,"node",D997,M997,N997)</f>
        <v>s1_node_battle_71_4</v>
      </c>
      <c r="B997" s="0" t="s">
        <v>0</v>
      </c>
      <c r="C997" s="0" t="s">
        <v>26</v>
      </c>
      <c r="D997" s="0" t="s">
        <v>106</v>
      </c>
      <c r="E997" s="0" t="str">
        <f>"s1_node_"&amp;D997&amp;"_name"</f>
        <v>s1_node_battle_name</v>
      </c>
      <c r="F997" s="13" t="str">
        <f>"s1_node_"&amp;D997&amp;"_desc"</f>
        <v>s1_node_battle_desc</v>
      </c>
      <c r="G997" s="0" t="s">
        <v>795</v>
      </c>
      <c r="H997" s="0">
        <v>4</v>
      </c>
      <c r="I997" s="0" t="s">
        <v>27</v>
      </c>
      <c r="J997" s="0" t="s">
        <v>1059</v>
      </c>
      <c r="K997" s="0">
        <v>2920</v>
      </c>
      <c r="L997" s="13">
        <v>3</v>
      </c>
      <c r="M997" s="0">
        <v>71</v>
      </c>
      <c r="N997" s="0">
        <v>4</v>
      </c>
      <c r="P997" s="0" t="s">
        <v>1060</v>
      </c>
      <c r="T997" s="0" t="str">
        <f>_xlfn.TEXTJOIN("_",TRUE,C997,"node_eff",D997,M997,N997)</f>
        <v>s1_node_eff_battle_71_4</v>
      </c>
    </row>
    <row r="998" spans="1:20" x14ac:dyDescent="0.45">
      <c r="A998" s="0" t="str">
        <f>_xlfn.TEXTJOIN("_",TRUE,C998,"node",D998,M998,N998)</f>
        <v>s1_node_battle_72_2</v>
      </c>
      <c r="B998" s="0" t="s">
        <v>0</v>
      </c>
      <c r="C998" s="0" t="s">
        <v>26</v>
      </c>
      <c r="D998" s="0" t="s">
        <v>106</v>
      </c>
      <c r="E998" s="0" t="str">
        <f>"s1_node_"&amp;D998&amp;"_name"</f>
        <v>s1_node_battle_name</v>
      </c>
      <c r="F998" s="13" t="str">
        <f>"s1_node_"&amp;D998&amp;"_desc"</f>
        <v>s1_node_battle_desc</v>
      </c>
      <c r="G998" s="0" t="s">
        <v>795</v>
      </c>
      <c r="H998" s="0">
        <v>4</v>
      </c>
      <c r="I998" s="0" t="s">
        <v>27</v>
      </c>
      <c r="J998" s="0" t="s">
        <v>371</v>
      </c>
      <c r="K998" s="0">
        <v>2960</v>
      </c>
      <c r="L998" s="13">
        <v>3</v>
      </c>
      <c r="M998" s="0">
        <v>72</v>
      </c>
      <c r="N998" s="0">
        <v>2</v>
      </c>
      <c r="T998" s="0" t="str">
        <f>_xlfn.TEXTJOIN("_",TRUE,C998,"node_eff",D998,M998,N998)</f>
        <v>s1_node_eff_battle_72_2</v>
      </c>
    </row>
    <row r="999" spans="1:20" x14ac:dyDescent="0.45">
      <c r="A999" s="0" t="str">
        <f>_xlfn.TEXTJOIN("_",TRUE,C999,"node",D999,M999,N999)</f>
        <v>s1_node_battle_72_4</v>
      </c>
      <c r="B999" s="0" t="s">
        <v>0</v>
      </c>
      <c r="C999" s="0" t="s">
        <v>26</v>
      </c>
      <c r="D999" s="0" t="s">
        <v>106</v>
      </c>
      <c r="E999" s="0" t="str">
        <f>"s1_node_"&amp;D999&amp;"_name"</f>
        <v>s1_node_battle_name</v>
      </c>
      <c r="F999" s="13" t="str">
        <f>"s1_node_"&amp;D999&amp;"_desc"</f>
        <v>s1_node_battle_desc</v>
      </c>
      <c r="G999" s="0" t="s">
        <v>795</v>
      </c>
      <c r="H999" s="0">
        <v>4</v>
      </c>
      <c r="I999" s="0" t="s">
        <v>27</v>
      </c>
      <c r="J999" s="0" t="s">
        <v>371</v>
      </c>
      <c r="K999" s="0">
        <v>2960</v>
      </c>
      <c r="L999" s="13">
        <v>3</v>
      </c>
      <c r="M999" s="0">
        <v>72</v>
      </c>
      <c r="N999" s="0">
        <v>4</v>
      </c>
      <c r="T999" s="0" t="str">
        <f>_xlfn.TEXTJOIN("_",TRUE,C999,"node_eff",D999,M999,N999)</f>
        <v>s1_node_eff_battle_72_4</v>
      </c>
    </row>
    <row r="1000" spans="1:20" x14ac:dyDescent="0.45">
      <c r="A1000" s="0" t="str">
        <f>_xlfn.TEXTJOIN("_",TRUE,C1000,"node",D1000,M1000,N1000)</f>
        <v>s1_node_battle_72_6</v>
      </c>
      <c r="B1000" s="0" t="s">
        <v>0</v>
      </c>
      <c r="C1000" s="0" t="s">
        <v>26</v>
      </c>
      <c r="D1000" s="0" t="s">
        <v>106</v>
      </c>
      <c r="E1000" s="0" t="str">
        <f>"s1_node_"&amp;D1000&amp;"_name"</f>
        <v>s1_node_battle_name</v>
      </c>
      <c r="F1000" s="13" t="str">
        <f>"s1_node_"&amp;D1000&amp;"_desc"</f>
        <v>s1_node_battle_desc</v>
      </c>
      <c r="G1000" s="0" t="s">
        <v>795</v>
      </c>
      <c r="H1000" s="0">
        <v>4</v>
      </c>
      <c r="I1000" s="0" t="s">
        <v>27</v>
      </c>
      <c r="J1000" s="0" t="s">
        <v>371</v>
      </c>
      <c r="K1000" s="0">
        <v>2960</v>
      </c>
      <c r="L1000" s="13">
        <v>3</v>
      </c>
      <c r="M1000" s="0">
        <v>72</v>
      </c>
      <c r="N1000" s="0">
        <v>6</v>
      </c>
      <c r="T1000" s="0" t="str">
        <f>_xlfn.TEXTJOIN("_",TRUE,C1000,"node_eff",D1000,M1000,N1000)</f>
        <v>s1_node_eff_battle_72_6</v>
      </c>
    </row>
    <row r="1001" spans="1:20" x14ac:dyDescent="0.45">
      <c r="A1001" s="0" t="str">
        <f>_xlfn.TEXTJOIN("_",TRUE,C1001,"node",D1001,M1001,N1001)</f>
        <v>s1_node_battle_73_2</v>
      </c>
      <c r="B1001" s="0" t="s">
        <v>0</v>
      </c>
      <c r="C1001" s="0" t="s">
        <v>26</v>
      </c>
      <c r="D1001" s="0" t="s">
        <v>106</v>
      </c>
      <c r="E1001" s="0" t="str">
        <f>"s1_node_"&amp;D1001&amp;"_name"</f>
        <v>s1_node_battle_name</v>
      </c>
      <c r="F1001" s="13" t="str">
        <f>"s1_node_"&amp;D1001&amp;"_desc"</f>
        <v>s1_node_battle_desc</v>
      </c>
      <c r="G1001" s="0" t="s">
        <v>795</v>
      </c>
      <c r="H1001" s="0">
        <v>4</v>
      </c>
      <c r="I1001" s="0" t="s">
        <v>27</v>
      </c>
      <c r="J1001" s="0" t="s">
        <v>374</v>
      </c>
      <c r="K1001" s="0">
        <v>3000</v>
      </c>
      <c r="L1001" s="13">
        <v>3</v>
      </c>
      <c r="M1001" s="0">
        <v>73</v>
      </c>
      <c r="N1001" s="0">
        <v>2</v>
      </c>
      <c r="P1001" s="0" t="s">
        <v>1061</v>
      </c>
      <c r="T1001" s="0" t="str">
        <f>_xlfn.TEXTJOIN("_",TRUE,C1001,"node_eff",D1001,M1001,N1001)</f>
        <v>s1_node_eff_battle_73_2</v>
      </c>
    </row>
    <row r="1002" spans="1:20" x14ac:dyDescent="0.45">
      <c r="A1002" s="0" t="str">
        <f>_xlfn.TEXTJOIN("_",TRUE,C1002,"node",D1002,M1002,N1002)</f>
        <v>s1_node_battle_73_6</v>
      </c>
      <c r="B1002" s="0" t="s">
        <v>0</v>
      </c>
      <c r="C1002" s="0" t="s">
        <v>26</v>
      </c>
      <c r="D1002" s="0" t="s">
        <v>106</v>
      </c>
      <c r="E1002" s="0" t="str">
        <f>"s1_node_"&amp;D1002&amp;"_name"</f>
        <v>s1_node_battle_name</v>
      </c>
      <c r="F1002" s="13" t="str">
        <f>"s1_node_"&amp;D1002&amp;"_desc"</f>
        <v>s1_node_battle_desc</v>
      </c>
      <c r="G1002" s="0" t="s">
        <v>795</v>
      </c>
      <c r="H1002" s="0">
        <v>4</v>
      </c>
      <c r="I1002" s="0" t="s">
        <v>27</v>
      </c>
      <c r="J1002" s="0" t="s">
        <v>374</v>
      </c>
      <c r="K1002" s="0">
        <v>3000</v>
      </c>
      <c r="L1002" s="13">
        <v>3</v>
      </c>
      <c r="M1002" s="0">
        <v>73</v>
      </c>
      <c r="N1002" s="0">
        <v>6</v>
      </c>
      <c r="P1002" s="0" t="s">
        <v>1062</v>
      </c>
      <c r="T1002" s="0" t="str">
        <f>_xlfn.TEXTJOIN("_",TRUE,C1002,"node_eff",D1002,M1002,N1002)</f>
        <v>s1_node_eff_battle_73_6</v>
      </c>
    </row>
    <row r="1003" spans="1:20" x14ac:dyDescent="0.45">
      <c r="A1003" s="0" t="str">
        <f>_xlfn.TEXTJOIN("_",TRUE,C1003,"node",D1003,M1003,N1003)</f>
        <v>s1_node_battle_74_2</v>
      </c>
      <c r="B1003" s="0" t="s">
        <v>0</v>
      </c>
      <c r="C1003" s="0" t="s">
        <v>26</v>
      </c>
      <c r="D1003" s="0" t="s">
        <v>106</v>
      </c>
      <c r="E1003" s="0" t="str">
        <f>"s1_node_"&amp;D1003&amp;"_name"</f>
        <v>s1_node_battle_name</v>
      </c>
      <c r="F1003" s="13" t="str">
        <f>"s1_node_"&amp;D1003&amp;"_desc"</f>
        <v>s1_node_battle_desc</v>
      </c>
      <c r="G1003" s="0" t="s">
        <v>795</v>
      </c>
      <c r="H1003" s="0">
        <v>4</v>
      </c>
      <c r="I1003" s="0" t="s">
        <v>27</v>
      </c>
      <c r="J1003" s="0" t="s">
        <v>574</v>
      </c>
      <c r="K1003" s="0">
        <v>3040</v>
      </c>
      <c r="L1003" s="13">
        <v>3</v>
      </c>
      <c r="M1003" s="0">
        <v>74</v>
      </c>
      <c r="N1003" s="0">
        <v>2</v>
      </c>
      <c r="T1003" s="0" t="str">
        <f>_xlfn.TEXTJOIN("_",TRUE,C1003,"node_eff",D1003,M1003,N1003)</f>
        <v>s1_node_eff_battle_74_2</v>
      </c>
    </row>
    <row r="1004" spans="1:20" x14ac:dyDescent="0.45">
      <c r="A1004" s="0" t="str">
        <f>_xlfn.TEXTJOIN("_",TRUE,C1004,"node",D1004,M1004,N1004)</f>
        <v>s1_node_battle_74_4</v>
      </c>
      <c r="B1004" s="0" t="s">
        <v>0</v>
      </c>
      <c r="C1004" s="0" t="s">
        <v>26</v>
      </c>
      <c r="D1004" s="0" t="s">
        <v>106</v>
      </c>
      <c r="E1004" s="0" t="str">
        <f>"s1_node_"&amp;D1004&amp;"_name"</f>
        <v>s1_node_battle_name</v>
      </c>
      <c r="F1004" s="13" t="str">
        <f>"s1_node_"&amp;D1004&amp;"_desc"</f>
        <v>s1_node_battle_desc</v>
      </c>
      <c r="G1004" s="0" t="s">
        <v>795</v>
      </c>
      <c r="H1004" s="0">
        <v>4</v>
      </c>
      <c r="I1004" s="0" t="s">
        <v>27</v>
      </c>
      <c r="J1004" s="0" t="s">
        <v>574</v>
      </c>
      <c r="K1004" s="0">
        <v>3040</v>
      </c>
      <c r="L1004" s="13">
        <v>3</v>
      </c>
      <c r="M1004" s="0">
        <v>74</v>
      </c>
      <c r="N1004" s="0">
        <v>4</v>
      </c>
      <c r="P1004" s="0" t="s">
        <v>1063</v>
      </c>
      <c r="T1004" s="0" t="str">
        <f>_xlfn.TEXTJOIN("_",TRUE,C1004,"node_eff",D1004,M1004,N1004)</f>
        <v>s1_node_eff_battle_74_4</v>
      </c>
    </row>
    <row r="1005" spans="1:20" x14ac:dyDescent="0.45">
      <c r="A1005" s="0" t="str">
        <f>_xlfn.TEXTJOIN("_",TRUE,C1005,"node",D1005,M1005,N1005)</f>
        <v>s1_node_battle_74_6</v>
      </c>
      <c r="B1005" s="0" t="s">
        <v>0</v>
      </c>
      <c r="C1005" s="0" t="s">
        <v>26</v>
      </c>
      <c r="D1005" s="0" t="s">
        <v>106</v>
      </c>
      <c r="E1005" s="0" t="str">
        <f>"s1_node_"&amp;D1005&amp;"_name"</f>
        <v>s1_node_battle_name</v>
      </c>
      <c r="F1005" s="13" t="str">
        <f>"s1_node_"&amp;D1005&amp;"_desc"</f>
        <v>s1_node_battle_desc</v>
      </c>
      <c r="G1005" s="0" t="s">
        <v>795</v>
      </c>
      <c r="H1005" s="0">
        <v>4</v>
      </c>
      <c r="I1005" s="0" t="s">
        <v>27</v>
      </c>
      <c r="J1005" s="0" t="s">
        <v>574</v>
      </c>
      <c r="K1005" s="0">
        <v>3040</v>
      </c>
      <c r="L1005" s="13">
        <v>3</v>
      </c>
      <c r="M1005" s="0">
        <v>74</v>
      </c>
      <c r="N1005" s="0">
        <v>6</v>
      </c>
      <c r="T1005" s="0" t="str">
        <f>_xlfn.TEXTJOIN("_",TRUE,C1005,"node_eff",D1005,M1005,N1005)</f>
        <v>s1_node_eff_battle_74_6</v>
      </c>
    </row>
    <row r="1006" spans="1:20" x14ac:dyDescent="0.45">
      <c r="A1006" s="0" t="str">
        <f>_xlfn.TEXTJOIN("_",TRUE,C1006,"node",D1006,M1006,N1006)</f>
        <v>s1_node_battle_75_2</v>
      </c>
      <c r="B1006" s="0" t="s">
        <v>0</v>
      </c>
      <c r="C1006" s="0" t="s">
        <v>26</v>
      </c>
      <c r="D1006" s="0" t="s">
        <v>106</v>
      </c>
      <c r="E1006" s="0" t="str">
        <f>"s1_node_"&amp;D1006&amp;"_name"</f>
        <v>s1_node_battle_name</v>
      </c>
      <c r="F1006" s="13" t="str">
        <f>"s1_node_"&amp;D1006&amp;"_desc"</f>
        <v>s1_node_battle_desc</v>
      </c>
      <c r="G1006" s="0" t="s">
        <v>795</v>
      </c>
      <c r="H1006" s="0">
        <v>4</v>
      </c>
      <c r="I1006" s="0" t="s">
        <v>27</v>
      </c>
      <c r="J1006" s="0" t="s">
        <v>577</v>
      </c>
      <c r="K1006" s="0">
        <v>3080</v>
      </c>
      <c r="L1006" s="13">
        <v>3</v>
      </c>
      <c r="M1006" s="0">
        <v>75</v>
      </c>
      <c r="N1006" s="0">
        <v>2</v>
      </c>
      <c r="P1006" s="0" t="s">
        <v>1064</v>
      </c>
      <c r="T1006" s="0" t="str">
        <f>_xlfn.TEXTJOIN("_",TRUE,C1006,"node_eff",D1006,M1006,N1006)</f>
        <v>s1_node_eff_battle_75_2</v>
      </c>
    </row>
    <row r="1007" spans="1:20" x14ac:dyDescent="0.45">
      <c r="A1007" s="0" t="str">
        <f>_xlfn.TEXTJOIN("_",TRUE,C1007,"node",D1007,M1007,N1007)</f>
        <v>s1_node_battle_75_6</v>
      </c>
      <c r="B1007" s="0" t="s">
        <v>0</v>
      </c>
      <c r="C1007" s="0" t="s">
        <v>26</v>
      </c>
      <c r="D1007" s="0" t="s">
        <v>106</v>
      </c>
      <c r="E1007" s="0" t="str">
        <f>"s1_node_"&amp;D1007&amp;"_name"</f>
        <v>s1_node_battle_name</v>
      </c>
      <c r="F1007" s="13" t="str">
        <f>"s1_node_"&amp;D1007&amp;"_desc"</f>
        <v>s1_node_battle_desc</v>
      </c>
      <c r="G1007" s="0" t="s">
        <v>795</v>
      </c>
      <c r="H1007" s="0">
        <v>4</v>
      </c>
      <c r="I1007" s="0" t="s">
        <v>27</v>
      </c>
      <c r="J1007" s="0" t="s">
        <v>577</v>
      </c>
      <c r="K1007" s="0">
        <v>3080</v>
      </c>
      <c r="L1007" s="13">
        <v>3</v>
      </c>
      <c r="M1007" s="0">
        <v>75</v>
      </c>
      <c r="N1007" s="0">
        <v>6</v>
      </c>
      <c r="P1007" s="0" t="s">
        <v>1065</v>
      </c>
      <c r="T1007" s="0" t="str">
        <f>_xlfn.TEXTJOIN("_",TRUE,C1007,"node_eff",D1007,M1007,N1007)</f>
        <v>s1_node_eff_battle_75_6</v>
      </c>
    </row>
    <row r="1008" spans="1:20" x14ac:dyDescent="0.45">
      <c r="A1008" s="0" t="str">
        <f>_xlfn.TEXTJOIN("_",TRUE,C1008,"node",D1008,M1008,N1008)</f>
        <v>s1_node_battle_76_4</v>
      </c>
      <c r="B1008" s="0" t="s">
        <v>0</v>
      </c>
      <c r="C1008" s="0" t="s">
        <v>26</v>
      </c>
      <c r="D1008" s="0" t="s">
        <v>106</v>
      </c>
      <c r="E1008" s="0" t="str">
        <f>"s1_node_"&amp;D1008&amp;"_name"</f>
        <v>s1_node_battle_name</v>
      </c>
      <c r="F1008" s="13" t="str">
        <f>"s1_node_"&amp;D1008&amp;"_desc"</f>
        <v>s1_node_battle_desc</v>
      </c>
      <c r="G1008" s="0" t="s">
        <v>149</v>
      </c>
      <c r="H1008" s="0">
        <v>4</v>
      </c>
      <c r="I1008" s="0" t="s">
        <v>27</v>
      </c>
      <c r="J1008" s="0" t="s">
        <v>911</v>
      </c>
      <c r="K1008" s="0">
        <v>3120</v>
      </c>
      <c r="L1008" s="13">
        <v>3</v>
      </c>
      <c r="M1008" s="0">
        <v>76</v>
      </c>
      <c r="N1008" s="0">
        <v>4</v>
      </c>
      <c r="P1008" s="0" t="s">
        <v>1066</v>
      </c>
      <c r="T1008" s="0" t="str">
        <f>_xlfn.TEXTJOIN("_",TRUE,C1008,"node_eff",D1008,M1008,N1008)</f>
        <v>s1_node_eff_battle_76_4</v>
      </c>
    </row>
    <row r="1009" spans="1:20" x14ac:dyDescent="0.45">
      <c r="A1009" s="0" t="str">
        <f>_xlfn.TEXTJOIN("_",TRUE,C1009,"node",D1009,M1009,N1009)</f>
        <v>s1_node_battle_77_2</v>
      </c>
      <c r="B1009" s="0" t="s">
        <v>0</v>
      </c>
      <c r="C1009" s="0" t="s">
        <v>26</v>
      </c>
      <c r="D1009" s="0" t="s">
        <v>106</v>
      </c>
      <c r="E1009" s="0" t="str">
        <f>"s1_node_"&amp;D1009&amp;"_name"</f>
        <v>s1_node_battle_name</v>
      </c>
      <c r="F1009" s="13" t="str">
        <f>"s1_node_"&amp;D1009&amp;"_desc"</f>
        <v>s1_node_battle_desc</v>
      </c>
      <c r="G1009" s="0" t="s">
        <v>419</v>
      </c>
      <c r="H1009" s="0">
        <v>4</v>
      </c>
      <c r="I1009" s="0" t="s">
        <v>27</v>
      </c>
      <c r="J1009" s="0" t="s">
        <v>913</v>
      </c>
      <c r="K1009" s="0">
        <v>3160</v>
      </c>
      <c r="L1009" s="13">
        <v>3</v>
      </c>
      <c r="M1009" s="0">
        <v>77</v>
      </c>
      <c r="N1009" s="0">
        <v>2</v>
      </c>
      <c r="T1009" s="0" t="str">
        <f>_xlfn.TEXTJOIN("_",TRUE,C1009,"node_eff",D1009,M1009,N1009)</f>
        <v>s1_node_eff_battle_77_2</v>
      </c>
    </row>
    <row r="1010" spans="1:20" x14ac:dyDescent="0.45">
      <c r="A1010" s="0" t="str">
        <f>_xlfn.TEXTJOIN("_",TRUE,C1010,"node",D1010,M1010,N1010)</f>
        <v>s1_node_battle_77_4</v>
      </c>
      <c r="B1010" s="0" t="s">
        <v>0</v>
      </c>
      <c r="C1010" s="0" t="s">
        <v>26</v>
      </c>
      <c r="D1010" s="0" t="s">
        <v>106</v>
      </c>
      <c r="E1010" s="0" t="str">
        <f>"s1_node_"&amp;D1010&amp;"_name"</f>
        <v>s1_node_battle_name</v>
      </c>
      <c r="F1010" s="13" t="str">
        <f>"s1_node_"&amp;D1010&amp;"_desc"</f>
        <v>s1_node_battle_desc</v>
      </c>
      <c r="G1010" s="0" t="s">
        <v>419</v>
      </c>
      <c r="H1010" s="0">
        <v>4</v>
      </c>
      <c r="I1010" s="0" t="s">
        <v>27</v>
      </c>
      <c r="J1010" s="0" t="s">
        <v>913</v>
      </c>
      <c r="K1010" s="0">
        <v>3160</v>
      </c>
      <c r="L1010" s="13">
        <v>3</v>
      </c>
      <c r="M1010" s="0">
        <v>77</v>
      </c>
      <c r="N1010" s="0">
        <v>4</v>
      </c>
      <c r="T1010" s="0" t="str">
        <f>_xlfn.TEXTJOIN("_",TRUE,C1010,"node_eff",D1010,M1010,N1010)</f>
        <v>s1_node_eff_battle_77_4</v>
      </c>
    </row>
    <row r="1011" spans="1:20" x14ac:dyDescent="0.45">
      <c r="A1011" s="0" t="str">
        <f>_xlfn.TEXTJOIN("_",TRUE,C1011,"node",D1011,M1011,N1011)</f>
        <v>s1_node_battle_77_6</v>
      </c>
      <c r="B1011" s="0" t="s">
        <v>0</v>
      </c>
      <c r="C1011" s="0" t="s">
        <v>26</v>
      </c>
      <c r="D1011" s="0" t="s">
        <v>106</v>
      </c>
      <c r="E1011" s="0" t="str">
        <f>"s1_node_"&amp;D1011&amp;"_name"</f>
        <v>s1_node_battle_name</v>
      </c>
      <c r="F1011" s="13" t="str">
        <f>"s1_node_"&amp;D1011&amp;"_desc"</f>
        <v>s1_node_battle_desc</v>
      </c>
      <c r="G1011" s="0" t="s">
        <v>795</v>
      </c>
      <c r="H1011" s="0">
        <v>4</v>
      </c>
      <c r="I1011" s="0" t="s">
        <v>27</v>
      </c>
      <c r="J1011" s="0" t="s">
        <v>913</v>
      </c>
      <c r="K1011" s="0">
        <v>3160</v>
      </c>
      <c r="L1011" s="13">
        <v>3</v>
      </c>
      <c r="M1011" s="0">
        <v>77</v>
      </c>
      <c r="N1011" s="0">
        <v>6</v>
      </c>
      <c r="T1011" s="0" t="str">
        <f>_xlfn.TEXTJOIN("_",TRUE,C1011,"node_eff",D1011,M1011,N1011)</f>
        <v>s1_node_eff_battle_77_6</v>
      </c>
    </row>
    <row r="1012" spans="1:20" x14ac:dyDescent="0.45">
      <c r="A1012" s="0" t="str">
        <f>_xlfn.TEXTJOIN("_",TRUE,C1012,"node",D1012,M1012,N1012)</f>
        <v>s1_node_battle_78_2</v>
      </c>
      <c r="B1012" s="0" t="s">
        <v>0</v>
      </c>
      <c r="C1012" s="0" t="s">
        <v>26</v>
      </c>
      <c r="D1012" s="0" t="s">
        <v>106</v>
      </c>
      <c r="E1012" s="0" t="str">
        <f>"s1_node_"&amp;D1012&amp;"_name"</f>
        <v>s1_node_battle_name</v>
      </c>
      <c r="F1012" s="13" t="str">
        <f>"s1_node_"&amp;D1012&amp;"_desc"</f>
        <v>s1_node_battle_desc</v>
      </c>
      <c r="G1012" s="0" t="s">
        <v>795</v>
      </c>
      <c r="H1012" s="0">
        <v>4</v>
      </c>
      <c r="I1012" s="0" t="s">
        <v>27</v>
      </c>
      <c r="J1012" s="0" t="s">
        <v>916</v>
      </c>
      <c r="K1012" s="0">
        <v>3200</v>
      </c>
      <c r="L1012" s="13">
        <v>3</v>
      </c>
      <c r="M1012" s="0">
        <v>78</v>
      </c>
      <c r="N1012" s="0">
        <v>2</v>
      </c>
      <c r="P1012" s="0" t="s">
        <v>1067</v>
      </c>
      <c r="T1012" s="0" t="str">
        <f>_xlfn.TEXTJOIN("_",TRUE,C1012,"node_eff",D1012,M1012,N1012)</f>
        <v>s1_node_eff_battle_78_2</v>
      </c>
    </row>
    <row r="1013" spans="1:20" x14ac:dyDescent="0.45">
      <c r="A1013" s="0" t="str">
        <f>_xlfn.TEXTJOIN("_",TRUE,C1013,"node",D1013,M1013,N1013)</f>
        <v>s1_node_battle_78_6</v>
      </c>
      <c r="B1013" s="0" t="s">
        <v>0</v>
      </c>
      <c r="C1013" s="0" t="s">
        <v>26</v>
      </c>
      <c r="D1013" s="0" t="s">
        <v>106</v>
      </c>
      <c r="E1013" s="0" t="str">
        <f>"s1_node_"&amp;D1013&amp;"_name"</f>
        <v>s1_node_battle_name</v>
      </c>
      <c r="F1013" s="13" t="str">
        <f>"s1_node_"&amp;D1013&amp;"_desc"</f>
        <v>s1_node_battle_desc</v>
      </c>
      <c r="G1013" s="0" t="s">
        <v>795</v>
      </c>
      <c r="H1013" s="0">
        <v>4</v>
      </c>
      <c r="I1013" s="0" t="s">
        <v>27</v>
      </c>
      <c r="J1013" s="0" t="s">
        <v>916</v>
      </c>
      <c r="K1013" s="0">
        <v>3200</v>
      </c>
      <c r="L1013" s="13">
        <v>3</v>
      </c>
      <c r="M1013" s="0">
        <v>78</v>
      </c>
      <c r="N1013" s="0">
        <v>6</v>
      </c>
      <c r="P1013" s="0" t="s">
        <v>1068</v>
      </c>
      <c r="T1013" s="0" t="str">
        <f>_xlfn.TEXTJOIN("_",TRUE,C1013,"node_eff",D1013,M1013,N1013)</f>
        <v>s1_node_eff_battle_78_6</v>
      </c>
    </row>
    <row r="1014" spans="1:20" x14ac:dyDescent="0.45">
      <c r="A1014" s="0" t="str">
        <f>_xlfn.TEXTJOIN("_",TRUE,C1014,"node",D1014,M1014,N1014)</f>
        <v>s1_node_battle_79_2</v>
      </c>
      <c r="B1014" s="0" t="s">
        <v>0</v>
      </c>
      <c r="C1014" s="0" t="s">
        <v>26</v>
      </c>
      <c r="D1014" s="0" t="s">
        <v>106</v>
      </c>
      <c r="E1014" s="0" t="str">
        <f>"s1_node_"&amp;D1014&amp;"_name"</f>
        <v>s1_node_battle_name</v>
      </c>
      <c r="F1014" s="13" t="str">
        <f>"s1_node_"&amp;D1014&amp;"_desc"</f>
        <v>s1_node_battle_desc</v>
      </c>
      <c r="G1014" s="0" t="s">
        <v>795</v>
      </c>
      <c r="H1014" s="0">
        <v>4</v>
      </c>
      <c r="I1014" s="0" t="s">
        <v>27</v>
      </c>
      <c r="J1014" s="0" t="s">
        <v>394</v>
      </c>
      <c r="K1014" s="0">
        <v>3240</v>
      </c>
      <c r="L1014" s="13">
        <v>3</v>
      </c>
      <c r="M1014" s="0">
        <v>79</v>
      </c>
      <c r="N1014" s="0">
        <v>2</v>
      </c>
      <c r="T1014" s="0" t="str">
        <f>_xlfn.TEXTJOIN("_",TRUE,C1014,"node_eff",D1014,M1014,N1014)</f>
        <v>s1_node_eff_battle_79_2</v>
      </c>
    </row>
    <row r="1015" spans="1:20" x14ac:dyDescent="0.45">
      <c r="A1015" s="0" t="str">
        <f>_xlfn.TEXTJOIN("_",TRUE,C1015,"node",D1015,M1015,N1015)</f>
        <v>s1_node_battle_79_4</v>
      </c>
      <c r="B1015" s="0" t="s">
        <v>0</v>
      </c>
      <c r="C1015" s="0" t="s">
        <v>26</v>
      </c>
      <c r="D1015" s="0" t="s">
        <v>106</v>
      </c>
      <c r="E1015" s="0" t="str">
        <f>"s1_node_"&amp;D1015&amp;"_name"</f>
        <v>s1_node_battle_name</v>
      </c>
      <c r="F1015" s="13" t="str">
        <f>"s1_node_"&amp;D1015&amp;"_desc"</f>
        <v>s1_node_battle_desc</v>
      </c>
      <c r="G1015" s="0" t="s">
        <v>795</v>
      </c>
      <c r="H1015" s="0">
        <v>4</v>
      </c>
      <c r="I1015" s="0" t="s">
        <v>27</v>
      </c>
      <c r="J1015" s="0" t="s">
        <v>394</v>
      </c>
      <c r="K1015" s="0">
        <v>3240</v>
      </c>
      <c r="L1015" s="13">
        <v>3</v>
      </c>
      <c r="M1015" s="0">
        <v>79</v>
      </c>
      <c r="N1015" s="0">
        <v>4</v>
      </c>
      <c r="P1015" s="0" t="s">
        <v>1069</v>
      </c>
      <c r="T1015" s="0" t="str">
        <f>_xlfn.TEXTJOIN("_",TRUE,C1015,"node_eff",D1015,M1015,N1015)</f>
        <v>s1_node_eff_battle_79_4</v>
      </c>
    </row>
    <row r="1016" spans="1:20" x14ac:dyDescent="0.45">
      <c r="A1016" s="0" t="str">
        <f>_xlfn.TEXTJOIN("_",TRUE,C1016,"node",D1016,M1016,N1016)</f>
        <v>s1_node_battle_79_6</v>
      </c>
      <c r="B1016" s="0" t="s">
        <v>0</v>
      </c>
      <c r="C1016" s="0" t="s">
        <v>26</v>
      </c>
      <c r="D1016" s="0" t="s">
        <v>106</v>
      </c>
      <c r="E1016" s="0" t="str">
        <f>"s1_node_"&amp;D1016&amp;"_name"</f>
        <v>s1_node_battle_name</v>
      </c>
      <c r="F1016" s="13" t="str">
        <f>"s1_node_"&amp;D1016&amp;"_desc"</f>
        <v>s1_node_battle_desc</v>
      </c>
      <c r="G1016" s="0" t="s">
        <v>795</v>
      </c>
      <c r="H1016" s="0">
        <v>4</v>
      </c>
      <c r="I1016" s="0" t="s">
        <v>27</v>
      </c>
      <c r="J1016" s="0" t="s">
        <v>394</v>
      </c>
      <c r="K1016" s="0">
        <v>3240</v>
      </c>
      <c r="L1016" s="13">
        <v>3</v>
      </c>
      <c r="M1016" s="0">
        <v>79</v>
      </c>
      <c r="N1016" s="0">
        <v>6</v>
      </c>
      <c r="T1016" s="0" t="str">
        <f>_xlfn.TEXTJOIN("_",TRUE,C1016,"node_eff",D1016,M1016,N1016)</f>
        <v>s1_node_eff_battle_79_6</v>
      </c>
    </row>
    <row r="1017" spans="1:20" x14ac:dyDescent="0.45">
      <c r="A1017" s="0" t="str">
        <f>_xlfn.TEXTJOIN("_",TRUE,C1017,"node",D1017,M1017,N1017)</f>
        <v>s1_node_battle_80_2</v>
      </c>
      <c r="B1017" s="0" t="s">
        <v>0</v>
      </c>
      <c r="C1017" s="0" t="s">
        <v>26</v>
      </c>
      <c r="D1017" s="0" t="s">
        <v>106</v>
      </c>
      <c r="E1017" s="0" t="str">
        <f>"s1_node_"&amp;D1017&amp;"_name"</f>
        <v>s1_node_battle_name</v>
      </c>
      <c r="F1017" s="13" t="str">
        <f>"s1_node_"&amp;D1017&amp;"_desc"</f>
        <v>s1_node_battle_desc</v>
      </c>
      <c r="G1017" s="0" t="s">
        <v>795</v>
      </c>
      <c r="H1017" s="0">
        <v>4</v>
      </c>
      <c r="I1017" s="0" t="s">
        <v>27</v>
      </c>
      <c r="J1017" s="0" t="s">
        <v>396</v>
      </c>
      <c r="K1017" s="0">
        <v>3280</v>
      </c>
      <c r="L1017" s="13">
        <v>3</v>
      </c>
      <c r="M1017" s="0">
        <v>80</v>
      </c>
      <c r="N1017" s="0">
        <v>2</v>
      </c>
      <c r="P1017" s="0" t="s">
        <v>1070</v>
      </c>
      <c r="T1017" s="0" t="str">
        <f>_xlfn.TEXTJOIN("_",TRUE,C1017,"node_eff",D1017,M1017,N1017)</f>
        <v>s1_node_eff_battle_80_2</v>
      </c>
    </row>
    <row r="1018" spans="1:20" x14ac:dyDescent="0.45">
      <c r="A1018" s="0" t="str">
        <f>_xlfn.TEXTJOIN("_",TRUE,C1018,"node",D1018,M1018,N1018)</f>
        <v>s1_node_battle_80_6</v>
      </c>
      <c r="B1018" s="0" t="s">
        <v>0</v>
      </c>
      <c r="C1018" s="0" t="s">
        <v>26</v>
      </c>
      <c r="D1018" s="0" t="s">
        <v>106</v>
      </c>
      <c r="E1018" s="0" t="str">
        <f>"s1_node_"&amp;D1018&amp;"_name"</f>
        <v>s1_node_battle_name</v>
      </c>
      <c r="F1018" s="13" t="str">
        <f>"s1_node_"&amp;D1018&amp;"_desc"</f>
        <v>s1_node_battle_desc</v>
      </c>
      <c r="G1018" s="0" t="s">
        <v>795</v>
      </c>
      <c r="H1018" s="0">
        <v>4</v>
      </c>
      <c r="I1018" s="0" t="s">
        <v>27</v>
      </c>
      <c r="J1018" s="0" t="s">
        <v>396</v>
      </c>
      <c r="K1018" s="0">
        <v>3280</v>
      </c>
      <c r="L1018" s="13">
        <v>3</v>
      </c>
      <c r="M1018" s="0">
        <v>80</v>
      </c>
      <c r="N1018" s="0">
        <v>6</v>
      </c>
      <c r="P1018" s="0" t="s">
        <v>1071</v>
      </c>
      <c r="T1018" s="0" t="str">
        <f>_xlfn.TEXTJOIN("_",TRUE,C1018,"node_eff",D1018,M1018,N1018)</f>
        <v>s1_node_eff_battle_80_6</v>
      </c>
    </row>
    <row r="1019" spans="1:20" x14ac:dyDescent="0.45">
      <c r="A1019" s="0" t="str">
        <f>_xlfn.TEXTJOIN("_",TRUE,C1019,"node",D1019,M1019,N1019)</f>
        <v>s1_node_battle_81_4</v>
      </c>
      <c r="B1019" s="0" t="s">
        <v>0</v>
      </c>
      <c r="C1019" s="0" t="s">
        <v>26</v>
      </c>
      <c r="D1019" s="0" t="s">
        <v>106</v>
      </c>
      <c r="E1019" s="0" t="str">
        <f>"s1_node_"&amp;D1019&amp;"_name"</f>
        <v>s1_node_battle_name</v>
      </c>
      <c r="F1019" s="13" t="str">
        <f>"s1_node_"&amp;D1019&amp;"_desc"</f>
        <v>s1_node_battle_desc</v>
      </c>
      <c r="G1019" s="0" t="s">
        <v>795</v>
      </c>
      <c r="H1019" s="0">
        <v>5</v>
      </c>
      <c r="I1019" s="0" t="s">
        <v>27</v>
      </c>
      <c r="J1019" s="0" t="s">
        <v>1072</v>
      </c>
      <c r="K1019" s="0">
        <v>3320</v>
      </c>
      <c r="L1019" s="13">
        <v>3</v>
      </c>
      <c r="M1019" s="0">
        <v>81</v>
      </c>
      <c r="N1019" s="0">
        <v>4</v>
      </c>
      <c r="P1019" s="0" t="s">
        <v>1073</v>
      </c>
      <c r="T1019" s="0" t="str">
        <f>_xlfn.TEXTJOIN("_",TRUE,C1019,"node_eff",D1019,M1019,N1019)</f>
        <v>s1_node_eff_battle_81_4</v>
      </c>
    </row>
    <row r="1020" spans="1:20" x14ac:dyDescent="0.45">
      <c r="A1020" s="0" t="str">
        <f>_xlfn.TEXTJOIN("_",TRUE,C1020,"node",D1020,M1020,N1020)</f>
        <v>s1_node_battle_82_2</v>
      </c>
      <c r="B1020" s="0" t="s">
        <v>0</v>
      </c>
      <c r="C1020" s="0" t="s">
        <v>26</v>
      </c>
      <c r="D1020" s="0" t="s">
        <v>106</v>
      </c>
      <c r="E1020" s="0" t="str">
        <f>"s1_node_"&amp;D1020&amp;"_name"</f>
        <v>s1_node_battle_name</v>
      </c>
      <c r="F1020" s="13" t="str">
        <f>"s1_node_"&amp;D1020&amp;"_desc"</f>
        <v>s1_node_battle_desc</v>
      </c>
      <c r="G1020" s="0" t="s">
        <v>795</v>
      </c>
      <c r="H1020" s="0">
        <v>5</v>
      </c>
      <c r="I1020" s="0" t="s">
        <v>27</v>
      </c>
      <c r="J1020" s="0" t="s">
        <v>595</v>
      </c>
      <c r="K1020" s="0">
        <v>3360</v>
      </c>
      <c r="L1020" s="13">
        <v>3</v>
      </c>
      <c r="M1020" s="0">
        <v>82</v>
      </c>
      <c r="N1020" s="0">
        <v>2</v>
      </c>
      <c r="T1020" s="0" t="str">
        <f>_xlfn.TEXTJOIN("_",TRUE,C1020,"node_eff",D1020,M1020,N1020)</f>
        <v>s1_node_eff_battle_82_2</v>
      </c>
    </row>
    <row r="1021" spans="1:20" x14ac:dyDescent="0.45">
      <c r="A1021" s="0" t="str">
        <f>_xlfn.TEXTJOIN("_",TRUE,C1021,"node",D1021,M1021,N1021)</f>
        <v>s1_node_battle_82_4</v>
      </c>
      <c r="B1021" s="0" t="s">
        <v>0</v>
      </c>
      <c r="C1021" s="0" t="s">
        <v>26</v>
      </c>
      <c r="D1021" s="0" t="s">
        <v>106</v>
      </c>
      <c r="E1021" s="0" t="str">
        <f>"s1_node_"&amp;D1021&amp;"_name"</f>
        <v>s1_node_battle_name</v>
      </c>
      <c r="F1021" s="13" t="str">
        <f>"s1_node_"&amp;D1021&amp;"_desc"</f>
        <v>s1_node_battle_desc</v>
      </c>
      <c r="G1021" s="0" t="s">
        <v>795</v>
      </c>
      <c r="H1021" s="0">
        <v>5</v>
      </c>
      <c r="I1021" s="0" t="s">
        <v>27</v>
      </c>
      <c r="J1021" s="0" t="s">
        <v>595</v>
      </c>
      <c r="K1021" s="0">
        <v>3360</v>
      </c>
      <c r="L1021" s="13">
        <v>3</v>
      </c>
      <c r="M1021" s="0">
        <v>82</v>
      </c>
      <c r="N1021" s="0">
        <v>4</v>
      </c>
      <c r="T1021" s="0" t="str">
        <f>_xlfn.TEXTJOIN("_",TRUE,C1021,"node_eff",D1021,M1021,N1021)</f>
        <v>s1_node_eff_battle_82_4</v>
      </c>
    </row>
    <row r="1022" spans="1:20" x14ac:dyDescent="0.45">
      <c r="A1022" s="0" t="str">
        <f>_xlfn.TEXTJOIN("_",TRUE,C1022,"node",D1022,M1022,N1022)</f>
        <v>s1_node_battle_82_6</v>
      </c>
      <c r="B1022" s="0" t="s">
        <v>0</v>
      </c>
      <c r="C1022" s="0" t="s">
        <v>26</v>
      </c>
      <c r="D1022" s="0" t="s">
        <v>106</v>
      </c>
      <c r="E1022" s="0" t="str">
        <f>"s1_node_"&amp;D1022&amp;"_name"</f>
        <v>s1_node_battle_name</v>
      </c>
      <c r="F1022" s="13" t="str">
        <f>"s1_node_"&amp;D1022&amp;"_desc"</f>
        <v>s1_node_battle_desc</v>
      </c>
      <c r="G1022" s="0" t="s">
        <v>795</v>
      </c>
      <c r="H1022" s="0">
        <v>5</v>
      </c>
      <c r="I1022" s="0" t="s">
        <v>27</v>
      </c>
      <c r="J1022" s="0" t="s">
        <v>595</v>
      </c>
      <c r="K1022" s="0">
        <v>3360</v>
      </c>
      <c r="L1022" s="13">
        <v>3</v>
      </c>
      <c r="M1022" s="0">
        <v>82</v>
      </c>
      <c r="N1022" s="0">
        <v>6</v>
      </c>
      <c r="T1022" s="0" t="str">
        <f>_xlfn.TEXTJOIN("_",TRUE,C1022,"node_eff",D1022,M1022,N1022)</f>
        <v>s1_node_eff_battle_82_6</v>
      </c>
    </row>
    <row r="1023" spans="1:20" x14ac:dyDescent="0.45">
      <c r="A1023" s="0" t="str">
        <f>_xlfn.TEXTJOIN("_",TRUE,C1023,"node",D1023,M1023,N1023)</f>
        <v>s1_node_battle_83_2</v>
      </c>
      <c r="B1023" s="0" t="s">
        <v>0</v>
      </c>
      <c r="C1023" s="0" t="s">
        <v>26</v>
      </c>
      <c r="D1023" s="0" t="s">
        <v>106</v>
      </c>
      <c r="E1023" s="0" t="str">
        <f>"s1_node_"&amp;D1023&amp;"_name"</f>
        <v>s1_node_battle_name</v>
      </c>
      <c r="F1023" s="13" t="str">
        <f>"s1_node_"&amp;D1023&amp;"_desc"</f>
        <v>s1_node_battle_desc</v>
      </c>
      <c r="G1023" s="0" t="s">
        <v>149</v>
      </c>
      <c r="H1023" s="0">
        <v>5</v>
      </c>
      <c r="I1023" s="0" t="s">
        <v>27</v>
      </c>
      <c r="J1023" s="0" t="s">
        <v>924</v>
      </c>
      <c r="K1023" s="0">
        <v>3390</v>
      </c>
      <c r="L1023" s="13">
        <v>3</v>
      </c>
      <c r="M1023" s="0">
        <v>83</v>
      </c>
      <c r="N1023" s="0">
        <v>2</v>
      </c>
      <c r="P1023" s="0" t="s">
        <v>1074</v>
      </c>
      <c r="T1023" s="0" t="str">
        <f>_xlfn.TEXTJOIN("_",TRUE,C1023,"node_eff",D1023,M1023,N1023)</f>
        <v>s1_node_eff_battle_83_2</v>
      </c>
    </row>
    <row r="1024" spans="1:20" x14ac:dyDescent="0.45">
      <c r="A1024" s="0" t="str">
        <f>_xlfn.TEXTJOIN("_",TRUE,C1024,"node",D1024,M1024,N1024)</f>
        <v>s1_node_battle_83_6</v>
      </c>
      <c r="B1024" s="0" t="s">
        <v>0</v>
      </c>
      <c r="C1024" s="0" t="s">
        <v>26</v>
      </c>
      <c r="D1024" s="0" t="s">
        <v>106</v>
      </c>
      <c r="E1024" s="0" t="str">
        <f>"s1_node_"&amp;D1024&amp;"_name"</f>
        <v>s1_node_battle_name</v>
      </c>
      <c r="F1024" s="13" t="str">
        <f>"s1_node_"&amp;D1024&amp;"_desc"</f>
        <v>s1_node_battle_desc</v>
      </c>
      <c r="G1024" s="0" t="s">
        <v>419</v>
      </c>
      <c r="H1024" s="0">
        <v>5</v>
      </c>
      <c r="I1024" s="0" t="s">
        <v>27</v>
      </c>
      <c r="J1024" s="0" t="s">
        <v>924</v>
      </c>
      <c r="K1024" s="0">
        <v>3390</v>
      </c>
      <c r="L1024" s="13">
        <v>3</v>
      </c>
      <c r="M1024" s="0">
        <v>83</v>
      </c>
      <c r="N1024" s="0">
        <v>6</v>
      </c>
      <c r="P1024" s="0" t="s">
        <v>1075</v>
      </c>
      <c r="T1024" s="0" t="str">
        <f>_xlfn.TEXTJOIN("_",TRUE,C1024,"node_eff",D1024,M1024,N1024)</f>
        <v>s1_node_eff_battle_83_6</v>
      </c>
    </row>
    <row r="1025" spans="1:20" x14ac:dyDescent="0.45">
      <c r="A1025" s="0" t="str">
        <f>_xlfn.TEXTJOIN("_",TRUE,C1025,"node",D1025,M1025,N1025)</f>
        <v>s1_node_battle_84_2</v>
      </c>
      <c r="B1025" s="0" t="s">
        <v>0</v>
      </c>
      <c r="C1025" s="0" t="s">
        <v>26</v>
      </c>
      <c r="D1025" s="0" t="s">
        <v>106</v>
      </c>
      <c r="E1025" s="0" t="str">
        <f>"s1_node_"&amp;D1025&amp;"_name"</f>
        <v>s1_node_battle_name</v>
      </c>
      <c r="F1025" s="13" t="str">
        <f>"s1_node_"&amp;D1025&amp;"_desc"</f>
        <v>s1_node_battle_desc</v>
      </c>
      <c r="G1025" s="0" t="s">
        <v>419</v>
      </c>
      <c r="H1025" s="0">
        <v>5</v>
      </c>
      <c r="I1025" s="0" t="s">
        <v>27</v>
      </c>
      <c r="J1025" s="0" t="s">
        <v>926</v>
      </c>
      <c r="K1025" s="0">
        <v>3430</v>
      </c>
      <c r="L1025" s="13">
        <v>3</v>
      </c>
      <c r="M1025" s="0">
        <v>84</v>
      </c>
      <c r="N1025" s="0">
        <v>2</v>
      </c>
      <c r="T1025" s="0" t="str">
        <f>_xlfn.TEXTJOIN("_",TRUE,C1025,"node_eff",D1025,M1025,N1025)</f>
        <v>s1_node_eff_battle_84_2</v>
      </c>
    </row>
    <row r="1026" spans="1:20" x14ac:dyDescent="0.45">
      <c r="A1026" s="0" t="str">
        <f>_xlfn.TEXTJOIN("_",TRUE,C1026,"node",D1026,M1026,N1026)</f>
        <v>s1_node_battle_84_4</v>
      </c>
      <c r="B1026" s="0" t="s">
        <v>0</v>
      </c>
      <c r="C1026" s="0" t="s">
        <v>26</v>
      </c>
      <c r="D1026" s="0" t="s">
        <v>106</v>
      </c>
      <c r="E1026" s="0" t="str">
        <f>"s1_node_"&amp;D1026&amp;"_name"</f>
        <v>s1_node_battle_name</v>
      </c>
      <c r="F1026" s="13" t="str">
        <f>"s1_node_"&amp;D1026&amp;"_desc"</f>
        <v>s1_node_battle_desc</v>
      </c>
      <c r="G1026" s="0" t="s">
        <v>795</v>
      </c>
      <c r="H1026" s="0">
        <v>5</v>
      </c>
      <c r="I1026" s="0" t="s">
        <v>27</v>
      </c>
      <c r="J1026" s="0" t="s">
        <v>926</v>
      </c>
      <c r="K1026" s="0">
        <v>3430</v>
      </c>
      <c r="L1026" s="13">
        <v>3</v>
      </c>
      <c r="M1026" s="0">
        <v>84</v>
      </c>
      <c r="N1026" s="0">
        <v>4</v>
      </c>
      <c r="P1026" s="0" t="s">
        <v>1076</v>
      </c>
      <c r="T1026" s="0" t="str">
        <f>_xlfn.TEXTJOIN("_",TRUE,C1026,"node_eff",D1026,M1026,N1026)</f>
        <v>s1_node_eff_battle_84_4</v>
      </c>
    </row>
    <row r="1027" spans="1:20" x14ac:dyDescent="0.45">
      <c r="A1027" s="0" t="str">
        <f>_xlfn.TEXTJOIN("_",TRUE,C1027,"node",D1027,M1027,N1027)</f>
        <v>s1_node_battle_84_6</v>
      </c>
      <c r="B1027" s="0" t="s">
        <v>0</v>
      </c>
      <c r="C1027" s="0" t="s">
        <v>26</v>
      </c>
      <c r="D1027" s="0" t="s">
        <v>106</v>
      </c>
      <c r="E1027" s="0" t="str">
        <f>"s1_node_"&amp;D1027&amp;"_name"</f>
        <v>s1_node_battle_name</v>
      </c>
      <c r="F1027" s="13" t="str">
        <f>"s1_node_"&amp;D1027&amp;"_desc"</f>
        <v>s1_node_battle_desc</v>
      </c>
      <c r="G1027" s="0" t="s">
        <v>795</v>
      </c>
      <c r="H1027" s="0">
        <v>5</v>
      </c>
      <c r="I1027" s="0" t="s">
        <v>27</v>
      </c>
      <c r="J1027" s="0" t="s">
        <v>926</v>
      </c>
      <c r="K1027" s="0">
        <v>3430</v>
      </c>
      <c r="L1027" s="13">
        <v>3</v>
      </c>
      <c r="M1027" s="0">
        <v>84</v>
      </c>
      <c r="N1027" s="0">
        <v>6</v>
      </c>
      <c r="T1027" s="0" t="str">
        <f>_xlfn.TEXTJOIN("_",TRUE,C1027,"node_eff",D1027,M1027,N1027)</f>
        <v>s1_node_eff_battle_84_6</v>
      </c>
    </row>
    <row r="1028" spans="1:20" x14ac:dyDescent="0.45">
      <c r="A1028" s="0" t="str">
        <f>_xlfn.TEXTJOIN("_",TRUE,C1028,"node",D1028,M1028,N1028)</f>
        <v>s1_node_battle_85_2</v>
      </c>
      <c r="B1028" s="0" t="s">
        <v>0</v>
      </c>
      <c r="C1028" s="0" t="s">
        <v>26</v>
      </c>
      <c r="D1028" s="0" t="s">
        <v>106</v>
      </c>
      <c r="E1028" s="0" t="str">
        <f>"s1_node_"&amp;D1028&amp;"_name"</f>
        <v>s1_node_battle_name</v>
      </c>
      <c r="F1028" s="13" t="str">
        <f>"s1_node_"&amp;D1028&amp;"_desc"</f>
        <v>s1_node_battle_desc</v>
      </c>
      <c r="G1028" s="0" t="s">
        <v>795</v>
      </c>
      <c r="H1028" s="0">
        <v>5</v>
      </c>
      <c r="I1028" s="0" t="s">
        <v>27</v>
      </c>
      <c r="J1028" s="0" t="s">
        <v>601</v>
      </c>
      <c r="K1028" s="0">
        <v>3470</v>
      </c>
      <c r="L1028" s="13">
        <v>3</v>
      </c>
      <c r="M1028" s="0">
        <v>85</v>
      </c>
      <c r="N1028" s="0">
        <v>2</v>
      </c>
      <c r="P1028" s="0" t="s">
        <v>1077</v>
      </c>
      <c r="T1028" s="0" t="str">
        <f>_xlfn.TEXTJOIN("_",TRUE,C1028,"node_eff",D1028,M1028,N1028)</f>
        <v>s1_node_eff_battle_85_2</v>
      </c>
    </row>
    <row r="1029" spans="1:20" x14ac:dyDescent="0.45">
      <c r="A1029" s="0" t="str">
        <f>_xlfn.TEXTJOIN("_",TRUE,C1029,"node",D1029,M1029,N1029)</f>
        <v>s1_node_battle_85_6</v>
      </c>
      <c r="B1029" s="0" t="s">
        <v>0</v>
      </c>
      <c r="C1029" s="0" t="s">
        <v>26</v>
      </c>
      <c r="D1029" s="0" t="s">
        <v>106</v>
      </c>
      <c r="E1029" s="0" t="str">
        <f>"s1_node_"&amp;D1029&amp;"_name"</f>
        <v>s1_node_battle_name</v>
      </c>
      <c r="F1029" s="13" t="str">
        <f>"s1_node_"&amp;D1029&amp;"_desc"</f>
        <v>s1_node_battle_desc</v>
      </c>
      <c r="G1029" s="0" t="s">
        <v>795</v>
      </c>
      <c r="H1029" s="0">
        <v>5</v>
      </c>
      <c r="I1029" s="0" t="s">
        <v>27</v>
      </c>
      <c r="J1029" s="0" t="s">
        <v>601</v>
      </c>
      <c r="K1029" s="0">
        <v>3470</v>
      </c>
      <c r="L1029" s="13">
        <v>3</v>
      </c>
      <c r="M1029" s="0">
        <v>85</v>
      </c>
      <c r="N1029" s="0">
        <v>6</v>
      </c>
      <c r="P1029" s="0" t="s">
        <v>1078</v>
      </c>
      <c r="T1029" s="0" t="str">
        <f>_xlfn.TEXTJOIN("_",TRUE,C1029,"node_eff",D1029,M1029,N1029)</f>
        <v>s1_node_eff_battle_85_6</v>
      </c>
    </row>
    <row r="1030" spans="1:20" x14ac:dyDescent="0.45">
      <c r="A1030" s="0" t="str">
        <f>_xlfn.TEXTJOIN("_",TRUE,C1030,"node",D1030,M1030,N1030)</f>
        <v>s1_node_battle_86_4</v>
      </c>
      <c r="B1030" s="0" t="s">
        <v>0</v>
      </c>
      <c r="C1030" s="0" t="s">
        <v>26</v>
      </c>
      <c r="D1030" s="0" t="s">
        <v>106</v>
      </c>
      <c r="E1030" s="0" t="str">
        <f>"s1_node_"&amp;D1030&amp;"_name"</f>
        <v>s1_node_battle_name</v>
      </c>
      <c r="F1030" s="13" t="str">
        <f>"s1_node_"&amp;D1030&amp;"_desc"</f>
        <v>s1_node_battle_desc</v>
      </c>
      <c r="G1030" s="0" t="s">
        <v>795</v>
      </c>
      <c r="H1030" s="0">
        <v>5</v>
      </c>
      <c r="I1030" s="0" t="s">
        <v>27</v>
      </c>
      <c r="J1030" s="0" t="s">
        <v>604</v>
      </c>
      <c r="K1030" s="0">
        <v>3510</v>
      </c>
      <c r="L1030" s="13">
        <v>3</v>
      </c>
      <c r="M1030" s="0">
        <v>86</v>
      </c>
      <c r="N1030" s="0">
        <v>4</v>
      </c>
      <c r="P1030" s="0" t="s">
        <v>1079</v>
      </c>
      <c r="T1030" s="0" t="str">
        <f>_xlfn.TEXTJOIN("_",TRUE,C1030,"node_eff",D1030,M1030,N1030)</f>
        <v>s1_node_eff_battle_86_4</v>
      </c>
    </row>
    <row r="1031" spans="1:20" x14ac:dyDescent="0.45">
      <c r="A1031" s="0" t="str">
        <f>_xlfn.TEXTJOIN("_",TRUE,C1031,"node",D1031,M1031,N1031)</f>
        <v>s1_node_battle_87_2</v>
      </c>
      <c r="B1031" s="0" t="s">
        <v>0</v>
      </c>
      <c r="C1031" s="0" t="s">
        <v>26</v>
      </c>
      <c r="D1031" s="0" t="s">
        <v>106</v>
      </c>
      <c r="E1031" s="0" t="str">
        <f>"s1_node_"&amp;D1031&amp;"_name"</f>
        <v>s1_node_battle_name</v>
      </c>
      <c r="F1031" s="13" t="str">
        <f>"s1_node_"&amp;D1031&amp;"_desc"</f>
        <v>s1_node_battle_desc</v>
      </c>
      <c r="G1031" s="0" t="s">
        <v>795</v>
      </c>
      <c r="H1031" s="0">
        <v>5</v>
      </c>
      <c r="I1031" s="0" t="s">
        <v>27</v>
      </c>
      <c r="J1031" s="0" t="s">
        <v>768</v>
      </c>
      <c r="K1031" s="0">
        <v>3550</v>
      </c>
      <c r="L1031" s="13">
        <v>3</v>
      </c>
      <c r="M1031" s="0">
        <v>87</v>
      </c>
      <c r="N1031" s="0">
        <v>2</v>
      </c>
      <c r="T1031" s="0" t="str">
        <f>_xlfn.TEXTJOIN("_",TRUE,C1031,"node_eff",D1031,M1031,N1031)</f>
        <v>s1_node_eff_battle_87_2</v>
      </c>
    </row>
    <row r="1032" spans="1:20" x14ac:dyDescent="0.45">
      <c r="A1032" s="0" t="str">
        <f>_xlfn.TEXTJOIN("_",TRUE,C1032,"node",D1032,M1032,N1032)</f>
        <v>s1_node_battle_87_4</v>
      </c>
      <c r="B1032" s="0" t="s">
        <v>0</v>
      </c>
      <c r="C1032" s="0" t="s">
        <v>26</v>
      </c>
      <c r="D1032" s="0" t="s">
        <v>106</v>
      </c>
      <c r="E1032" s="0" t="str">
        <f>"s1_node_"&amp;D1032&amp;"_name"</f>
        <v>s1_node_battle_name</v>
      </c>
      <c r="F1032" s="13" t="str">
        <f>"s1_node_"&amp;D1032&amp;"_desc"</f>
        <v>s1_node_battle_desc</v>
      </c>
      <c r="G1032" s="0" t="s">
        <v>795</v>
      </c>
      <c r="H1032" s="0">
        <v>5</v>
      </c>
      <c r="I1032" s="0" t="s">
        <v>27</v>
      </c>
      <c r="J1032" s="0" t="s">
        <v>768</v>
      </c>
      <c r="K1032" s="0">
        <v>3550</v>
      </c>
      <c r="L1032" s="13">
        <v>3</v>
      </c>
      <c r="M1032" s="0">
        <v>87</v>
      </c>
      <c r="N1032" s="0">
        <v>4</v>
      </c>
      <c r="T1032" s="0" t="str">
        <f>_xlfn.TEXTJOIN("_",TRUE,C1032,"node_eff",D1032,M1032,N1032)</f>
        <v>s1_node_eff_battle_87_4</v>
      </c>
    </row>
    <row r="1033" spans="1:20" x14ac:dyDescent="0.45">
      <c r="A1033" s="0" t="str">
        <f>_xlfn.TEXTJOIN("_",TRUE,C1033,"node",D1033,M1033,N1033)</f>
        <v>s1_node_battle_87_6</v>
      </c>
      <c r="B1033" s="0" t="s">
        <v>0</v>
      </c>
      <c r="C1033" s="0" t="s">
        <v>26</v>
      </c>
      <c r="D1033" s="0" t="s">
        <v>106</v>
      </c>
      <c r="E1033" s="0" t="str">
        <f>"s1_node_"&amp;D1033&amp;"_name"</f>
        <v>s1_node_battle_name</v>
      </c>
      <c r="F1033" s="13" t="str">
        <f>"s1_node_"&amp;D1033&amp;"_desc"</f>
        <v>s1_node_battle_desc</v>
      </c>
      <c r="G1033" s="0" t="s">
        <v>795</v>
      </c>
      <c r="H1033" s="0">
        <v>5</v>
      </c>
      <c r="I1033" s="0" t="s">
        <v>27</v>
      </c>
      <c r="J1033" s="0" t="s">
        <v>768</v>
      </c>
      <c r="K1033" s="0">
        <v>3550</v>
      </c>
      <c r="L1033" s="13">
        <v>3</v>
      </c>
      <c r="M1033" s="0">
        <v>87</v>
      </c>
      <c r="N1033" s="0">
        <v>6</v>
      </c>
      <c r="T1033" s="0" t="str">
        <f>_xlfn.TEXTJOIN("_",TRUE,C1033,"node_eff",D1033,M1033,N1033)</f>
        <v>s1_node_eff_battle_87_6</v>
      </c>
    </row>
    <row r="1034" spans="1:20" x14ac:dyDescent="0.45">
      <c r="A1034" s="0" t="str">
        <f>_xlfn.TEXTJOIN("_",TRUE,C1034,"node",D1034,M1034,N1034)</f>
        <v>s1_node_battle_88_2</v>
      </c>
      <c r="B1034" s="0" t="s">
        <v>0</v>
      </c>
      <c r="C1034" s="0" t="s">
        <v>26</v>
      </c>
      <c r="D1034" s="0" t="s">
        <v>106</v>
      </c>
      <c r="E1034" s="0" t="str">
        <f>"s1_node_"&amp;D1034&amp;"_name"</f>
        <v>s1_node_battle_name</v>
      </c>
      <c r="F1034" s="13" t="str">
        <f>"s1_node_"&amp;D1034&amp;"_desc"</f>
        <v>s1_node_battle_desc</v>
      </c>
      <c r="G1034" s="0" t="s">
        <v>795</v>
      </c>
      <c r="H1034" s="0">
        <v>5</v>
      </c>
      <c r="I1034" s="0" t="s">
        <v>27</v>
      </c>
      <c r="J1034" s="0" t="s">
        <v>769</v>
      </c>
      <c r="K1034" s="0">
        <v>3590</v>
      </c>
      <c r="L1034" s="13">
        <v>3</v>
      </c>
      <c r="M1034" s="0">
        <v>88</v>
      </c>
      <c r="N1034" s="0">
        <v>2</v>
      </c>
      <c r="P1034" s="0" t="s">
        <v>1080</v>
      </c>
      <c r="T1034" s="0" t="str">
        <f>_xlfn.TEXTJOIN("_",TRUE,C1034,"node_eff",D1034,M1034,N1034)</f>
        <v>s1_node_eff_battle_88_2</v>
      </c>
    </row>
    <row r="1035" spans="1:20" x14ac:dyDescent="0.45">
      <c r="A1035" s="0" t="str">
        <f>_xlfn.TEXTJOIN("_",TRUE,C1035,"node",D1035,M1035,N1035)</f>
        <v>s1_node_battle_88_6</v>
      </c>
      <c r="B1035" s="0" t="s">
        <v>0</v>
      </c>
      <c r="C1035" s="0" t="s">
        <v>26</v>
      </c>
      <c r="D1035" s="0" t="s">
        <v>106</v>
      </c>
      <c r="E1035" s="0" t="str">
        <f>"s1_node_"&amp;D1035&amp;"_name"</f>
        <v>s1_node_battle_name</v>
      </c>
      <c r="F1035" s="13" t="str">
        <f>"s1_node_"&amp;D1035&amp;"_desc"</f>
        <v>s1_node_battle_desc</v>
      </c>
      <c r="G1035" s="0" t="s">
        <v>795</v>
      </c>
      <c r="H1035" s="0">
        <v>5</v>
      </c>
      <c r="I1035" s="0" t="s">
        <v>27</v>
      </c>
      <c r="J1035" s="0" t="s">
        <v>769</v>
      </c>
      <c r="K1035" s="0">
        <v>3590</v>
      </c>
      <c r="L1035" s="13">
        <v>3</v>
      </c>
      <c r="M1035" s="0">
        <v>88</v>
      </c>
      <c r="N1035" s="0">
        <v>6</v>
      </c>
      <c r="P1035" s="0" t="s">
        <v>1081</v>
      </c>
      <c r="T1035" s="0" t="str">
        <f>_xlfn.TEXTJOIN("_",TRUE,C1035,"node_eff",D1035,M1035,N1035)</f>
        <v>s1_node_eff_battle_88_6</v>
      </c>
    </row>
    <row r="1036" spans="1:20" x14ac:dyDescent="0.45">
      <c r="A1036" s="0" t="str">
        <f>_xlfn.TEXTJOIN("_",TRUE,C1036,"node",D1036,M1036,N1036)</f>
        <v>s1_node_battle_89_2</v>
      </c>
      <c r="B1036" s="0" t="s">
        <v>0</v>
      </c>
      <c r="C1036" s="0" t="s">
        <v>26</v>
      </c>
      <c r="D1036" s="0" t="s">
        <v>106</v>
      </c>
      <c r="E1036" s="0" t="str">
        <f>"s1_node_"&amp;D1036&amp;"_name"</f>
        <v>s1_node_battle_name</v>
      </c>
      <c r="F1036" s="13" t="str">
        <f>"s1_node_"&amp;D1036&amp;"_desc"</f>
        <v>s1_node_battle_desc</v>
      </c>
      <c r="G1036" s="0" t="s">
        <v>795</v>
      </c>
      <c r="H1036" s="0">
        <v>5</v>
      </c>
      <c r="I1036" s="0" t="s">
        <v>27</v>
      </c>
      <c r="J1036" s="0" t="s">
        <v>772</v>
      </c>
      <c r="K1036" s="0">
        <v>3630</v>
      </c>
      <c r="L1036" s="13">
        <v>3</v>
      </c>
      <c r="M1036" s="0">
        <v>89</v>
      </c>
      <c r="N1036" s="0">
        <v>2</v>
      </c>
      <c r="T1036" s="0" t="str">
        <f>_xlfn.TEXTJOIN("_",TRUE,C1036,"node_eff",D1036,M1036,N1036)</f>
        <v>s1_node_eff_battle_89_2</v>
      </c>
    </row>
    <row r="1037" spans="1:20" x14ac:dyDescent="0.45">
      <c r="A1037" s="0" t="str">
        <f>_xlfn.TEXTJOIN("_",TRUE,C1037,"node",D1037,M1037,N1037)</f>
        <v>s1_node_battle_89_4</v>
      </c>
      <c r="B1037" s="0" t="s">
        <v>0</v>
      </c>
      <c r="C1037" s="0" t="s">
        <v>26</v>
      </c>
      <c r="D1037" s="0" t="s">
        <v>106</v>
      </c>
      <c r="E1037" s="0" t="str">
        <f>"s1_node_"&amp;D1037&amp;"_name"</f>
        <v>s1_node_battle_name</v>
      </c>
      <c r="F1037" s="13" t="str">
        <f>"s1_node_"&amp;D1037&amp;"_desc"</f>
        <v>s1_node_battle_desc</v>
      </c>
      <c r="G1037" s="0" t="s">
        <v>795</v>
      </c>
      <c r="H1037" s="0">
        <v>5</v>
      </c>
      <c r="I1037" s="0" t="s">
        <v>27</v>
      </c>
      <c r="J1037" s="0" t="s">
        <v>772</v>
      </c>
      <c r="K1037" s="0">
        <v>3630</v>
      </c>
      <c r="L1037" s="13">
        <v>3</v>
      </c>
      <c r="M1037" s="0">
        <v>89</v>
      </c>
      <c r="N1037" s="0">
        <v>4</v>
      </c>
      <c r="P1037" s="0" t="s">
        <v>1082</v>
      </c>
      <c r="T1037" s="0" t="str">
        <f>_xlfn.TEXTJOIN("_",TRUE,C1037,"node_eff",D1037,M1037,N1037)</f>
        <v>s1_node_eff_battle_89_4</v>
      </c>
    </row>
    <row r="1038" spans="1:20" x14ac:dyDescent="0.45">
      <c r="A1038" s="0" t="str">
        <f>_xlfn.TEXTJOIN("_",TRUE,C1038,"node",D1038,M1038,N1038)</f>
        <v>s1_node_battle_89_6</v>
      </c>
      <c r="B1038" s="0" t="s">
        <v>0</v>
      </c>
      <c r="C1038" s="0" t="s">
        <v>26</v>
      </c>
      <c r="D1038" s="0" t="s">
        <v>106</v>
      </c>
      <c r="E1038" s="0" t="str">
        <f>"s1_node_"&amp;D1038&amp;"_name"</f>
        <v>s1_node_battle_name</v>
      </c>
      <c r="F1038" s="13" t="str">
        <f>"s1_node_"&amp;D1038&amp;"_desc"</f>
        <v>s1_node_battle_desc</v>
      </c>
      <c r="G1038" s="0" t="s">
        <v>149</v>
      </c>
      <c r="H1038" s="0">
        <v>5</v>
      </c>
      <c r="I1038" s="0" t="s">
        <v>27</v>
      </c>
      <c r="J1038" s="0" t="s">
        <v>772</v>
      </c>
      <c r="K1038" s="0">
        <v>3630</v>
      </c>
      <c r="L1038" s="13">
        <v>3</v>
      </c>
      <c r="M1038" s="0">
        <v>89</v>
      </c>
      <c r="N1038" s="0">
        <v>6</v>
      </c>
      <c r="T1038" s="0" t="str">
        <f>_xlfn.TEXTJOIN("_",TRUE,C1038,"node_eff",D1038,M1038,N1038)</f>
        <v>s1_node_eff_battle_89_6</v>
      </c>
    </row>
    <row r="1039" spans="1:20" x14ac:dyDescent="0.45">
      <c r="A1039" s="0" t="str">
        <f>_xlfn.TEXTJOIN("_",TRUE,C1039,"node",D1039,M1039,N1039)</f>
        <v>s1_node_battle_90_2</v>
      </c>
      <c r="B1039" s="0" t="s">
        <v>0</v>
      </c>
      <c r="C1039" s="0" t="s">
        <v>26</v>
      </c>
      <c r="D1039" s="0" t="s">
        <v>106</v>
      </c>
      <c r="E1039" s="0" t="str">
        <f>"s1_node_"&amp;D1039&amp;"_name"</f>
        <v>s1_node_battle_name</v>
      </c>
      <c r="F1039" s="13" t="str">
        <f>"s1_node_"&amp;D1039&amp;"_desc"</f>
        <v>s1_node_battle_desc</v>
      </c>
      <c r="G1039" s="0" t="s">
        <v>419</v>
      </c>
      <c r="H1039" s="0">
        <v>5</v>
      </c>
      <c r="I1039" s="0" t="s">
        <v>27</v>
      </c>
      <c r="J1039" s="0" t="s">
        <v>1083</v>
      </c>
      <c r="K1039" s="0">
        <v>3670</v>
      </c>
      <c r="L1039" s="13">
        <v>3</v>
      </c>
      <c r="M1039" s="0">
        <v>90</v>
      </c>
      <c r="N1039" s="0">
        <v>2</v>
      </c>
      <c r="P1039" s="0" t="s">
        <v>1084</v>
      </c>
      <c r="T1039" s="0" t="str">
        <f>_xlfn.TEXTJOIN("_",TRUE,C1039,"node_eff",D1039,M1039,N1039)</f>
        <v>s1_node_eff_battle_90_2</v>
      </c>
    </row>
    <row r="1040" spans="1:20" x14ac:dyDescent="0.45">
      <c r="A1040" s="0" t="str">
        <f>_xlfn.TEXTJOIN("_",TRUE,C1040,"node",D1040,M1040,N1040)</f>
        <v>s1_node_battle_90_6</v>
      </c>
      <c r="B1040" s="0" t="s">
        <v>0</v>
      </c>
      <c r="C1040" s="0" t="s">
        <v>26</v>
      </c>
      <c r="D1040" s="0" t="s">
        <v>106</v>
      </c>
      <c r="E1040" s="0" t="str">
        <f>"s1_node_"&amp;D1040&amp;"_name"</f>
        <v>s1_node_battle_name</v>
      </c>
      <c r="F1040" s="13" t="str">
        <f>"s1_node_"&amp;D1040&amp;"_desc"</f>
        <v>s1_node_battle_desc</v>
      </c>
      <c r="G1040" s="0" t="s">
        <v>419</v>
      </c>
      <c r="H1040" s="0">
        <v>5</v>
      </c>
      <c r="I1040" s="0" t="s">
        <v>27</v>
      </c>
      <c r="J1040" s="0" t="s">
        <v>1083</v>
      </c>
      <c r="K1040" s="0">
        <v>3670</v>
      </c>
      <c r="L1040" s="13">
        <v>3</v>
      </c>
      <c r="M1040" s="0">
        <v>90</v>
      </c>
      <c r="N1040" s="0">
        <v>6</v>
      </c>
      <c r="P1040" s="0" t="s">
        <v>1085</v>
      </c>
      <c r="T1040" s="0" t="str">
        <f>_xlfn.TEXTJOIN("_",TRUE,C1040,"node_eff",D1040,M1040,N1040)</f>
        <v>s1_node_eff_battle_90_6</v>
      </c>
    </row>
    <row r="1041" spans="1:20" x14ac:dyDescent="0.45">
      <c r="A1041" s="0" t="str">
        <f>_xlfn.TEXTJOIN("_",TRUE,C1041,"node",D1041,M1041,N1041)</f>
        <v>s1_node_battle_91_4</v>
      </c>
      <c r="B1041" s="0" t="s">
        <v>0</v>
      </c>
      <c r="C1041" s="0" t="s">
        <v>26</v>
      </c>
      <c r="D1041" s="0" t="s">
        <v>106</v>
      </c>
      <c r="E1041" s="0" t="str">
        <f>"s1_node_"&amp;D1041&amp;"_name"</f>
        <v>s1_node_battle_name</v>
      </c>
      <c r="F1041" s="13" t="str">
        <f>"s1_node_"&amp;D1041&amp;"_desc"</f>
        <v>s1_node_battle_desc</v>
      </c>
      <c r="G1041" s="0" t="s">
        <v>795</v>
      </c>
      <c r="H1041" s="0">
        <v>5</v>
      </c>
      <c r="I1041" s="0" t="s">
        <v>27</v>
      </c>
      <c r="J1041" s="0" t="s">
        <v>1086</v>
      </c>
      <c r="K1041" s="0">
        <v>3710</v>
      </c>
      <c r="L1041" s="13">
        <v>3</v>
      </c>
      <c r="M1041" s="0">
        <v>91</v>
      </c>
      <c r="N1041" s="0">
        <v>4</v>
      </c>
      <c r="P1041" s="0" t="s">
        <v>1087</v>
      </c>
      <c r="T1041" s="0" t="str">
        <f>_xlfn.TEXTJOIN("_",TRUE,C1041,"node_eff",D1041,M1041,N1041)</f>
        <v>s1_node_eff_battle_91_4</v>
      </c>
    </row>
    <row r="1042" spans="1:20" x14ac:dyDescent="0.45">
      <c r="A1042" s="0" t="str">
        <f>_xlfn.TEXTJOIN("_",TRUE,C1042,"node",D1042,M1042,N1042)</f>
        <v>s1_node_battle_92_2</v>
      </c>
      <c r="B1042" s="0" t="s">
        <v>0</v>
      </c>
      <c r="C1042" s="0" t="s">
        <v>26</v>
      </c>
      <c r="D1042" s="0" t="s">
        <v>106</v>
      </c>
      <c r="E1042" s="0" t="str">
        <f>"s1_node_"&amp;D1042&amp;"_name"</f>
        <v>s1_node_battle_name</v>
      </c>
      <c r="F1042" s="13" t="str">
        <f>"s1_node_"&amp;D1042&amp;"_desc"</f>
        <v>s1_node_battle_desc</v>
      </c>
      <c r="G1042" s="0" t="s">
        <v>795</v>
      </c>
      <c r="H1042" s="0">
        <v>5</v>
      </c>
      <c r="I1042" s="0" t="s">
        <v>27</v>
      </c>
      <c r="J1042" s="0" t="s">
        <v>1088</v>
      </c>
      <c r="K1042" s="0">
        <v>3750</v>
      </c>
      <c r="L1042" s="13">
        <v>3</v>
      </c>
      <c r="M1042" s="0">
        <v>92</v>
      </c>
      <c r="N1042" s="0">
        <v>2</v>
      </c>
      <c r="T1042" s="0" t="str">
        <f>_xlfn.TEXTJOIN("_",TRUE,C1042,"node_eff",D1042,M1042,N1042)</f>
        <v>s1_node_eff_battle_92_2</v>
      </c>
    </row>
    <row r="1043" spans="1:20" x14ac:dyDescent="0.45">
      <c r="A1043" s="0" t="str">
        <f>_xlfn.TEXTJOIN("_",TRUE,C1043,"node",D1043,M1043,N1043)</f>
        <v>s1_node_battle_92_4</v>
      </c>
      <c r="B1043" s="0" t="s">
        <v>0</v>
      </c>
      <c r="C1043" s="0" t="s">
        <v>26</v>
      </c>
      <c r="D1043" s="0" t="s">
        <v>106</v>
      </c>
      <c r="E1043" s="0" t="str">
        <f>"s1_node_"&amp;D1043&amp;"_name"</f>
        <v>s1_node_battle_name</v>
      </c>
      <c r="F1043" s="13" t="str">
        <f>"s1_node_"&amp;D1043&amp;"_desc"</f>
        <v>s1_node_battle_desc</v>
      </c>
      <c r="G1043" s="0" t="s">
        <v>795</v>
      </c>
      <c r="H1043" s="0">
        <v>5</v>
      </c>
      <c r="I1043" s="0" t="s">
        <v>27</v>
      </c>
      <c r="J1043" s="0" t="s">
        <v>1088</v>
      </c>
      <c r="K1043" s="0">
        <v>3750</v>
      </c>
      <c r="L1043" s="13">
        <v>3</v>
      </c>
      <c r="M1043" s="0">
        <v>92</v>
      </c>
      <c r="N1043" s="0">
        <v>4</v>
      </c>
      <c r="T1043" s="0" t="str">
        <f>_xlfn.TEXTJOIN("_",TRUE,C1043,"node_eff",D1043,M1043,N1043)</f>
        <v>s1_node_eff_battle_92_4</v>
      </c>
    </row>
    <row r="1044" spans="1:20" x14ac:dyDescent="0.45">
      <c r="A1044" s="0" t="str">
        <f>_xlfn.TEXTJOIN("_",TRUE,C1044,"node",D1044,M1044,N1044)</f>
        <v>s1_node_battle_92_6</v>
      </c>
      <c r="B1044" s="0" t="s">
        <v>0</v>
      </c>
      <c r="C1044" s="0" t="s">
        <v>26</v>
      </c>
      <c r="D1044" s="0" t="s">
        <v>106</v>
      </c>
      <c r="E1044" s="0" t="str">
        <f>"s1_node_"&amp;D1044&amp;"_name"</f>
        <v>s1_node_battle_name</v>
      </c>
      <c r="F1044" s="13" t="str">
        <f>"s1_node_"&amp;D1044&amp;"_desc"</f>
        <v>s1_node_battle_desc</v>
      </c>
      <c r="G1044" s="0" t="s">
        <v>795</v>
      </c>
      <c r="H1044" s="0">
        <v>5</v>
      </c>
      <c r="I1044" s="0" t="s">
        <v>27</v>
      </c>
      <c r="J1044" s="0" t="s">
        <v>1088</v>
      </c>
      <c r="K1044" s="0">
        <v>3750</v>
      </c>
      <c r="L1044" s="13">
        <v>3</v>
      </c>
      <c r="M1044" s="0">
        <v>92</v>
      </c>
      <c r="N1044" s="0">
        <v>6</v>
      </c>
      <c r="T1044" s="0" t="str">
        <f>_xlfn.TEXTJOIN("_",TRUE,C1044,"node_eff",D1044,M1044,N1044)</f>
        <v>s1_node_eff_battle_92_6</v>
      </c>
    </row>
    <row r="1045" spans="1:20" x14ac:dyDescent="0.45">
      <c r="A1045" s="0" t="str">
        <f>_xlfn.TEXTJOIN("_",TRUE,C1045,"node",D1045,M1045,N1045)</f>
        <v>s1_node_battle_93_2</v>
      </c>
      <c r="B1045" s="0" t="s">
        <v>0</v>
      </c>
      <c r="C1045" s="0" t="s">
        <v>26</v>
      </c>
      <c r="D1045" s="0" t="s">
        <v>106</v>
      </c>
      <c r="E1045" s="0" t="str">
        <f>"s1_node_"&amp;D1045&amp;"_name"</f>
        <v>s1_node_battle_name</v>
      </c>
      <c r="F1045" s="13" t="str">
        <f>"s1_node_"&amp;D1045&amp;"_desc"</f>
        <v>s1_node_battle_desc</v>
      </c>
      <c r="G1045" s="0" t="s">
        <v>795</v>
      </c>
      <c r="H1045" s="0">
        <v>5</v>
      </c>
      <c r="I1045" s="0" t="s">
        <v>27</v>
      </c>
      <c r="J1045" s="0" t="s">
        <v>1089</v>
      </c>
      <c r="K1045" s="0">
        <v>3790</v>
      </c>
      <c r="L1045" s="13">
        <v>3</v>
      </c>
      <c r="M1045" s="0">
        <v>93</v>
      </c>
      <c r="N1045" s="0">
        <v>2</v>
      </c>
      <c r="P1045" s="0" t="s">
        <v>1090</v>
      </c>
      <c r="T1045" s="0" t="str">
        <f>_xlfn.TEXTJOIN("_",TRUE,C1045,"node_eff",D1045,M1045,N1045)</f>
        <v>s1_node_eff_battle_93_2</v>
      </c>
    </row>
    <row r="1046" spans="1:20" x14ac:dyDescent="0.45">
      <c r="A1046" s="0" t="str">
        <f>_xlfn.TEXTJOIN("_",TRUE,C1046,"node",D1046,M1046,N1046)</f>
        <v>s1_node_battle_93_6</v>
      </c>
      <c r="B1046" s="0" t="s">
        <v>0</v>
      </c>
      <c r="C1046" s="0" t="s">
        <v>26</v>
      </c>
      <c r="D1046" s="0" t="s">
        <v>106</v>
      </c>
      <c r="E1046" s="0" t="str">
        <f>"s1_node_"&amp;D1046&amp;"_name"</f>
        <v>s1_node_battle_name</v>
      </c>
      <c r="F1046" s="13" t="str">
        <f>"s1_node_"&amp;D1046&amp;"_desc"</f>
        <v>s1_node_battle_desc</v>
      </c>
      <c r="G1046" s="0" t="s">
        <v>795</v>
      </c>
      <c r="H1046" s="0">
        <v>5</v>
      </c>
      <c r="I1046" s="0" t="s">
        <v>27</v>
      </c>
      <c r="J1046" s="0" t="s">
        <v>1089</v>
      </c>
      <c r="K1046" s="0">
        <v>3790</v>
      </c>
      <c r="L1046" s="13">
        <v>3</v>
      </c>
      <c r="M1046" s="0">
        <v>93</v>
      </c>
      <c r="N1046" s="0">
        <v>6</v>
      </c>
      <c r="P1046" s="0" t="s">
        <v>1091</v>
      </c>
      <c r="T1046" s="0" t="str">
        <f>_xlfn.TEXTJOIN("_",TRUE,C1046,"node_eff",D1046,M1046,N1046)</f>
        <v>s1_node_eff_battle_93_6</v>
      </c>
    </row>
    <row r="1047" spans="1:20" x14ac:dyDescent="0.45">
      <c r="A1047" s="0" t="str">
        <f>_xlfn.TEXTJOIN("_",TRUE,C1047,"node",D1047,M1047,N1047)</f>
        <v>s1_node_battle_94_2</v>
      </c>
      <c r="B1047" s="0" t="s">
        <v>0</v>
      </c>
      <c r="C1047" s="0" t="s">
        <v>26</v>
      </c>
      <c r="D1047" s="0" t="s">
        <v>106</v>
      </c>
      <c r="E1047" s="0" t="str">
        <f>"s1_node_"&amp;D1047&amp;"_name"</f>
        <v>s1_node_battle_name</v>
      </c>
      <c r="F1047" s="13" t="str">
        <f>"s1_node_"&amp;D1047&amp;"_desc"</f>
        <v>s1_node_battle_desc</v>
      </c>
      <c r="G1047" s="0" t="s">
        <v>795</v>
      </c>
      <c r="H1047" s="0">
        <v>5</v>
      </c>
      <c r="I1047" s="0" t="s">
        <v>27</v>
      </c>
      <c r="J1047" s="0" t="s">
        <v>1092</v>
      </c>
      <c r="K1047" s="0">
        <v>3830</v>
      </c>
      <c r="L1047" s="13">
        <v>3</v>
      </c>
      <c r="M1047" s="0">
        <v>94</v>
      </c>
      <c r="N1047" s="0">
        <v>2</v>
      </c>
      <c r="T1047" s="0" t="str">
        <f>_xlfn.TEXTJOIN("_",TRUE,C1047,"node_eff",D1047,M1047,N1047)</f>
        <v>s1_node_eff_battle_94_2</v>
      </c>
    </row>
    <row r="1048" spans="1:20" x14ac:dyDescent="0.45">
      <c r="A1048" s="0" t="str">
        <f>_xlfn.TEXTJOIN("_",TRUE,C1048,"node",D1048,M1048,N1048)</f>
        <v>s1_node_battle_94_4</v>
      </c>
      <c r="B1048" s="0" t="s">
        <v>0</v>
      </c>
      <c r="C1048" s="0" t="s">
        <v>26</v>
      </c>
      <c r="D1048" s="0" t="s">
        <v>106</v>
      </c>
      <c r="E1048" s="0" t="str">
        <f>"s1_node_"&amp;D1048&amp;"_name"</f>
        <v>s1_node_battle_name</v>
      </c>
      <c r="F1048" s="13" t="str">
        <f>"s1_node_"&amp;D1048&amp;"_desc"</f>
        <v>s1_node_battle_desc</v>
      </c>
      <c r="G1048" s="0" t="s">
        <v>795</v>
      </c>
      <c r="H1048" s="0">
        <v>5</v>
      </c>
      <c r="I1048" s="0" t="s">
        <v>27</v>
      </c>
      <c r="J1048" s="0" t="s">
        <v>1092</v>
      </c>
      <c r="K1048" s="0">
        <v>3830</v>
      </c>
      <c r="L1048" s="13">
        <v>3</v>
      </c>
      <c r="M1048" s="0">
        <v>94</v>
      </c>
      <c r="N1048" s="0">
        <v>4</v>
      </c>
      <c r="P1048" s="0" t="s">
        <v>1093</v>
      </c>
      <c r="T1048" s="0" t="str">
        <f>_xlfn.TEXTJOIN("_",TRUE,C1048,"node_eff",D1048,M1048,N1048)</f>
        <v>s1_node_eff_battle_94_4</v>
      </c>
    </row>
    <row r="1049" spans="1:20" x14ac:dyDescent="0.45">
      <c r="A1049" s="0" t="str">
        <f>_xlfn.TEXTJOIN("_",TRUE,C1049,"node",D1049,M1049,N1049)</f>
        <v>s1_node_battle_94_6</v>
      </c>
      <c r="B1049" s="0" t="s">
        <v>0</v>
      </c>
      <c r="C1049" s="0" t="s">
        <v>26</v>
      </c>
      <c r="D1049" s="0" t="s">
        <v>106</v>
      </c>
      <c r="E1049" s="0" t="str">
        <f>"s1_node_"&amp;D1049&amp;"_name"</f>
        <v>s1_node_battle_name</v>
      </c>
      <c r="F1049" s="13" t="str">
        <f>"s1_node_"&amp;D1049&amp;"_desc"</f>
        <v>s1_node_battle_desc</v>
      </c>
      <c r="G1049" s="0" t="s">
        <v>795</v>
      </c>
      <c r="H1049" s="0">
        <v>5</v>
      </c>
      <c r="I1049" s="0" t="s">
        <v>27</v>
      </c>
      <c r="J1049" s="0" t="s">
        <v>1092</v>
      </c>
      <c r="K1049" s="0">
        <v>3830</v>
      </c>
      <c r="L1049" s="13">
        <v>3</v>
      </c>
      <c r="M1049" s="0">
        <v>94</v>
      </c>
      <c r="N1049" s="0">
        <v>6</v>
      </c>
      <c r="T1049" s="0" t="str">
        <f>_xlfn.TEXTJOIN("_",TRUE,C1049,"node_eff",D1049,M1049,N1049)</f>
        <v>s1_node_eff_battle_94_6</v>
      </c>
    </row>
    <row r="1050" spans="1:20" x14ac:dyDescent="0.45">
      <c r="A1050" s="0" t="str">
        <f>_xlfn.TEXTJOIN("_",TRUE,C1050,"node",D1050,M1050,N1050)</f>
        <v>s1_node_battle_95_2</v>
      </c>
      <c r="B1050" s="0" t="s">
        <v>0</v>
      </c>
      <c r="C1050" s="0" t="s">
        <v>26</v>
      </c>
      <c r="D1050" s="0" t="s">
        <v>106</v>
      </c>
      <c r="E1050" s="0" t="str">
        <f>"s1_node_"&amp;D1050&amp;"_name"</f>
        <v>s1_node_battle_name</v>
      </c>
      <c r="F1050" s="13" t="str">
        <f>"s1_node_"&amp;D1050&amp;"_desc"</f>
        <v>s1_node_battle_desc</v>
      </c>
      <c r="G1050" s="0" t="s">
        <v>795</v>
      </c>
      <c r="H1050" s="0">
        <v>5</v>
      </c>
      <c r="I1050" s="0" t="s">
        <v>27</v>
      </c>
      <c r="J1050" s="0" t="s">
        <v>1094</v>
      </c>
      <c r="K1050" s="0">
        <v>3860</v>
      </c>
      <c r="L1050" s="13">
        <v>3</v>
      </c>
      <c r="M1050" s="0">
        <v>95</v>
      </c>
      <c r="N1050" s="0">
        <v>2</v>
      </c>
      <c r="P1050" s="0" t="s">
        <v>1095</v>
      </c>
      <c r="T1050" s="0" t="str">
        <f>_xlfn.TEXTJOIN("_",TRUE,C1050,"node_eff",D1050,M1050,N1050)</f>
        <v>s1_node_eff_battle_95_2</v>
      </c>
    </row>
    <row r="1051" spans="1:20" x14ac:dyDescent="0.45">
      <c r="A1051" s="0" t="str">
        <f>_xlfn.TEXTJOIN("_",TRUE,C1051,"node",D1051,M1051,N1051)</f>
        <v>s1_node_battle_95_6</v>
      </c>
      <c r="B1051" s="0" t="s">
        <v>0</v>
      </c>
      <c r="C1051" s="0" t="s">
        <v>26</v>
      </c>
      <c r="D1051" s="0" t="s">
        <v>106</v>
      </c>
      <c r="E1051" s="0" t="str">
        <f>"s1_node_"&amp;D1051&amp;"_name"</f>
        <v>s1_node_battle_name</v>
      </c>
      <c r="F1051" s="13" t="str">
        <f>"s1_node_"&amp;D1051&amp;"_desc"</f>
        <v>s1_node_battle_desc</v>
      </c>
      <c r="G1051" s="0" t="s">
        <v>795</v>
      </c>
      <c r="H1051" s="0">
        <v>5</v>
      </c>
      <c r="I1051" s="0" t="s">
        <v>27</v>
      </c>
      <c r="J1051" s="0" t="s">
        <v>1094</v>
      </c>
      <c r="K1051" s="0">
        <v>3860</v>
      </c>
      <c r="L1051" s="13">
        <v>3</v>
      </c>
      <c r="M1051" s="0">
        <v>95</v>
      </c>
      <c r="N1051" s="0">
        <v>6</v>
      </c>
      <c r="P1051" s="0" t="s">
        <v>1096</v>
      </c>
      <c r="T1051" s="0" t="str">
        <f>_xlfn.TEXTJOIN("_",TRUE,C1051,"node_eff",D1051,M1051,N1051)</f>
        <v>s1_node_eff_battle_95_6</v>
      </c>
    </row>
    <row r="1052" spans="1:20" x14ac:dyDescent="0.45">
      <c r="A1052" s="0" t="str">
        <f>_xlfn.TEXTJOIN("_",TRUE,C1052,"node",D1052,M1052,N1052)</f>
        <v>s1_node_battle_96_4</v>
      </c>
      <c r="B1052" s="0" t="s">
        <v>0</v>
      </c>
      <c r="C1052" s="0" t="s">
        <v>26</v>
      </c>
      <c r="D1052" s="0" t="s">
        <v>106</v>
      </c>
      <c r="E1052" s="0" t="str">
        <f>"s1_node_"&amp;D1052&amp;"_name"</f>
        <v>s1_node_battle_name</v>
      </c>
      <c r="F1052" s="13" t="str">
        <f>"s1_node_"&amp;D1052&amp;"_desc"</f>
        <v>s1_node_battle_desc</v>
      </c>
      <c r="G1052" s="0" t="s">
        <v>795</v>
      </c>
      <c r="H1052" s="0">
        <v>5</v>
      </c>
      <c r="I1052" s="0" t="s">
        <v>27</v>
      </c>
      <c r="J1052" s="0" t="s">
        <v>1097</v>
      </c>
      <c r="K1052" s="0">
        <v>3900</v>
      </c>
      <c r="L1052" s="13">
        <v>3</v>
      </c>
      <c r="M1052" s="0">
        <v>96</v>
      </c>
      <c r="N1052" s="0">
        <v>4</v>
      </c>
      <c r="P1052" s="0" t="s">
        <v>1098</v>
      </c>
      <c r="T1052" s="0" t="str">
        <f>_xlfn.TEXTJOIN("_",TRUE,C1052,"node_eff",D1052,M1052,N1052)</f>
        <v>s1_node_eff_battle_96_4</v>
      </c>
    </row>
    <row r="1053" spans="1:20" x14ac:dyDescent="0.45">
      <c r="A1053" s="0" t="str">
        <f>_xlfn.TEXTJOIN("_",TRUE,C1053,"node",D1053,M1053,N1053)</f>
        <v>s1_node_battle_97_2</v>
      </c>
      <c r="B1053" s="0" t="s">
        <v>0</v>
      </c>
      <c r="C1053" s="0" t="s">
        <v>26</v>
      </c>
      <c r="D1053" s="0" t="s">
        <v>106</v>
      </c>
      <c r="E1053" s="0" t="str">
        <f>"s1_node_"&amp;D1053&amp;"_name"</f>
        <v>s1_node_battle_name</v>
      </c>
      <c r="F1053" s="13" t="str">
        <f>"s1_node_"&amp;D1053&amp;"_desc"</f>
        <v>s1_node_battle_desc</v>
      </c>
      <c r="G1053" s="0" t="s">
        <v>149</v>
      </c>
      <c r="H1053" s="0">
        <v>5</v>
      </c>
      <c r="I1053" s="0" t="s">
        <v>27</v>
      </c>
      <c r="J1053" s="0" t="s">
        <v>1099</v>
      </c>
      <c r="K1053" s="0">
        <v>3940</v>
      </c>
      <c r="L1053" s="13">
        <v>3</v>
      </c>
      <c r="M1053" s="0">
        <v>97</v>
      </c>
      <c r="N1053" s="0">
        <v>2</v>
      </c>
      <c r="T1053" s="0" t="str">
        <f>_xlfn.TEXTJOIN("_",TRUE,C1053,"node_eff",D1053,M1053,N1053)</f>
        <v>s1_node_eff_battle_97_2</v>
      </c>
    </row>
    <row r="1054" spans="1:20" x14ac:dyDescent="0.45">
      <c r="A1054" s="0" t="str">
        <f>_xlfn.TEXTJOIN("_",TRUE,C1054,"node",D1054,M1054,N1054)</f>
        <v>s1_node_battle_97_4</v>
      </c>
      <c r="B1054" s="0" t="s">
        <v>0</v>
      </c>
      <c r="C1054" s="0" t="s">
        <v>26</v>
      </c>
      <c r="D1054" s="0" t="s">
        <v>106</v>
      </c>
      <c r="E1054" s="0" t="str">
        <f>"s1_node_"&amp;D1054&amp;"_name"</f>
        <v>s1_node_battle_name</v>
      </c>
      <c r="F1054" s="13" t="str">
        <f>"s1_node_"&amp;D1054&amp;"_desc"</f>
        <v>s1_node_battle_desc</v>
      </c>
      <c r="G1054" s="0" t="s">
        <v>419</v>
      </c>
      <c r="H1054" s="0">
        <v>5</v>
      </c>
      <c r="I1054" s="0" t="s">
        <v>27</v>
      </c>
      <c r="J1054" s="0" t="s">
        <v>1099</v>
      </c>
      <c r="K1054" s="0">
        <v>3940</v>
      </c>
      <c r="L1054" s="13">
        <v>3</v>
      </c>
      <c r="M1054" s="0">
        <v>97</v>
      </c>
      <c r="N1054" s="0">
        <v>4</v>
      </c>
      <c r="T1054" s="0" t="str">
        <f>_xlfn.TEXTJOIN("_",TRUE,C1054,"node_eff",D1054,M1054,N1054)</f>
        <v>s1_node_eff_battle_97_4</v>
      </c>
    </row>
    <row r="1055" spans="1:20" x14ac:dyDescent="0.45">
      <c r="A1055" s="0" t="str">
        <f>_xlfn.TEXTJOIN("_",TRUE,C1055,"node",D1055,M1055,N1055)</f>
        <v>s1_node_battle_97_6</v>
      </c>
      <c r="B1055" s="0" t="s">
        <v>0</v>
      </c>
      <c r="C1055" s="0" t="s">
        <v>26</v>
      </c>
      <c r="D1055" s="0" t="s">
        <v>106</v>
      </c>
      <c r="E1055" s="0" t="str">
        <f>"s1_node_"&amp;D1055&amp;"_name"</f>
        <v>s1_node_battle_name</v>
      </c>
      <c r="F1055" s="13" t="str">
        <f>"s1_node_"&amp;D1055&amp;"_desc"</f>
        <v>s1_node_battle_desc</v>
      </c>
      <c r="G1055" s="0" t="s">
        <v>419</v>
      </c>
      <c r="H1055" s="0">
        <v>5</v>
      </c>
      <c r="I1055" s="0" t="s">
        <v>27</v>
      </c>
      <c r="J1055" s="0" t="s">
        <v>1099</v>
      </c>
      <c r="K1055" s="0">
        <v>3940</v>
      </c>
      <c r="L1055" s="13">
        <v>3</v>
      </c>
      <c r="M1055" s="0">
        <v>97</v>
      </c>
      <c r="N1055" s="0">
        <v>6</v>
      </c>
      <c r="T1055" s="0" t="str">
        <f>_xlfn.TEXTJOIN("_",TRUE,C1055,"node_eff",D1055,M1055,N1055)</f>
        <v>s1_node_eff_battle_97_6</v>
      </c>
    </row>
    <row r="1056" spans="1:20" x14ac:dyDescent="0.45">
      <c r="A1056" s="0" t="str">
        <f>_xlfn.TEXTJOIN("_",TRUE,C1056,"node",D1056,M1056,N1056)</f>
        <v>s1_node_battle_98_2</v>
      </c>
      <c r="B1056" s="0" t="s">
        <v>0</v>
      </c>
      <c r="C1056" s="0" t="s">
        <v>26</v>
      </c>
      <c r="D1056" s="0" t="s">
        <v>106</v>
      </c>
      <c r="E1056" s="0" t="str">
        <f>"s1_node_"&amp;D1056&amp;"_name"</f>
        <v>s1_node_battle_name</v>
      </c>
      <c r="F1056" s="13" t="str">
        <f>"s1_node_"&amp;D1056&amp;"_desc"</f>
        <v>s1_node_battle_desc</v>
      </c>
      <c r="G1056" s="0" t="s">
        <v>795</v>
      </c>
      <c r="H1056" s="0">
        <v>5</v>
      </c>
      <c r="I1056" s="0" t="s">
        <v>27</v>
      </c>
      <c r="J1056" s="0" t="s">
        <v>1100</v>
      </c>
      <c r="K1056" s="0">
        <v>3980</v>
      </c>
      <c r="L1056" s="13">
        <v>3</v>
      </c>
      <c r="M1056" s="0">
        <v>98</v>
      </c>
      <c r="N1056" s="0">
        <v>2</v>
      </c>
      <c r="P1056" s="0" t="s">
        <v>1101</v>
      </c>
      <c r="T1056" s="0" t="str">
        <f>_xlfn.TEXTJOIN("_",TRUE,C1056,"node_eff",D1056,M1056,N1056)</f>
        <v>s1_node_eff_battle_98_2</v>
      </c>
    </row>
    <row r="1057" spans="1:20" x14ac:dyDescent="0.45">
      <c r="A1057" s="0" t="str">
        <f>_xlfn.TEXTJOIN("_",TRUE,C1057,"node",D1057,M1057,N1057)</f>
        <v>s1_node_battle_98_6</v>
      </c>
      <c r="B1057" s="0" t="s">
        <v>0</v>
      </c>
      <c r="C1057" s="0" t="s">
        <v>26</v>
      </c>
      <c r="D1057" s="0" t="s">
        <v>106</v>
      </c>
      <c r="E1057" s="0" t="str">
        <f>"s1_node_"&amp;D1057&amp;"_name"</f>
        <v>s1_node_battle_name</v>
      </c>
      <c r="F1057" s="13" t="str">
        <f>"s1_node_"&amp;D1057&amp;"_desc"</f>
        <v>s1_node_battle_desc</v>
      </c>
      <c r="G1057" s="0" t="s">
        <v>795</v>
      </c>
      <c r="H1057" s="0">
        <v>5</v>
      </c>
      <c r="I1057" s="0" t="s">
        <v>27</v>
      </c>
      <c r="J1057" s="0" t="s">
        <v>1100</v>
      </c>
      <c r="K1057" s="0">
        <v>3980</v>
      </c>
      <c r="L1057" s="13">
        <v>3</v>
      </c>
      <c r="M1057" s="0">
        <v>98</v>
      </c>
      <c r="N1057" s="0">
        <v>6</v>
      </c>
      <c r="P1057" s="0" t="s">
        <v>1102</v>
      </c>
      <c r="T1057" s="0" t="str">
        <f>_xlfn.TEXTJOIN("_",TRUE,C1057,"node_eff",D1057,M1057,N1057)</f>
        <v>s1_node_eff_battle_98_6</v>
      </c>
    </row>
    <row r="1058" spans="1:20" x14ac:dyDescent="0.45">
      <c r="A1058" s="0" t="str">
        <f>_xlfn.TEXTJOIN("_",TRUE,C1058,"node",D1058,M1058,N1058)</f>
        <v>s1_node_battle_99_2</v>
      </c>
      <c r="B1058" s="0" t="s">
        <v>0</v>
      </c>
      <c r="C1058" s="0" t="s">
        <v>26</v>
      </c>
      <c r="D1058" s="0" t="s">
        <v>106</v>
      </c>
      <c r="E1058" s="0" t="str">
        <f>"s1_node_"&amp;D1058&amp;"_name"</f>
        <v>s1_node_battle_name</v>
      </c>
      <c r="F1058" s="13" t="str">
        <f>"s1_node_"&amp;D1058&amp;"_desc"</f>
        <v>s1_node_battle_desc</v>
      </c>
      <c r="G1058" s="0" t="s">
        <v>795</v>
      </c>
      <c r="H1058" s="0">
        <v>5</v>
      </c>
      <c r="I1058" s="0" t="s">
        <v>27</v>
      </c>
      <c r="J1058" s="0" t="s">
        <v>1103</v>
      </c>
      <c r="K1058" s="0">
        <v>4020</v>
      </c>
      <c r="L1058" s="13">
        <v>3</v>
      </c>
      <c r="M1058" s="0">
        <v>99</v>
      </c>
      <c r="N1058" s="0">
        <v>2</v>
      </c>
      <c r="T1058" s="0" t="str">
        <f>_xlfn.TEXTJOIN("_",TRUE,C1058,"node_eff",D1058,M1058,N1058)</f>
        <v>s1_node_eff_battle_99_2</v>
      </c>
    </row>
    <row r="1059" spans="1:20" x14ac:dyDescent="0.45">
      <c r="A1059" s="0" t="str">
        <f>_xlfn.TEXTJOIN("_",TRUE,C1059,"node",D1059,M1059,N1059)</f>
        <v>s1_node_battle_99_4</v>
      </c>
      <c r="B1059" s="0" t="s">
        <v>0</v>
      </c>
      <c r="C1059" s="0" t="s">
        <v>26</v>
      </c>
      <c r="D1059" s="0" t="s">
        <v>106</v>
      </c>
      <c r="E1059" s="0" t="str">
        <f>"s1_node_"&amp;D1059&amp;"_name"</f>
        <v>s1_node_battle_name</v>
      </c>
      <c r="F1059" s="13" t="str">
        <f>"s1_node_"&amp;D1059&amp;"_desc"</f>
        <v>s1_node_battle_desc</v>
      </c>
      <c r="G1059" s="0" t="s">
        <v>795</v>
      </c>
      <c r="H1059" s="0">
        <v>5</v>
      </c>
      <c r="I1059" s="0" t="s">
        <v>27</v>
      </c>
      <c r="J1059" s="0" t="s">
        <v>1103</v>
      </c>
      <c r="K1059" s="0">
        <v>4020</v>
      </c>
      <c r="L1059" s="13">
        <v>3</v>
      </c>
      <c r="M1059" s="0">
        <v>99</v>
      </c>
      <c r="N1059" s="0">
        <v>4</v>
      </c>
      <c r="P1059" s="0" t="s">
        <v>1104</v>
      </c>
      <c r="T1059" s="0" t="str">
        <f>_xlfn.TEXTJOIN("_",TRUE,C1059,"node_eff",D1059,M1059,N1059)</f>
        <v>s1_node_eff_battle_99_4</v>
      </c>
    </row>
    <row r="1060" spans="1:20" x14ac:dyDescent="0.45">
      <c r="A1060" s="0" t="str">
        <f>_xlfn.TEXTJOIN("_",TRUE,C1060,"node",D1060,M1060,N1060)</f>
        <v>s1_node_battle_99_6</v>
      </c>
      <c r="B1060" s="0" t="s">
        <v>0</v>
      </c>
      <c r="C1060" s="0" t="s">
        <v>26</v>
      </c>
      <c r="D1060" s="0" t="s">
        <v>106</v>
      </c>
      <c r="E1060" s="0" t="str">
        <f>"s1_node_"&amp;D1060&amp;"_name"</f>
        <v>s1_node_battle_name</v>
      </c>
      <c r="F1060" s="13" t="str">
        <f>"s1_node_"&amp;D1060&amp;"_desc"</f>
        <v>s1_node_battle_desc</v>
      </c>
      <c r="G1060" s="0" t="s">
        <v>795</v>
      </c>
      <c r="H1060" s="0">
        <v>5</v>
      </c>
      <c r="I1060" s="0" t="s">
        <v>27</v>
      </c>
      <c r="J1060" s="0" t="s">
        <v>1103</v>
      </c>
      <c r="K1060" s="0">
        <v>4020</v>
      </c>
      <c r="L1060" s="13">
        <v>3</v>
      </c>
      <c r="M1060" s="0">
        <v>99</v>
      </c>
      <c r="N1060" s="0">
        <v>6</v>
      </c>
      <c r="T1060" s="0" t="str">
        <f>_xlfn.TEXTJOIN("_",TRUE,C1060,"node_eff",D1060,M1060,N1060)</f>
        <v>s1_node_eff_battle_99_6</v>
      </c>
    </row>
    <row r="1061" spans="1:20" x14ac:dyDescent="0.45">
      <c r="A1061" s="0" t="str">
        <f>_xlfn.TEXTJOIN("_",TRUE,C1061,"node",D1061,M1061,N1061)</f>
        <v>s1_node_battle_100_2</v>
      </c>
      <c r="B1061" s="0" t="s">
        <v>0</v>
      </c>
      <c r="C1061" s="0" t="s">
        <v>26</v>
      </c>
      <c r="D1061" s="0" t="s">
        <v>106</v>
      </c>
      <c r="E1061" s="0" t="str">
        <f>"s1_node_"&amp;D1061&amp;"_name"</f>
        <v>s1_node_battle_name</v>
      </c>
      <c r="F1061" s="13" t="str">
        <f>"s1_node_"&amp;D1061&amp;"_desc"</f>
        <v>s1_node_battle_desc</v>
      </c>
      <c r="G1061" s="0" t="s">
        <v>795</v>
      </c>
      <c r="H1061" s="0">
        <v>5</v>
      </c>
      <c r="I1061" s="0" t="s">
        <v>27</v>
      </c>
      <c r="J1061" s="0" t="s">
        <v>1105</v>
      </c>
      <c r="K1061" s="0">
        <v>4060</v>
      </c>
      <c r="L1061" s="13">
        <v>3</v>
      </c>
      <c r="M1061" s="0">
        <v>100</v>
      </c>
      <c r="N1061" s="0">
        <v>2</v>
      </c>
      <c r="P1061" s="0" t="s">
        <v>1106</v>
      </c>
      <c r="T1061" s="0" t="str">
        <f>_xlfn.TEXTJOIN("_",TRUE,C1061,"node_eff",D1061,M1061,N1061)</f>
        <v>s1_node_eff_battle_100_2</v>
      </c>
    </row>
    <row r="1062" spans="1:20" x14ac:dyDescent="0.45">
      <c r="A1062" s="0" t="str">
        <f>_xlfn.TEXTJOIN("_",TRUE,C1062,"node",D1062,M1062,N1062)</f>
        <v>s1_node_battle_100_6</v>
      </c>
      <c r="B1062" s="0" t="s">
        <v>0</v>
      </c>
      <c r="C1062" s="0" t="s">
        <v>26</v>
      </c>
      <c r="D1062" s="0" t="s">
        <v>106</v>
      </c>
      <c r="E1062" s="0" t="str">
        <f>"s1_node_"&amp;D1062&amp;"_name"</f>
        <v>s1_node_battle_name</v>
      </c>
      <c r="F1062" s="13" t="str">
        <f>"s1_node_"&amp;D1062&amp;"_desc"</f>
        <v>s1_node_battle_desc</v>
      </c>
      <c r="G1062" s="0" t="s">
        <v>795</v>
      </c>
      <c r="H1062" s="0">
        <v>5</v>
      </c>
      <c r="I1062" s="0" t="s">
        <v>27</v>
      </c>
      <c r="J1062" s="0" t="s">
        <v>1105</v>
      </c>
      <c r="K1062" s="0">
        <v>4060</v>
      </c>
      <c r="L1062" s="13">
        <v>3</v>
      </c>
      <c r="M1062" s="0">
        <v>100</v>
      </c>
      <c r="N1062" s="0">
        <v>6</v>
      </c>
      <c r="P1062" s="0" t="s">
        <v>1107</v>
      </c>
      <c r="T1062" s="0" t="str">
        <f>_xlfn.TEXTJOIN("_",TRUE,C1062,"node_eff",D1062,M1062,N1062)</f>
        <v>s1_node_eff_battle_100_6</v>
      </c>
    </row>
    <row r="1063" spans="1:20" x14ac:dyDescent="0.45">
      <c r="A1063" s="0" t="str">
        <f>_xlfn.TEXTJOIN("_",TRUE,C1063,"node",D1063,M1063,N1063)</f>
        <v>s1_node_archive_1_4</v>
      </c>
      <c r="B1063" s="0" t="s">
        <v>0</v>
      </c>
      <c r="C1063" s="0" t="s">
        <v>26</v>
      </c>
      <c r="D1063" s="0" t="s">
        <v>107</v>
      </c>
      <c r="E1063" s="0" t="str">
        <f>"s1_node_"&amp;D1063&amp;"_name"</f>
        <v>s1_node_archive_name</v>
      </c>
      <c r="F1063" s="13" t="str">
        <f>"s1_node_"&amp;D1063&amp;"_desc"</f>
        <v>s1_node_archive_desc</v>
      </c>
      <c r="G1063" s="0" t="s">
        <v>422</v>
      </c>
      <c r="H1063" s="0">
        <v>1</v>
      </c>
      <c r="I1063" s="0" t="s">
        <v>27</v>
      </c>
      <c r="J1063" s="0" t="s">
        <v>146</v>
      </c>
      <c r="K1063" s="0">
        <v>180</v>
      </c>
      <c r="L1063" s="13">
        <v>3</v>
      </c>
      <c r="M1063" s="0">
        <v>1</v>
      </c>
      <c r="N1063" s="0">
        <v>4</v>
      </c>
      <c r="T1063" s="0" t="str">
        <f>_xlfn.TEXTJOIN("_",TRUE,C1063,"node_eff",D1063,M1063,N1063)</f>
        <v>s1_node_eff_archive_1_4</v>
      </c>
    </row>
    <row r="1064" spans="1:20" x14ac:dyDescent="0.45">
      <c r="A1064" s="0" t="str">
        <f>_xlfn.TEXTJOIN("_",TRUE,C1064,"node",D1064,M1064,N1064)</f>
        <v>s1_node_archive_2_2</v>
      </c>
      <c r="B1064" s="0" t="s">
        <v>0</v>
      </c>
      <c r="C1064" s="0" t="s">
        <v>26</v>
      </c>
      <c r="D1064" s="0" t="s">
        <v>107</v>
      </c>
      <c r="E1064" s="0" t="str">
        <f>"s1_node_"&amp;D1064&amp;"_name"</f>
        <v>s1_node_archive_name</v>
      </c>
      <c r="F1064" s="13" t="str">
        <f>"s1_node_"&amp;D1064&amp;"_desc"</f>
        <v>s1_node_archive_desc</v>
      </c>
      <c r="G1064" s="0" t="s">
        <v>422</v>
      </c>
      <c r="H1064" s="0">
        <v>1</v>
      </c>
      <c r="I1064" s="0" t="s">
        <v>27</v>
      </c>
      <c r="J1064" s="0" t="s">
        <v>150</v>
      </c>
      <c r="K1064" s="0">
        <v>220</v>
      </c>
      <c r="L1064" s="13">
        <v>3</v>
      </c>
      <c r="M1064" s="0">
        <v>2</v>
      </c>
      <c r="N1064" s="0">
        <v>2</v>
      </c>
      <c r="T1064" s="0" t="str">
        <f>_xlfn.TEXTJOIN("_",TRUE,C1064,"node_eff",D1064,M1064,N1064)</f>
        <v>s1_node_eff_archive_2_2</v>
      </c>
    </row>
    <row r="1065" spans="1:20" x14ac:dyDescent="0.45">
      <c r="A1065" s="0" t="str">
        <f>_xlfn.TEXTJOIN("_",TRUE,C1065,"node",D1065,M1065,N1065)</f>
        <v>s1_node_archive_2_4</v>
      </c>
      <c r="B1065" s="0" t="s">
        <v>0</v>
      </c>
      <c r="C1065" s="0" t="s">
        <v>26</v>
      </c>
      <c r="D1065" s="0" t="s">
        <v>107</v>
      </c>
      <c r="E1065" s="0" t="str">
        <f>"s1_node_"&amp;D1065&amp;"_name"</f>
        <v>s1_node_archive_name</v>
      </c>
      <c r="F1065" s="13" t="str">
        <f>"s1_node_"&amp;D1065&amp;"_desc"</f>
        <v>s1_node_archive_desc</v>
      </c>
      <c r="G1065" s="0" t="s">
        <v>615</v>
      </c>
      <c r="H1065" s="0">
        <v>1</v>
      </c>
      <c r="I1065" s="0" t="s">
        <v>27</v>
      </c>
      <c r="J1065" s="0" t="s">
        <v>150</v>
      </c>
      <c r="K1065" s="0">
        <v>220</v>
      </c>
      <c r="L1065" s="13">
        <v>3</v>
      </c>
      <c r="M1065" s="0">
        <v>2</v>
      </c>
      <c r="N1065" s="0">
        <v>4</v>
      </c>
      <c r="T1065" s="0" t="str">
        <f>_xlfn.TEXTJOIN("_",TRUE,C1065,"node_eff",D1065,M1065,N1065)</f>
        <v>s1_node_eff_archive_2_4</v>
      </c>
    </row>
    <row r="1066" spans="1:20" x14ac:dyDescent="0.45">
      <c r="A1066" s="0" t="str">
        <f>_xlfn.TEXTJOIN("_",TRUE,C1066,"node",D1066,M1066,N1066)</f>
        <v>s1_node_archive_2_6</v>
      </c>
      <c r="B1066" s="0" t="s">
        <v>0</v>
      </c>
      <c r="C1066" s="0" t="s">
        <v>26</v>
      </c>
      <c r="D1066" s="0" t="s">
        <v>107</v>
      </c>
      <c r="E1066" s="0" t="str">
        <f>"s1_node_"&amp;D1066&amp;"_name"</f>
        <v>s1_node_archive_name</v>
      </c>
      <c r="F1066" s="13" t="str">
        <f>"s1_node_"&amp;D1066&amp;"_desc"</f>
        <v>s1_node_archive_desc</v>
      </c>
      <c r="G1066" s="0" t="s">
        <v>788</v>
      </c>
      <c r="H1066" s="0">
        <v>1</v>
      </c>
      <c r="I1066" s="0" t="s">
        <v>27</v>
      </c>
      <c r="J1066" s="0" t="s">
        <v>150</v>
      </c>
      <c r="K1066" s="0">
        <v>220</v>
      </c>
      <c r="L1066" s="13">
        <v>3</v>
      </c>
      <c r="M1066" s="0">
        <v>2</v>
      </c>
      <c r="N1066" s="0">
        <v>6</v>
      </c>
      <c r="T1066" s="0" t="str">
        <f>_xlfn.TEXTJOIN("_",TRUE,C1066,"node_eff",D1066,M1066,N1066)</f>
        <v>s1_node_eff_archive_2_6</v>
      </c>
    </row>
    <row r="1067" spans="1:20" x14ac:dyDescent="0.45">
      <c r="A1067" s="0" t="str">
        <f>_xlfn.TEXTJOIN("_",TRUE,C1067,"node",D1067,M1067,N1067)</f>
        <v>s1_node_archive_3_2</v>
      </c>
      <c r="B1067" s="0" t="s">
        <v>0</v>
      </c>
      <c r="C1067" s="0" t="s">
        <v>26</v>
      </c>
      <c r="D1067" s="0" t="s">
        <v>107</v>
      </c>
      <c r="E1067" s="0" t="str">
        <f>"s1_node_"&amp;D1067&amp;"_name"</f>
        <v>s1_node_archive_name</v>
      </c>
      <c r="F1067" s="13" t="str">
        <f>"s1_node_"&amp;D1067&amp;"_desc"</f>
        <v>s1_node_archive_desc</v>
      </c>
      <c r="G1067" s="0" t="s">
        <v>149</v>
      </c>
      <c r="H1067" s="0">
        <v>1</v>
      </c>
      <c r="I1067" s="0" t="s">
        <v>27</v>
      </c>
      <c r="J1067" s="0" t="s">
        <v>153</v>
      </c>
      <c r="K1067" s="0">
        <v>250</v>
      </c>
      <c r="L1067" s="13">
        <v>3</v>
      </c>
      <c r="M1067" s="0">
        <v>3</v>
      </c>
      <c r="N1067" s="0">
        <v>2</v>
      </c>
      <c r="P1067" s="0" t="s">
        <v>1108</v>
      </c>
      <c r="T1067" s="0" t="str">
        <f>_xlfn.TEXTJOIN("_",TRUE,C1067,"node_eff",D1067,M1067,N1067)</f>
        <v>s1_node_eff_archive_3_2</v>
      </c>
    </row>
    <row r="1068" spans="1:20" x14ac:dyDescent="0.45">
      <c r="A1068" s="0" t="str">
        <f>_xlfn.TEXTJOIN("_",TRUE,C1068,"node",D1068,M1068,N1068)</f>
        <v>s1_node_archive_3_6</v>
      </c>
      <c r="B1068" s="0" t="s">
        <v>0</v>
      </c>
      <c r="C1068" s="0" t="s">
        <v>26</v>
      </c>
      <c r="D1068" s="0" t="s">
        <v>107</v>
      </c>
      <c r="E1068" s="0" t="str">
        <f>"s1_node_"&amp;D1068&amp;"_name"</f>
        <v>s1_node_archive_name</v>
      </c>
      <c r="F1068" s="13" t="str">
        <f>"s1_node_"&amp;D1068&amp;"_desc"</f>
        <v>s1_node_archive_desc</v>
      </c>
      <c r="G1068" s="0" t="s">
        <v>149</v>
      </c>
      <c r="H1068" s="0">
        <v>1</v>
      </c>
      <c r="I1068" s="0" t="s">
        <v>27</v>
      </c>
      <c r="J1068" s="0" t="s">
        <v>153</v>
      </c>
      <c r="K1068" s="0">
        <v>250</v>
      </c>
      <c r="L1068" s="13">
        <v>3</v>
      </c>
      <c r="M1068" s="0">
        <v>3</v>
      </c>
      <c r="N1068" s="0">
        <v>6</v>
      </c>
      <c r="P1068" s="0" t="s">
        <v>1109</v>
      </c>
      <c r="T1068" s="0" t="str">
        <f>_xlfn.TEXTJOIN("_",TRUE,C1068,"node_eff",D1068,M1068,N1068)</f>
        <v>s1_node_eff_archive_3_6</v>
      </c>
    </row>
    <row r="1069" spans="1:20" x14ac:dyDescent="0.45">
      <c r="A1069" s="0" t="str">
        <f>_xlfn.TEXTJOIN("_",TRUE,C1069,"node",D1069,M1069,N1069)</f>
        <v>s1_node_archive_4_2</v>
      </c>
      <c r="B1069" s="0" t="s">
        <v>0</v>
      </c>
      <c r="C1069" s="0" t="s">
        <v>26</v>
      </c>
      <c r="D1069" s="0" t="s">
        <v>107</v>
      </c>
      <c r="E1069" s="0" t="str">
        <f>"s1_node_"&amp;D1069&amp;"_name"</f>
        <v>s1_node_archive_name</v>
      </c>
      <c r="F1069" s="13" t="str">
        <f>"s1_node_"&amp;D1069&amp;"_desc"</f>
        <v>s1_node_archive_desc</v>
      </c>
      <c r="G1069" s="0" t="s">
        <v>795</v>
      </c>
      <c r="H1069" s="0">
        <v>1</v>
      </c>
      <c r="I1069" s="0" t="s">
        <v>27</v>
      </c>
      <c r="J1069" s="0" t="s">
        <v>156</v>
      </c>
      <c r="K1069" s="0">
        <v>290</v>
      </c>
      <c r="L1069" s="13">
        <v>3</v>
      </c>
      <c r="M1069" s="0">
        <v>4</v>
      </c>
      <c r="N1069" s="0">
        <v>2</v>
      </c>
      <c r="T1069" s="0" t="str">
        <f>_xlfn.TEXTJOIN("_",TRUE,C1069,"node_eff",D1069,M1069,N1069)</f>
        <v>s1_node_eff_archive_4_2</v>
      </c>
    </row>
    <row r="1070" spans="1:20" x14ac:dyDescent="0.45">
      <c r="A1070" s="0" t="str">
        <f>_xlfn.TEXTJOIN("_",TRUE,C1070,"node",D1070,M1070,N1070)</f>
        <v>s1_node_archive_4_4</v>
      </c>
      <c r="B1070" s="0" t="s">
        <v>0</v>
      </c>
      <c r="C1070" s="0" t="s">
        <v>26</v>
      </c>
      <c r="D1070" s="0" t="s">
        <v>107</v>
      </c>
      <c r="E1070" s="0" t="str">
        <f>"s1_node_"&amp;D1070&amp;"_name"</f>
        <v>s1_node_archive_name</v>
      </c>
      <c r="F1070" s="13" t="str">
        <f>"s1_node_"&amp;D1070&amp;"_desc"</f>
        <v>s1_node_archive_desc</v>
      </c>
      <c r="G1070" s="0" t="s">
        <v>149</v>
      </c>
      <c r="H1070" s="0">
        <v>1</v>
      </c>
      <c r="I1070" s="0" t="s">
        <v>27</v>
      </c>
      <c r="J1070" s="0" t="s">
        <v>156</v>
      </c>
      <c r="K1070" s="0">
        <v>290</v>
      </c>
      <c r="L1070" s="13">
        <v>3</v>
      </c>
      <c r="M1070" s="0">
        <v>4</v>
      </c>
      <c r="N1070" s="0">
        <v>4</v>
      </c>
      <c r="P1070" s="0" t="s">
        <v>1110</v>
      </c>
      <c r="T1070" s="0" t="str">
        <f>_xlfn.TEXTJOIN("_",TRUE,C1070,"node_eff",D1070,M1070,N1070)</f>
        <v>s1_node_eff_archive_4_4</v>
      </c>
    </row>
    <row r="1071" spans="1:20" x14ac:dyDescent="0.45">
      <c r="A1071" s="0" t="str">
        <f>_xlfn.TEXTJOIN("_",TRUE,C1071,"node",D1071,M1071,N1071)</f>
        <v>s1_node_archive_4_6</v>
      </c>
      <c r="B1071" s="0" t="s">
        <v>0</v>
      </c>
      <c r="C1071" s="0" t="s">
        <v>26</v>
      </c>
      <c r="D1071" s="0" t="s">
        <v>107</v>
      </c>
      <c r="E1071" s="0" t="str">
        <f>"s1_node_"&amp;D1071&amp;"_name"</f>
        <v>s1_node_archive_name</v>
      </c>
      <c r="F1071" s="13" t="str">
        <f>"s1_node_"&amp;D1071&amp;"_desc"</f>
        <v>s1_node_archive_desc</v>
      </c>
      <c r="G1071" s="0" t="s">
        <v>149</v>
      </c>
      <c r="H1071" s="0">
        <v>1</v>
      </c>
      <c r="I1071" s="0" t="s">
        <v>27</v>
      </c>
      <c r="J1071" s="0" t="s">
        <v>156</v>
      </c>
      <c r="K1071" s="0">
        <v>290</v>
      </c>
      <c r="L1071" s="13">
        <v>3</v>
      </c>
      <c r="M1071" s="0">
        <v>4</v>
      </c>
      <c r="N1071" s="0">
        <v>6</v>
      </c>
      <c r="T1071" s="0" t="str">
        <f>_xlfn.TEXTJOIN("_",TRUE,C1071,"node_eff",D1071,M1071,N1071)</f>
        <v>s1_node_eff_archive_4_6</v>
      </c>
    </row>
    <row r="1072" spans="1:20" x14ac:dyDescent="0.45">
      <c r="A1072" s="0" t="str">
        <f>_xlfn.TEXTJOIN("_",TRUE,C1072,"node",D1072,M1072,N1072)</f>
        <v>s1_node_archive_5_2</v>
      </c>
      <c r="B1072" s="0" t="s">
        <v>0</v>
      </c>
      <c r="C1072" s="0" t="s">
        <v>26</v>
      </c>
      <c r="D1072" s="0" t="s">
        <v>107</v>
      </c>
      <c r="E1072" s="0" t="str">
        <f>"s1_node_"&amp;D1072&amp;"_name"</f>
        <v>s1_node_archive_name</v>
      </c>
      <c r="F1072" s="13" t="str">
        <f>"s1_node_"&amp;D1072&amp;"_desc"</f>
        <v>s1_node_archive_desc</v>
      </c>
      <c r="G1072" s="0" t="s">
        <v>795</v>
      </c>
      <c r="H1072" s="0">
        <v>1</v>
      </c>
      <c r="I1072" s="0" t="s">
        <v>27</v>
      </c>
      <c r="J1072" s="0" t="s">
        <v>428</v>
      </c>
      <c r="K1072" s="0">
        <v>330</v>
      </c>
      <c r="L1072" s="13">
        <v>3</v>
      </c>
      <c r="M1072" s="0">
        <v>5</v>
      </c>
      <c r="N1072" s="0">
        <v>2</v>
      </c>
      <c r="P1072" s="0" t="s">
        <v>1111</v>
      </c>
      <c r="T1072" s="0" t="str">
        <f>_xlfn.TEXTJOIN("_",TRUE,C1072,"node_eff",D1072,M1072,N1072)</f>
        <v>s1_node_eff_archive_5_2</v>
      </c>
    </row>
    <row r="1073" spans="1:20" x14ac:dyDescent="0.45">
      <c r="A1073" s="0" t="str">
        <f>_xlfn.TEXTJOIN("_",TRUE,C1073,"node",D1073,M1073,N1073)</f>
        <v>s1_node_archive_5_6</v>
      </c>
      <c r="B1073" s="0" t="s">
        <v>0</v>
      </c>
      <c r="C1073" s="0" t="s">
        <v>26</v>
      </c>
      <c r="D1073" s="0" t="s">
        <v>107</v>
      </c>
      <c r="E1073" s="0" t="str">
        <f>"s1_node_"&amp;D1073&amp;"_name"</f>
        <v>s1_node_archive_name</v>
      </c>
      <c r="F1073" s="13" t="str">
        <f>"s1_node_"&amp;D1073&amp;"_desc"</f>
        <v>s1_node_archive_desc</v>
      </c>
      <c r="G1073" s="0" t="s">
        <v>149</v>
      </c>
      <c r="H1073" s="0">
        <v>1</v>
      </c>
      <c r="I1073" s="0" t="s">
        <v>27</v>
      </c>
      <c r="J1073" s="0" t="s">
        <v>428</v>
      </c>
      <c r="K1073" s="0">
        <v>330</v>
      </c>
      <c r="L1073" s="13">
        <v>3</v>
      </c>
      <c r="M1073" s="0">
        <v>5</v>
      </c>
      <c r="N1073" s="0">
        <v>6</v>
      </c>
      <c r="P1073" s="0" t="s">
        <v>1112</v>
      </c>
      <c r="T1073" s="0" t="str">
        <f>_xlfn.TEXTJOIN("_",TRUE,C1073,"node_eff",D1073,M1073,N1073)</f>
        <v>s1_node_eff_archive_5_6</v>
      </c>
    </row>
    <row r="1074" spans="1:20" x14ac:dyDescent="0.45">
      <c r="A1074" s="0" t="str">
        <f>_xlfn.TEXTJOIN("_",TRUE,C1074,"node",D1074,M1074,N1074)</f>
        <v>s1_node_archive_6_4</v>
      </c>
      <c r="B1074" s="0" t="s">
        <v>0</v>
      </c>
      <c r="C1074" s="0" t="s">
        <v>26</v>
      </c>
      <c r="D1074" s="0" t="s">
        <v>107</v>
      </c>
      <c r="E1074" s="0" t="str">
        <f>"s1_node_"&amp;D1074&amp;"_name"</f>
        <v>s1_node_archive_name</v>
      </c>
      <c r="F1074" s="13" t="str">
        <f>"s1_node_"&amp;D1074&amp;"_desc"</f>
        <v>s1_node_archive_desc</v>
      </c>
      <c r="G1074" s="0" t="s">
        <v>149</v>
      </c>
      <c r="H1074" s="0">
        <v>1</v>
      </c>
      <c r="I1074" s="0" t="s">
        <v>27</v>
      </c>
      <c r="J1074" s="0" t="s">
        <v>161</v>
      </c>
      <c r="K1074" s="0">
        <v>360</v>
      </c>
      <c r="L1074" s="13">
        <v>3</v>
      </c>
      <c r="M1074" s="0">
        <v>6</v>
      </c>
      <c r="N1074" s="0">
        <v>4</v>
      </c>
      <c r="P1074" s="0" t="s">
        <v>1113</v>
      </c>
      <c r="T1074" s="0" t="str">
        <f>_xlfn.TEXTJOIN("_",TRUE,C1074,"node_eff",D1074,M1074,N1074)</f>
        <v>s1_node_eff_archive_6_4</v>
      </c>
    </row>
    <row r="1075" spans="1:20" x14ac:dyDescent="0.45">
      <c r="A1075" s="0" t="str">
        <f>_xlfn.TEXTJOIN("_",TRUE,C1075,"node",D1075,M1075,N1075)</f>
        <v>s1_node_archive_7_2</v>
      </c>
      <c r="B1075" s="0" t="s">
        <v>0</v>
      </c>
      <c r="C1075" s="0" t="s">
        <v>26</v>
      </c>
      <c r="D1075" s="0" t="s">
        <v>107</v>
      </c>
      <c r="E1075" s="0" t="str">
        <f>"s1_node_"&amp;D1075&amp;"_name"</f>
        <v>s1_node_archive_name</v>
      </c>
      <c r="F1075" s="13" t="str">
        <f>"s1_node_"&amp;D1075&amp;"_desc"</f>
        <v>s1_node_archive_desc</v>
      </c>
      <c r="G1075" s="0" t="s">
        <v>149</v>
      </c>
      <c r="H1075" s="0">
        <v>1</v>
      </c>
      <c r="I1075" s="0" t="s">
        <v>27</v>
      </c>
      <c r="J1075" s="0" t="s">
        <v>431</v>
      </c>
      <c r="K1075" s="0">
        <v>400</v>
      </c>
      <c r="L1075" s="13">
        <v>3</v>
      </c>
      <c r="M1075" s="0">
        <v>7</v>
      </c>
      <c r="N1075" s="0">
        <v>2</v>
      </c>
      <c r="T1075" s="0" t="str">
        <f>_xlfn.TEXTJOIN("_",TRUE,C1075,"node_eff",D1075,M1075,N1075)</f>
        <v>s1_node_eff_archive_7_2</v>
      </c>
    </row>
    <row r="1076" spans="1:20" x14ac:dyDescent="0.45">
      <c r="A1076" s="0" t="str">
        <f>_xlfn.TEXTJOIN("_",TRUE,C1076,"node",D1076,M1076,N1076)</f>
        <v>s1_node_archive_7_4</v>
      </c>
      <c r="B1076" s="0" t="s">
        <v>0</v>
      </c>
      <c r="C1076" s="0" t="s">
        <v>26</v>
      </c>
      <c r="D1076" s="0" t="s">
        <v>107</v>
      </c>
      <c r="E1076" s="0" t="str">
        <f>"s1_node_"&amp;D1076&amp;"_name"</f>
        <v>s1_node_archive_name</v>
      </c>
      <c r="F1076" s="13" t="str">
        <f>"s1_node_"&amp;D1076&amp;"_desc"</f>
        <v>s1_node_archive_desc</v>
      </c>
      <c r="G1076" s="0" t="s">
        <v>422</v>
      </c>
      <c r="H1076" s="0">
        <v>1</v>
      </c>
      <c r="I1076" s="0" t="s">
        <v>27</v>
      </c>
      <c r="J1076" s="0" t="s">
        <v>431</v>
      </c>
      <c r="K1076" s="0">
        <v>400</v>
      </c>
      <c r="L1076" s="13">
        <v>3</v>
      </c>
      <c r="M1076" s="0">
        <v>7</v>
      </c>
      <c r="N1076" s="0">
        <v>4</v>
      </c>
      <c r="T1076" s="0" t="str">
        <f>_xlfn.TEXTJOIN("_",TRUE,C1076,"node_eff",D1076,M1076,N1076)</f>
        <v>s1_node_eff_archive_7_4</v>
      </c>
    </row>
    <row r="1077" spans="1:20" x14ac:dyDescent="0.45">
      <c r="A1077" s="0" t="str">
        <f>_xlfn.TEXTJOIN("_",TRUE,C1077,"node",D1077,M1077,N1077)</f>
        <v>s1_node_archive_7_6</v>
      </c>
      <c r="B1077" s="0" t="s">
        <v>0</v>
      </c>
      <c r="C1077" s="0" t="s">
        <v>26</v>
      </c>
      <c r="D1077" s="0" t="s">
        <v>107</v>
      </c>
      <c r="E1077" s="0" t="str">
        <f>"s1_node_"&amp;D1077&amp;"_name"</f>
        <v>s1_node_archive_name</v>
      </c>
      <c r="F1077" s="13" t="str">
        <f>"s1_node_"&amp;D1077&amp;"_desc"</f>
        <v>s1_node_archive_desc</v>
      </c>
      <c r="G1077" s="0" t="s">
        <v>422</v>
      </c>
      <c r="H1077" s="0">
        <v>1</v>
      </c>
      <c r="I1077" s="0" t="s">
        <v>27</v>
      </c>
      <c r="J1077" s="0" t="s">
        <v>431</v>
      </c>
      <c r="K1077" s="0">
        <v>400</v>
      </c>
      <c r="L1077" s="13">
        <v>3</v>
      </c>
      <c r="M1077" s="0">
        <v>7</v>
      </c>
      <c r="N1077" s="0">
        <v>6</v>
      </c>
      <c r="T1077" s="0" t="str">
        <f>_xlfn.TEXTJOIN("_",TRUE,C1077,"node_eff",D1077,M1077,N1077)</f>
        <v>s1_node_eff_archive_7_6</v>
      </c>
    </row>
    <row r="1078" spans="1:20" x14ac:dyDescent="0.45">
      <c r="A1078" s="0" t="str">
        <f>_xlfn.TEXTJOIN("_",TRUE,C1078,"node",D1078,M1078,N1078)</f>
        <v>s1_node_archive_8_2</v>
      </c>
      <c r="B1078" s="0" t="s">
        <v>0</v>
      </c>
      <c r="C1078" s="0" t="s">
        <v>26</v>
      </c>
      <c r="D1078" s="0" t="s">
        <v>107</v>
      </c>
      <c r="E1078" s="0" t="str">
        <f>"s1_node_"&amp;D1078&amp;"_name"</f>
        <v>s1_node_archive_name</v>
      </c>
      <c r="F1078" s="13" t="str">
        <f>"s1_node_"&amp;D1078&amp;"_desc"</f>
        <v>s1_node_archive_desc</v>
      </c>
      <c r="G1078" s="0" t="s">
        <v>615</v>
      </c>
      <c r="H1078" s="0">
        <v>1</v>
      </c>
      <c r="I1078" s="0" t="s">
        <v>27</v>
      </c>
      <c r="J1078" s="0" t="s">
        <v>626</v>
      </c>
      <c r="K1078" s="0">
        <v>440</v>
      </c>
      <c r="L1078" s="13">
        <v>3</v>
      </c>
      <c r="M1078" s="0">
        <v>8</v>
      </c>
      <c r="N1078" s="0">
        <v>2</v>
      </c>
      <c r="P1078" s="0" t="s">
        <v>1114</v>
      </c>
      <c r="T1078" s="0" t="str">
        <f>_xlfn.TEXTJOIN("_",TRUE,C1078,"node_eff",D1078,M1078,N1078)</f>
        <v>s1_node_eff_archive_8_2</v>
      </c>
    </row>
    <row r="1079" spans="1:20" x14ac:dyDescent="0.45">
      <c r="A1079" s="0" t="str">
        <f>_xlfn.TEXTJOIN("_",TRUE,C1079,"node",D1079,M1079,N1079)</f>
        <v>s1_node_archive_8_6</v>
      </c>
      <c r="B1079" s="0" t="s">
        <v>0</v>
      </c>
      <c r="C1079" s="0" t="s">
        <v>26</v>
      </c>
      <c r="D1079" s="0" t="s">
        <v>107</v>
      </c>
      <c r="E1079" s="0" t="str">
        <f>"s1_node_"&amp;D1079&amp;"_name"</f>
        <v>s1_node_archive_name</v>
      </c>
      <c r="F1079" s="13" t="str">
        <f>"s1_node_"&amp;D1079&amp;"_desc"</f>
        <v>s1_node_archive_desc</v>
      </c>
      <c r="G1079" s="0" t="s">
        <v>788</v>
      </c>
      <c r="H1079" s="0">
        <v>1</v>
      </c>
      <c r="I1079" s="0" t="s">
        <v>27</v>
      </c>
      <c r="J1079" s="0" t="s">
        <v>626</v>
      </c>
      <c r="K1079" s="0">
        <v>440</v>
      </c>
      <c r="L1079" s="13">
        <v>3</v>
      </c>
      <c r="M1079" s="0">
        <v>8</v>
      </c>
      <c r="N1079" s="0">
        <v>6</v>
      </c>
      <c r="P1079" s="0" t="s">
        <v>1115</v>
      </c>
      <c r="T1079" s="0" t="str">
        <f>_xlfn.TEXTJOIN("_",TRUE,C1079,"node_eff",D1079,M1079,N1079)</f>
        <v>s1_node_eff_archive_8_6</v>
      </c>
    </row>
    <row r="1080" spans="1:20" x14ac:dyDescent="0.45">
      <c r="A1080" s="0" t="str">
        <f>_xlfn.TEXTJOIN("_",TRUE,C1080,"node",D1080,M1080,N1080)</f>
        <v>s1_node_archive_9_2</v>
      </c>
      <c r="B1080" s="0" t="s">
        <v>0</v>
      </c>
      <c r="C1080" s="0" t="s">
        <v>26</v>
      </c>
      <c r="D1080" s="0" t="s">
        <v>107</v>
      </c>
      <c r="E1080" s="0" t="str">
        <f>"s1_node_"&amp;D1080&amp;"_name"</f>
        <v>s1_node_archive_name</v>
      </c>
      <c r="F1080" s="13" t="str">
        <f>"s1_node_"&amp;D1080&amp;"_desc"</f>
        <v>s1_node_archive_desc</v>
      </c>
      <c r="G1080" s="0" t="s">
        <v>149</v>
      </c>
      <c r="H1080" s="0">
        <v>1</v>
      </c>
      <c r="I1080" s="0" t="s">
        <v>27</v>
      </c>
      <c r="J1080" s="0" t="s">
        <v>628</v>
      </c>
      <c r="K1080" s="0">
        <v>480</v>
      </c>
      <c r="L1080" s="13">
        <v>3</v>
      </c>
      <c r="M1080" s="0">
        <v>9</v>
      </c>
      <c r="N1080" s="0">
        <v>2</v>
      </c>
      <c r="T1080" s="0" t="str">
        <f>_xlfn.TEXTJOIN("_",TRUE,C1080,"node_eff",D1080,M1080,N1080)</f>
        <v>s1_node_eff_archive_9_2</v>
      </c>
    </row>
    <row r="1081" spans="1:20" x14ac:dyDescent="0.45">
      <c r="A1081" s="0" t="str">
        <f>_xlfn.TEXTJOIN("_",TRUE,C1081,"node",D1081,M1081,N1081)</f>
        <v>s1_node_archive_9_4</v>
      </c>
      <c r="B1081" s="0" t="s">
        <v>0</v>
      </c>
      <c r="C1081" s="0" t="s">
        <v>26</v>
      </c>
      <c r="D1081" s="0" t="s">
        <v>107</v>
      </c>
      <c r="E1081" s="0" t="str">
        <f>"s1_node_"&amp;D1081&amp;"_name"</f>
        <v>s1_node_archive_name</v>
      </c>
      <c r="F1081" s="13" t="str">
        <f>"s1_node_"&amp;D1081&amp;"_desc"</f>
        <v>s1_node_archive_desc</v>
      </c>
      <c r="G1081" s="0" t="s">
        <v>149</v>
      </c>
      <c r="H1081" s="0">
        <v>1</v>
      </c>
      <c r="I1081" s="0" t="s">
        <v>27</v>
      </c>
      <c r="J1081" s="0" t="s">
        <v>628</v>
      </c>
      <c r="K1081" s="0">
        <v>480</v>
      </c>
      <c r="L1081" s="13">
        <v>3</v>
      </c>
      <c r="M1081" s="0">
        <v>9</v>
      </c>
      <c r="N1081" s="0">
        <v>4</v>
      </c>
      <c r="P1081" s="0" t="s">
        <v>1116</v>
      </c>
      <c r="T1081" s="0" t="str">
        <f>_xlfn.TEXTJOIN("_",TRUE,C1081,"node_eff",D1081,M1081,N1081)</f>
        <v>s1_node_eff_archive_9_4</v>
      </c>
    </row>
    <row r="1082" spans="1:20" x14ac:dyDescent="0.45">
      <c r="A1082" s="0" t="str">
        <f>_xlfn.TEXTJOIN("_",TRUE,C1082,"node",D1082,M1082,N1082)</f>
        <v>s1_node_archive_9_6</v>
      </c>
      <c r="B1082" s="0" t="s">
        <v>0</v>
      </c>
      <c r="C1082" s="0" t="s">
        <v>26</v>
      </c>
      <c r="D1082" s="0" t="s">
        <v>107</v>
      </c>
      <c r="E1082" s="0" t="str">
        <f>"s1_node_"&amp;D1082&amp;"_name"</f>
        <v>s1_node_archive_name</v>
      </c>
      <c r="F1082" s="13" t="str">
        <f>"s1_node_"&amp;D1082&amp;"_desc"</f>
        <v>s1_node_archive_desc</v>
      </c>
      <c r="G1082" s="0" t="s">
        <v>795</v>
      </c>
      <c r="H1082" s="0">
        <v>1</v>
      </c>
      <c r="I1082" s="0" t="s">
        <v>27</v>
      </c>
      <c r="J1082" s="0" t="s">
        <v>628</v>
      </c>
      <c r="K1082" s="0">
        <v>480</v>
      </c>
      <c r="L1082" s="13">
        <v>3</v>
      </c>
      <c r="M1082" s="0">
        <v>9</v>
      </c>
      <c r="N1082" s="0">
        <v>6</v>
      </c>
      <c r="T1082" s="0" t="str">
        <f>_xlfn.TEXTJOIN("_",TRUE,C1082,"node_eff",D1082,M1082,N1082)</f>
        <v>s1_node_eff_archive_9_6</v>
      </c>
    </row>
    <row r="1083" spans="1:20" x14ac:dyDescent="0.45">
      <c r="A1083" s="0" t="str">
        <f>_xlfn.TEXTJOIN("_",TRUE,C1083,"node",D1083,M1083,N1083)</f>
        <v>s1_node_archive_10_2</v>
      </c>
      <c r="B1083" s="0" t="s">
        <v>0</v>
      </c>
      <c r="C1083" s="0" t="s">
        <v>26</v>
      </c>
      <c r="D1083" s="0" t="s">
        <v>107</v>
      </c>
      <c r="E1083" s="0" t="str">
        <f>"s1_node_"&amp;D1083&amp;"_name"</f>
        <v>s1_node_archive_name</v>
      </c>
      <c r="F1083" s="13" t="str">
        <f>"s1_node_"&amp;D1083&amp;"_desc"</f>
        <v>s1_node_archive_desc</v>
      </c>
      <c r="G1083" s="0" t="s">
        <v>149</v>
      </c>
      <c r="H1083" s="0">
        <v>1</v>
      </c>
      <c r="I1083" s="0" t="s">
        <v>27</v>
      </c>
      <c r="J1083" s="0" t="s">
        <v>1117</v>
      </c>
      <c r="K1083" s="0">
        <v>510</v>
      </c>
      <c r="L1083" s="13">
        <v>3</v>
      </c>
      <c r="M1083" s="0">
        <v>10</v>
      </c>
      <c r="N1083" s="0">
        <v>2</v>
      </c>
      <c r="P1083" s="0" t="s">
        <v>1118</v>
      </c>
      <c r="T1083" s="0" t="str">
        <f>_xlfn.TEXTJOIN("_",TRUE,C1083,"node_eff",D1083,M1083,N1083)</f>
        <v>s1_node_eff_archive_10_2</v>
      </c>
    </row>
    <row r="1084" spans="1:20" x14ac:dyDescent="0.45">
      <c r="A1084" s="0" t="str">
        <f>_xlfn.TEXTJOIN("_",TRUE,C1084,"node",D1084,M1084,N1084)</f>
        <v>s1_node_archive_10_6</v>
      </c>
      <c r="B1084" s="0" t="s">
        <v>0</v>
      </c>
      <c r="C1084" s="0" t="s">
        <v>26</v>
      </c>
      <c r="D1084" s="0" t="s">
        <v>107</v>
      </c>
      <c r="E1084" s="0" t="str">
        <f>"s1_node_"&amp;D1084&amp;"_name"</f>
        <v>s1_node_archive_name</v>
      </c>
      <c r="F1084" s="13" t="str">
        <f>"s1_node_"&amp;D1084&amp;"_desc"</f>
        <v>s1_node_archive_desc</v>
      </c>
      <c r="G1084" s="0" t="s">
        <v>149</v>
      </c>
      <c r="H1084" s="0">
        <v>1</v>
      </c>
      <c r="I1084" s="0" t="s">
        <v>27</v>
      </c>
      <c r="J1084" s="0" t="s">
        <v>1117</v>
      </c>
      <c r="K1084" s="0">
        <v>510</v>
      </c>
      <c r="L1084" s="13">
        <v>3</v>
      </c>
      <c r="M1084" s="0">
        <v>10</v>
      </c>
      <c r="N1084" s="0">
        <v>6</v>
      </c>
      <c r="P1084" s="0" t="s">
        <v>1119</v>
      </c>
      <c r="T1084" s="0" t="str">
        <f>_xlfn.TEXTJOIN("_",TRUE,C1084,"node_eff",D1084,M1084,N1084)</f>
        <v>s1_node_eff_archive_10_6</v>
      </c>
    </row>
    <row r="1085" spans="1:20" x14ac:dyDescent="0.45">
      <c r="A1085" s="0" t="str">
        <f>_xlfn.TEXTJOIN("_",TRUE,C1085,"node",D1085,M1085,N1085)</f>
        <v>s1_node_archive_11_4</v>
      </c>
      <c r="B1085" s="0" t="s">
        <v>0</v>
      </c>
      <c r="C1085" s="0" t="s">
        <v>26</v>
      </c>
      <c r="D1085" s="0" t="s">
        <v>107</v>
      </c>
      <c r="E1085" s="0" t="str">
        <f>"s1_node_"&amp;D1085&amp;"_name"</f>
        <v>s1_node_archive_name</v>
      </c>
      <c r="F1085" s="13" t="str">
        <f>"s1_node_"&amp;D1085&amp;"_desc"</f>
        <v>s1_node_archive_desc</v>
      </c>
      <c r="G1085" s="0" t="s">
        <v>795</v>
      </c>
      <c r="H1085" s="0">
        <v>1</v>
      </c>
      <c r="I1085" s="0" t="s">
        <v>27</v>
      </c>
      <c r="J1085" s="0" t="s">
        <v>633</v>
      </c>
      <c r="K1085" s="0">
        <v>550</v>
      </c>
      <c r="L1085" s="13">
        <v>3</v>
      </c>
      <c r="M1085" s="0">
        <v>11</v>
      </c>
      <c r="N1085" s="0">
        <v>4</v>
      </c>
      <c r="P1085" s="0" t="s">
        <v>1120</v>
      </c>
      <c r="T1085" s="0" t="str">
        <f>_xlfn.TEXTJOIN("_",TRUE,C1085,"node_eff",D1085,M1085,N1085)</f>
        <v>s1_node_eff_archive_11_4</v>
      </c>
    </row>
    <row r="1086" spans="1:20" x14ac:dyDescent="0.45">
      <c r="A1086" s="0" t="str">
        <f>_xlfn.TEXTJOIN("_",TRUE,C1086,"node",D1086,M1086,N1086)</f>
        <v>s1_node_archive_12_2</v>
      </c>
      <c r="B1086" s="0" t="s">
        <v>0</v>
      </c>
      <c r="C1086" s="0" t="s">
        <v>26</v>
      </c>
      <c r="D1086" s="0" t="s">
        <v>107</v>
      </c>
      <c r="E1086" s="0" t="str">
        <f>"s1_node_"&amp;D1086&amp;"_name"</f>
        <v>s1_node_archive_name</v>
      </c>
      <c r="F1086" s="13" t="str">
        <f>"s1_node_"&amp;D1086&amp;"_desc"</f>
        <v>s1_node_archive_desc</v>
      </c>
      <c r="G1086" s="0" t="s">
        <v>149</v>
      </c>
      <c r="H1086" s="0">
        <v>1</v>
      </c>
      <c r="I1086" s="0" t="s">
        <v>27</v>
      </c>
      <c r="J1086" s="0" t="s">
        <v>634</v>
      </c>
      <c r="K1086" s="0">
        <v>590</v>
      </c>
      <c r="L1086" s="13">
        <v>3</v>
      </c>
      <c r="M1086" s="0">
        <v>12</v>
      </c>
      <c r="N1086" s="0">
        <v>2</v>
      </c>
      <c r="T1086" s="0" t="str">
        <f>_xlfn.TEXTJOIN("_",TRUE,C1086,"node_eff",D1086,M1086,N1086)</f>
        <v>s1_node_eff_archive_12_2</v>
      </c>
    </row>
    <row r="1087" spans="1:20" x14ac:dyDescent="0.45">
      <c r="A1087" s="0" t="str">
        <f>_xlfn.TEXTJOIN("_",TRUE,C1087,"node",D1087,M1087,N1087)</f>
        <v>s1_node_archive_12_4</v>
      </c>
      <c r="B1087" s="0" t="s">
        <v>0</v>
      </c>
      <c r="C1087" s="0" t="s">
        <v>26</v>
      </c>
      <c r="D1087" s="0" t="s">
        <v>107</v>
      </c>
      <c r="E1087" s="0" t="str">
        <f>"s1_node_"&amp;D1087&amp;"_name"</f>
        <v>s1_node_archive_name</v>
      </c>
      <c r="F1087" s="13" t="str">
        <f>"s1_node_"&amp;D1087&amp;"_desc"</f>
        <v>s1_node_archive_desc</v>
      </c>
      <c r="G1087" s="0" t="s">
        <v>149</v>
      </c>
      <c r="H1087" s="0">
        <v>1</v>
      </c>
      <c r="I1087" s="0" t="s">
        <v>27</v>
      </c>
      <c r="J1087" s="0" t="s">
        <v>634</v>
      </c>
      <c r="K1087" s="0">
        <v>590</v>
      </c>
      <c r="L1087" s="13">
        <v>3</v>
      </c>
      <c r="M1087" s="0">
        <v>12</v>
      </c>
      <c r="N1087" s="0">
        <v>4</v>
      </c>
      <c r="T1087" s="0" t="str">
        <f>_xlfn.TEXTJOIN("_",TRUE,C1087,"node_eff",D1087,M1087,N1087)</f>
        <v>s1_node_eff_archive_12_4</v>
      </c>
    </row>
    <row r="1088" spans="1:20" x14ac:dyDescent="0.45">
      <c r="A1088" s="0" t="str">
        <f>_xlfn.TEXTJOIN("_",TRUE,C1088,"node",D1088,M1088,N1088)</f>
        <v>s1_node_archive_12_6</v>
      </c>
      <c r="B1088" s="0" t="s">
        <v>0</v>
      </c>
      <c r="C1088" s="0" t="s">
        <v>26</v>
      </c>
      <c r="D1088" s="0" t="s">
        <v>107</v>
      </c>
      <c r="E1088" s="0" t="str">
        <f>"s1_node_"&amp;D1088&amp;"_name"</f>
        <v>s1_node_archive_name</v>
      </c>
      <c r="F1088" s="13" t="str">
        <f>"s1_node_"&amp;D1088&amp;"_desc"</f>
        <v>s1_node_archive_desc</v>
      </c>
      <c r="G1088" s="0" t="s">
        <v>149</v>
      </c>
      <c r="H1088" s="0">
        <v>1</v>
      </c>
      <c r="I1088" s="0" t="s">
        <v>27</v>
      </c>
      <c r="J1088" s="0" t="s">
        <v>634</v>
      </c>
      <c r="K1088" s="0">
        <v>590</v>
      </c>
      <c r="L1088" s="13">
        <v>3</v>
      </c>
      <c r="M1088" s="0">
        <v>12</v>
      </c>
      <c r="N1088" s="0">
        <v>6</v>
      </c>
      <c r="T1088" s="0" t="str">
        <f>_xlfn.TEXTJOIN("_",TRUE,C1088,"node_eff",D1088,M1088,N1088)</f>
        <v>s1_node_eff_archive_12_6</v>
      </c>
    </row>
    <row r="1089" spans="1:20" x14ac:dyDescent="0.45">
      <c r="A1089" s="0" t="str">
        <f>_xlfn.TEXTJOIN("_",TRUE,C1089,"node",D1089,M1089,N1089)</f>
        <v>s1_node_archive_13_2</v>
      </c>
      <c r="B1089" s="0" t="s">
        <v>0</v>
      </c>
      <c r="C1089" s="0" t="s">
        <v>26</v>
      </c>
      <c r="D1089" s="0" t="s">
        <v>107</v>
      </c>
      <c r="E1089" s="0" t="str">
        <f>"s1_node_"&amp;D1089&amp;"_name"</f>
        <v>s1_node_archive_name</v>
      </c>
      <c r="F1089" s="13" t="str">
        <f>"s1_node_"&amp;D1089&amp;"_desc"</f>
        <v>s1_node_archive_desc</v>
      </c>
      <c r="G1089" s="0" t="s">
        <v>422</v>
      </c>
      <c r="H1089" s="0">
        <v>1</v>
      </c>
      <c r="I1089" s="0" t="s">
        <v>27</v>
      </c>
      <c r="J1089" s="0" t="s">
        <v>808</v>
      </c>
      <c r="K1089" s="0">
        <v>620</v>
      </c>
      <c r="L1089" s="13">
        <v>3</v>
      </c>
      <c r="M1089" s="0">
        <v>13</v>
      </c>
      <c r="N1089" s="0">
        <v>2</v>
      </c>
      <c r="P1089" s="0" t="s">
        <v>1121</v>
      </c>
      <c r="T1089" s="0" t="str">
        <f>_xlfn.TEXTJOIN("_",TRUE,C1089,"node_eff",D1089,M1089,N1089)</f>
        <v>s1_node_eff_archive_13_2</v>
      </c>
    </row>
    <row r="1090" spans="1:20" x14ac:dyDescent="0.45">
      <c r="A1090" s="0" t="str">
        <f>_xlfn.TEXTJOIN("_",TRUE,C1090,"node",D1090,M1090,N1090)</f>
        <v>s1_node_archive_13_6</v>
      </c>
      <c r="B1090" s="0" t="s">
        <v>0</v>
      </c>
      <c r="C1090" s="0" t="s">
        <v>26</v>
      </c>
      <c r="D1090" s="0" t="s">
        <v>107</v>
      </c>
      <c r="E1090" s="0" t="str">
        <f>"s1_node_"&amp;D1090&amp;"_name"</f>
        <v>s1_node_archive_name</v>
      </c>
      <c r="F1090" s="13" t="str">
        <f>"s1_node_"&amp;D1090&amp;"_desc"</f>
        <v>s1_node_archive_desc</v>
      </c>
      <c r="G1090" s="0" t="s">
        <v>422</v>
      </c>
      <c r="H1090" s="0">
        <v>1</v>
      </c>
      <c r="I1090" s="0" t="s">
        <v>27</v>
      </c>
      <c r="J1090" s="0" t="s">
        <v>808</v>
      </c>
      <c r="K1090" s="0">
        <v>620</v>
      </c>
      <c r="L1090" s="13">
        <v>3</v>
      </c>
      <c r="M1090" s="0">
        <v>13</v>
      </c>
      <c r="N1090" s="0">
        <v>6</v>
      </c>
      <c r="P1090" s="0" t="s">
        <v>1122</v>
      </c>
      <c r="T1090" s="0" t="str">
        <f>_xlfn.TEXTJOIN("_",TRUE,C1090,"node_eff",D1090,M1090,N1090)</f>
        <v>s1_node_eff_archive_13_6</v>
      </c>
    </row>
    <row r="1091" spans="1:20" x14ac:dyDescent="0.45">
      <c r="A1091" s="0" t="str">
        <f>_xlfn.TEXTJOIN("_",TRUE,C1091,"node",D1091,M1091,N1091)</f>
        <v>s1_node_archive_14_2</v>
      </c>
      <c r="B1091" s="0" t="s">
        <v>0</v>
      </c>
      <c r="C1091" s="0" t="s">
        <v>26</v>
      </c>
      <c r="D1091" s="0" t="s">
        <v>107</v>
      </c>
      <c r="E1091" s="0" t="str">
        <f>"s1_node_"&amp;D1091&amp;"_name"</f>
        <v>s1_node_archive_name</v>
      </c>
      <c r="F1091" s="13" t="str">
        <f>"s1_node_"&amp;D1091&amp;"_desc"</f>
        <v>s1_node_archive_desc</v>
      </c>
      <c r="G1091" s="0" t="s">
        <v>615</v>
      </c>
      <c r="H1091" s="0">
        <v>1</v>
      </c>
      <c r="I1091" s="0" t="s">
        <v>27</v>
      </c>
      <c r="J1091" s="0" t="s">
        <v>1123</v>
      </c>
      <c r="K1091" s="0">
        <v>660</v>
      </c>
      <c r="L1091" s="13">
        <v>3</v>
      </c>
      <c r="M1091" s="0">
        <v>14</v>
      </c>
      <c r="N1091" s="0">
        <v>2</v>
      </c>
      <c r="T1091" s="0" t="str">
        <f>_xlfn.TEXTJOIN("_",TRUE,C1091,"node_eff",D1091,M1091,N1091)</f>
        <v>s1_node_eff_archive_14_2</v>
      </c>
    </row>
    <row r="1092" spans="1:20" x14ac:dyDescent="0.45">
      <c r="A1092" s="0" t="str">
        <f>_xlfn.TEXTJOIN("_",TRUE,C1092,"node",D1092,M1092,N1092)</f>
        <v>s1_node_archive_14_4</v>
      </c>
      <c r="B1092" s="0" t="s">
        <v>0</v>
      </c>
      <c r="C1092" s="0" t="s">
        <v>26</v>
      </c>
      <c r="D1092" s="0" t="s">
        <v>107</v>
      </c>
      <c r="E1092" s="0" t="str">
        <f>"s1_node_"&amp;D1092&amp;"_name"</f>
        <v>s1_node_archive_name</v>
      </c>
      <c r="F1092" s="13" t="str">
        <f>"s1_node_"&amp;D1092&amp;"_desc"</f>
        <v>s1_node_archive_desc</v>
      </c>
      <c r="G1092" s="0" t="s">
        <v>788</v>
      </c>
      <c r="H1092" s="0">
        <v>1</v>
      </c>
      <c r="I1092" s="0" t="s">
        <v>27</v>
      </c>
      <c r="J1092" s="0" t="s">
        <v>1123</v>
      </c>
      <c r="K1092" s="0">
        <v>660</v>
      </c>
      <c r="L1092" s="13">
        <v>3</v>
      </c>
      <c r="M1092" s="0">
        <v>14</v>
      </c>
      <c r="N1092" s="0">
        <v>4</v>
      </c>
      <c r="P1092" s="0" t="s">
        <v>1124</v>
      </c>
      <c r="T1092" s="0" t="str">
        <f>_xlfn.TEXTJOIN("_",TRUE,C1092,"node_eff",D1092,M1092,N1092)</f>
        <v>s1_node_eff_archive_14_4</v>
      </c>
    </row>
    <row r="1093" spans="1:20" x14ac:dyDescent="0.45">
      <c r="A1093" s="0" t="str">
        <f>_xlfn.TEXTJOIN("_",TRUE,C1093,"node",D1093,M1093,N1093)</f>
        <v>s1_node_archive_14_6</v>
      </c>
      <c r="B1093" s="0" t="s">
        <v>0</v>
      </c>
      <c r="C1093" s="0" t="s">
        <v>26</v>
      </c>
      <c r="D1093" s="0" t="s">
        <v>107</v>
      </c>
      <c r="E1093" s="0" t="str">
        <f>"s1_node_"&amp;D1093&amp;"_name"</f>
        <v>s1_node_archive_name</v>
      </c>
      <c r="F1093" s="13" t="str">
        <f>"s1_node_"&amp;D1093&amp;"_desc"</f>
        <v>s1_node_archive_desc</v>
      </c>
      <c r="G1093" s="0" t="s">
        <v>149</v>
      </c>
      <c r="H1093" s="0">
        <v>1</v>
      </c>
      <c r="I1093" s="0" t="s">
        <v>27</v>
      </c>
      <c r="J1093" s="0" t="s">
        <v>1123</v>
      </c>
      <c r="K1093" s="0">
        <v>660</v>
      </c>
      <c r="L1093" s="13">
        <v>3</v>
      </c>
      <c r="M1093" s="0">
        <v>14</v>
      </c>
      <c r="N1093" s="0">
        <v>6</v>
      </c>
      <c r="T1093" s="0" t="str">
        <f>_xlfn.TEXTJOIN("_",TRUE,C1093,"node_eff",D1093,M1093,N1093)</f>
        <v>s1_node_eff_archive_14_6</v>
      </c>
    </row>
    <row r="1094" spans="1:20" x14ac:dyDescent="0.45">
      <c r="A1094" s="0" t="str">
        <f>_xlfn.TEXTJOIN("_",TRUE,C1094,"node",D1094,M1094,N1094)</f>
        <v>s1_node_archive_15_2</v>
      </c>
      <c r="B1094" s="0" t="s">
        <v>0</v>
      </c>
      <c r="C1094" s="0" t="s">
        <v>26</v>
      </c>
      <c r="D1094" s="0" t="s">
        <v>107</v>
      </c>
      <c r="E1094" s="0" t="str">
        <f>"s1_node_"&amp;D1094&amp;"_name"</f>
        <v>s1_node_archive_name</v>
      </c>
      <c r="F1094" s="13" t="str">
        <f>"s1_node_"&amp;D1094&amp;"_desc"</f>
        <v>s1_node_archive_desc</v>
      </c>
      <c r="G1094" s="0" t="s">
        <v>149</v>
      </c>
      <c r="H1094" s="0">
        <v>1</v>
      </c>
      <c r="I1094" s="0" t="s">
        <v>27</v>
      </c>
      <c r="J1094" s="0" t="s">
        <v>641</v>
      </c>
      <c r="K1094" s="0">
        <v>700</v>
      </c>
      <c r="L1094" s="13">
        <v>3</v>
      </c>
      <c r="M1094" s="0">
        <v>15</v>
      </c>
      <c r="N1094" s="0">
        <v>2</v>
      </c>
      <c r="P1094" s="0" t="s">
        <v>1125</v>
      </c>
      <c r="T1094" s="0" t="str">
        <f>_xlfn.TEXTJOIN("_",TRUE,C1094,"node_eff",D1094,M1094,N1094)</f>
        <v>s1_node_eff_archive_15_2</v>
      </c>
    </row>
    <row r="1095" spans="1:20" x14ac:dyDescent="0.45">
      <c r="A1095" s="0" t="str">
        <f>_xlfn.TEXTJOIN("_",TRUE,C1095,"node",D1095,M1095,N1095)</f>
        <v>s1_node_archive_15_6</v>
      </c>
      <c r="B1095" s="0" t="s">
        <v>0</v>
      </c>
      <c r="C1095" s="0" t="s">
        <v>26</v>
      </c>
      <c r="D1095" s="0" t="s">
        <v>107</v>
      </c>
      <c r="E1095" s="0" t="str">
        <f>"s1_node_"&amp;D1095&amp;"_name"</f>
        <v>s1_node_archive_name</v>
      </c>
      <c r="F1095" s="13" t="str">
        <f>"s1_node_"&amp;D1095&amp;"_desc"</f>
        <v>s1_node_archive_desc</v>
      </c>
      <c r="G1095" s="0" t="s">
        <v>795</v>
      </c>
      <c r="H1095" s="0">
        <v>1</v>
      </c>
      <c r="I1095" s="0" t="s">
        <v>27</v>
      </c>
      <c r="J1095" s="0" t="s">
        <v>641</v>
      </c>
      <c r="K1095" s="0">
        <v>700</v>
      </c>
      <c r="L1095" s="13">
        <v>3</v>
      </c>
      <c r="M1095" s="0">
        <v>15</v>
      </c>
      <c r="N1095" s="0">
        <v>6</v>
      </c>
      <c r="P1095" s="0" t="s">
        <v>1126</v>
      </c>
      <c r="T1095" s="0" t="str">
        <f>_xlfn.TEXTJOIN("_",TRUE,C1095,"node_eff",D1095,M1095,N1095)</f>
        <v>s1_node_eff_archive_15_6</v>
      </c>
    </row>
    <row r="1096" spans="1:20" x14ac:dyDescent="0.45">
      <c r="A1096" s="0" t="str">
        <f>_xlfn.TEXTJOIN("_",TRUE,C1096,"node",D1096,M1096,N1096)</f>
        <v>s1_node_archive_16_4</v>
      </c>
      <c r="B1096" s="0" t="s">
        <v>0</v>
      </c>
      <c r="C1096" s="0" t="s">
        <v>26</v>
      </c>
      <c r="D1096" s="0" t="s">
        <v>107</v>
      </c>
      <c r="E1096" s="0" t="str">
        <f>"s1_node_"&amp;D1096&amp;"_name"</f>
        <v>s1_node_archive_name</v>
      </c>
      <c r="F1096" s="13" t="str">
        <f>"s1_node_"&amp;D1096&amp;"_desc"</f>
        <v>s1_node_archive_desc</v>
      </c>
      <c r="G1096" s="0" t="s">
        <v>149</v>
      </c>
      <c r="H1096" s="0">
        <v>1</v>
      </c>
      <c r="I1096" s="0" t="s">
        <v>27</v>
      </c>
      <c r="J1096" s="0" t="s">
        <v>815</v>
      </c>
      <c r="K1096" s="0">
        <v>730</v>
      </c>
      <c r="L1096" s="13">
        <v>3</v>
      </c>
      <c r="M1096" s="0">
        <v>16</v>
      </c>
      <c r="N1096" s="0">
        <v>4</v>
      </c>
      <c r="P1096" s="0" t="s">
        <v>1127</v>
      </c>
      <c r="T1096" s="0" t="str">
        <f>_xlfn.TEXTJOIN("_",TRUE,C1096,"node_eff",D1096,M1096,N1096)</f>
        <v>s1_node_eff_archive_16_4</v>
      </c>
    </row>
    <row r="1097" spans="1:20" x14ac:dyDescent="0.45">
      <c r="A1097" s="0" t="str">
        <f>_xlfn.TEXTJOIN("_",TRUE,C1097,"node",D1097,M1097,N1097)</f>
        <v>s1_node_archive_17_2</v>
      </c>
      <c r="B1097" s="0" t="s">
        <v>0</v>
      </c>
      <c r="C1097" s="0" t="s">
        <v>26</v>
      </c>
      <c r="D1097" s="0" t="s">
        <v>107</v>
      </c>
      <c r="E1097" s="0" t="str">
        <f>"s1_node_"&amp;D1097&amp;"_name"</f>
        <v>s1_node_archive_name</v>
      </c>
      <c r="F1097" s="13" t="str">
        <f>"s1_node_"&amp;D1097&amp;"_desc"</f>
        <v>s1_node_archive_desc</v>
      </c>
      <c r="G1097" s="0" t="s">
        <v>149</v>
      </c>
      <c r="H1097" s="0">
        <v>1</v>
      </c>
      <c r="I1097" s="0" t="s">
        <v>27</v>
      </c>
      <c r="J1097" s="0" t="s">
        <v>817</v>
      </c>
      <c r="K1097" s="0">
        <v>770</v>
      </c>
      <c r="L1097" s="13">
        <v>3</v>
      </c>
      <c r="M1097" s="0">
        <v>17</v>
      </c>
      <c r="N1097" s="0">
        <v>2</v>
      </c>
      <c r="T1097" s="0" t="str">
        <f>_xlfn.TEXTJOIN("_",TRUE,C1097,"node_eff",D1097,M1097,N1097)</f>
        <v>s1_node_eff_archive_17_2</v>
      </c>
    </row>
    <row r="1098" spans="1:20" x14ac:dyDescent="0.45">
      <c r="A1098" s="0" t="str">
        <f>_xlfn.TEXTJOIN("_",TRUE,C1098,"node",D1098,M1098,N1098)</f>
        <v>s1_node_archive_17_4</v>
      </c>
      <c r="B1098" s="0" t="s">
        <v>0</v>
      </c>
      <c r="C1098" s="0" t="s">
        <v>26</v>
      </c>
      <c r="D1098" s="0" t="s">
        <v>107</v>
      </c>
      <c r="E1098" s="0" t="str">
        <f>"s1_node_"&amp;D1098&amp;"_name"</f>
        <v>s1_node_archive_name</v>
      </c>
      <c r="F1098" s="13" t="str">
        <f>"s1_node_"&amp;D1098&amp;"_desc"</f>
        <v>s1_node_archive_desc</v>
      </c>
      <c r="G1098" s="0" t="s">
        <v>795</v>
      </c>
      <c r="H1098" s="0">
        <v>1</v>
      </c>
      <c r="I1098" s="0" t="s">
        <v>27</v>
      </c>
      <c r="J1098" s="0" t="s">
        <v>817</v>
      </c>
      <c r="K1098" s="0">
        <v>770</v>
      </c>
      <c r="L1098" s="13">
        <v>3</v>
      </c>
      <c r="M1098" s="0">
        <v>17</v>
      </c>
      <c r="N1098" s="0">
        <v>4</v>
      </c>
      <c r="T1098" s="0" t="str">
        <f>_xlfn.TEXTJOIN("_",TRUE,C1098,"node_eff",D1098,M1098,N1098)</f>
        <v>s1_node_eff_archive_17_4</v>
      </c>
    </row>
    <row r="1099" spans="1:20" x14ac:dyDescent="0.45">
      <c r="A1099" s="0" t="str">
        <f>_xlfn.TEXTJOIN("_",TRUE,C1099,"node",D1099,M1099,N1099)</f>
        <v>s1_node_archive_17_6</v>
      </c>
      <c r="B1099" s="0" t="s">
        <v>0</v>
      </c>
      <c r="C1099" s="0" t="s">
        <v>26</v>
      </c>
      <c r="D1099" s="0" t="s">
        <v>107</v>
      </c>
      <c r="E1099" s="0" t="str">
        <f>"s1_node_"&amp;D1099&amp;"_name"</f>
        <v>s1_node_archive_name</v>
      </c>
      <c r="F1099" s="13" t="str">
        <f>"s1_node_"&amp;D1099&amp;"_desc"</f>
        <v>s1_node_archive_desc</v>
      </c>
      <c r="G1099" s="0" t="s">
        <v>149</v>
      </c>
      <c r="H1099" s="0">
        <v>1</v>
      </c>
      <c r="I1099" s="0" t="s">
        <v>27</v>
      </c>
      <c r="J1099" s="0" t="s">
        <v>817</v>
      </c>
      <c r="K1099" s="0">
        <v>770</v>
      </c>
      <c r="L1099" s="13">
        <v>3</v>
      </c>
      <c r="M1099" s="0">
        <v>17</v>
      </c>
      <c r="N1099" s="0">
        <v>6</v>
      </c>
      <c r="T1099" s="0" t="str">
        <f>_xlfn.TEXTJOIN("_",TRUE,C1099,"node_eff",D1099,M1099,N1099)</f>
        <v>s1_node_eff_archive_17_6</v>
      </c>
    </row>
    <row r="1100" spans="1:20" x14ac:dyDescent="0.45">
      <c r="A1100" s="0" t="str">
        <f>_xlfn.TEXTJOIN("_",TRUE,C1100,"node",D1100,M1100,N1100)</f>
        <v>s1_node_archive_18_2</v>
      </c>
      <c r="B1100" s="0" t="s">
        <v>0</v>
      </c>
      <c r="C1100" s="0" t="s">
        <v>26</v>
      </c>
      <c r="D1100" s="0" t="s">
        <v>107</v>
      </c>
      <c r="E1100" s="0" t="str">
        <f>"s1_node_"&amp;D1100&amp;"_name"</f>
        <v>s1_node_archive_name</v>
      </c>
      <c r="F1100" s="13" t="str">
        <f>"s1_node_"&amp;D1100&amp;"_desc"</f>
        <v>s1_node_archive_desc</v>
      </c>
      <c r="G1100" s="0" t="s">
        <v>149</v>
      </c>
      <c r="H1100" s="0">
        <v>1</v>
      </c>
      <c r="I1100" s="0" t="s">
        <v>27</v>
      </c>
      <c r="J1100" s="0" t="s">
        <v>198</v>
      </c>
      <c r="K1100" s="0">
        <v>810</v>
      </c>
      <c r="L1100" s="13">
        <v>3</v>
      </c>
      <c r="M1100" s="0">
        <v>18</v>
      </c>
      <c r="N1100" s="0">
        <v>2</v>
      </c>
      <c r="P1100" s="0" t="s">
        <v>1128</v>
      </c>
      <c r="T1100" s="0" t="str">
        <f>_xlfn.TEXTJOIN("_",TRUE,C1100,"node_eff",D1100,M1100,N1100)</f>
        <v>s1_node_eff_archive_18_2</v>
      </c>
    </row>
    <row r="1101" spans="1:20" x14ac:dyDescent="0.45">
      <c r="A1101" s="0" t="str">
        <f>_xlfn.TEXTJOIN("_",TRUE,C1101,"node",D1101,M1101,N1101)</f>
        <v>s1_node_archive_18_6</v>
      </c>
      <c r="B1101" s="0" t="s">
        <v>0</v>
      </c>
      <c r="C1101" s="0" t="s">
        <v>26</v>
      </c>
      <c r="D1101" s="0" t="s">
        <v>107</v>
      </c>
      <c r="E1101" s="0" t="str">
        <f>"s1_node_"&amp;D1101&amp;"_name"</f>
        <v>s1_node_archive_name</v>
      </c>
      <c r="F1101" s="13" t="str">
        <f>"s1_node_"&amp;D1101&amp;"_desc"</f>
        <v>s1_node_archive_desc</v>
      </c>
      <c r="G1101" s="0" t="s">
        <v>149</v>
      </c>
      <c r="H1101" s="0">
        <v>1</v>
      </c>
      <c r="I1101" s="0" t="s">
        <v>27</v>
      </c>
      <c r="J1101" s="0" t="s">
        <v>198</v>
      </c>
      <c r="K1101" s="0">
        <v>810</v>
      </c>
      <c r="L1101" s="13">
        <v>3</v>
      </c>
      <c r="M1101" s="0">
        <v>18</v>
      </c>
      <c r="N1101" s="0">
        <v>6</v>
      </c>
      <c r="P1101" s="0" t="s">
        <v>1129</v>
      </c>
      <c r="T1101" s="0" t="str">
        <f>_xlfn.TEXTJOIN("_",TRUE,C1101,"node_eff",D1101,M1101,N1101)</f>
        <v>s1_node_eff_archive_18_6</v>
      </c>
    </row>
    <row r="1102" spans="1:20" x14ac:dyDescent="0.45">
      <c r="A1102" s="0" t="str">
        <f>_xlfn.TEXTJOIN("_",TRUE,C1102,"node",D1102,M1102,N1102)</f>
        <v>s1_node_archive_19_2</v>
      </c>
      <c r="B1102" s="0" t="s">
        <v>0</v>
      </c>
      <c r="C1102" s="0" t="s">
        <v>26</v>
      </c>
      <c r="D1102" s="0" t="s">
        <v>107</v>
      </c>
      <c r="E1102" s="0" t="str">
        <f>"s1_node_"&amp;D1102&amp;"_name"</f>
        <v>s1_node_archive_name</v>
      </c>
      <c r="F1102" s="13" t="str">
        <f>"s1_node_"&amp;D1102&amp;"_desc"</f>
        <v>s1_node_archive_desc</v>
      </c>
      <c r="G1102" s="0" t="s">
        <v>422</v>
      </c>
      <c r="H1102" s="0">
        <v>1</v>
      </c>
      <c r="I1102" s="0" t="s">
        <v>27</v>
      </c>
      <c r="J1102" s="0" t="s">
        <v>200</v>
      </c>
      <c r="K1102" s="0">
        <v>840</v>
      </c>
      <c r="L1102" s="13">
        <v>3</v>
      </c>
      <c r="M1102" s="0">
        <v>19</v>
      </c>
      <c r="N1102" s="0">
        <v>2</v>
      </c>
      <c r="T1102" s="0" t="str">
        <f>_xlfn.TEXTJOIN("_",TRUE,C1102,"node_eff",D1102,M1102,N1102)</f>
        <v>s1_node_eff_archive_19_2</v>
      </c>
    </row>
    <row r="1103" spans="1:20" x14ac:dyDescent="0.45">
      <c r="A1103" s="0" t="str">
        <f>_xlfn.TEXTJOIN("_",TRUE,C1103,"node",D1103,M1103,N1103)</f>
        <v>s1_node_archive_19_4</v>
      </c>
      <c r="B1103" s="0" t="s">
        <v>0</v>
      </c>
      <c r="C1103" s="0" t="s">
        <v>26</v>
      </c>
      <c r="D1103" s="0" t="s">
        <v>107</v>
      </c>
      <c r="E1103" s="0" t="str">
        <f>"s1_node_"&amp;D1103&amp;"_name"</f>
        <v>s1_node_archive_name</v>
      </c>
      <c r="F1103" s="13" t="str">
        <f>"s1_node_"&amp;D1103&amp;"_desc"</f>
        <v>s1_node_archive_desc</v>
      </c>
      <c r="G1103" s="0" t="s">
        <v>422</v>
      </c>
      <c r="H1103" s="0">
        <v>1</v>
      </c>
      <c r="I1103" s="0" t="s">
        <v>27</v>
      </c>
      <c r="J1103" s="0" t="s">
        <v>200</v>
      </c>
      <c r="K1103" s="0">
        <v>840</v>
      </c>
      <c r="L1103" s="13">
        <v>3</v>
      </c>
      <c r="M1103" s="0">
        <v>19</v>
      </c>
      <c r="N1103" s="0">
        <v>4</v>
      </c>
      <c r="P1103" s="0" t="s">
        <v>1130</v>
      </c>
      <c r="T1103" s="0" t="str">
        <f>_xlfn.TEXTJOIN("_",TRUE,C1103,"node_eff",D1103,M1103,N1103)</f>
        <v>s1_node_eff_archive_19_4</v>
      </c>
    </row>
    <row r="1104" spans="1:20" x14ac:dyDescent="0.45">
      <c r="A1104" s="0" t="str">
        <f>_xlfn.TEXTJOIN("_",TRUE,C1104,"node",D1104,M1104,N1104)</f>
        <v>s1_node_archive_19_6</v>
      </c>
      <c r="B1104" s="0" t="s">
        <v>0</v>
      </c>
      <c r="C1104" s="0" t="s">
        <v>26</v>
      </c>
      <c r="D1104" s="0" t="s">
        <v>107</v>
      </c>
      <c r="E1104" s="0" t="str">
        <f>"s1_node_"&amp;D1104&amp;"_name"</f>
        <v>s1_node_archive_name</v>
      </c>
      <c r="F1104" s="13" t="str">
        <f>"s1_node_"&amp;D1104&amp;"_desc"</f>
        <v>s1_node_archive_desc</v>
      </c>
      <c r="G1104" s="0" t="s">
        <v>615</v>
      </c>
      <c r="H1104" s="0">
        <v>1</v>
      </c>
      <c r="I1104" s="0" t="s">
        <v>27</v>
      </c>
      <c r="J1104" s="0" t="s">
        <v>200</v>
      </c>
      <c r="K1104" s="0">
        <v>840</v>
      </c>
      <c r="L1104" s="13">
        <v>3</v>
      </c>
      <c r="M1104" s="0">
        <v>19</v>
      </c>
      <c r="N1104" s="0">
        <v>6</v>
      </c>
      <c r="T1104" s="0" t="str">
        <f>_xlfn.TEXTJOIN("_",TRUE,C1104,"node_eff",D1104,M1104,N1104)</f>
        <v>s1_node_eff_archive_19_6</v>
      </c>
    </row>
    <row r="1105" spans="1:20" x14ac:dyDescent="0.45">
      <c r="A1105" s="0" t="str">
        <f>_xlfn.TEXTJOIN("_",TRUE,C1105,"node",D1105,M1105,N1105)</f>
        <v>s1_node_archive_20_2</v>
      </c>
      <c r="B1105" s="0" t="s">
        <v>0</v>
      </c>
      <c r="C1105" s="0" t="s">
        <v>26</v>
      </c>
      <c r="D1105" s="0" t="s">
        <v>107</v>
      </c>
      <c r="E1105" s="0" t="str">
        <f>"s1_node_"&amp;D1105&amp;"_name"</f>
        <v>s1_node_archive_name</v>
      </c>
      <c r="F1105" s="13" t="str">
        <f>"s1_node_"&amp;D1105&amp;"_desc"</f>
        <v>s1_node_archive_desc</v>
      </c>
      <c r="G1105" s="0" t="s">
        <v>788</v>
      </c>
      <c r="H1105" s="0">
        <v>1</v>
      </c>
      <c r="I1105" s="0" t="s">
        <v>27</v>
      </c>
      <c r="J1105" s="0" t="s">
        <v>203</v>
      </c>
      <c r="K1105" s="0">
        <v>880</v>
      </c>
      <c r="L1105" s="13">
        <v>3</v>
      </c>
      <c r="M1105" s="0">
        <v>20</v>
      </c>
      <c r="N1105" s="0">
        <v>2</v>
      </c>
      <c r="P1105" s="0" t="s">
        <v>1131</v>
      </c>
      <c r="T1105" s="0" t="str">
        <f>_xlfn.TEXTJOIN("_",TRUE,C1105,"node_eff",D1105,M1105,N1105)</f>
        <v>s1_node_eff_archive_20_2</v>
      </c>
    </row>
    <row r="1106" spans="1:20" x14ac:dyDescent="0.45">
      <c r="A1106" s="0" t="str">
        <f>_xlfn.TEXTJOIN("_",TRUE,C1106,"node",D1106,M1106,N1106)</f>
        <v>s1_node_archive_20_6</v>
      </c>
      <c r="B1106" s="0" t="s">
        <v>0</v>
      </c>
      <c r="C1106" s="0" t="s">
        <v>26</v>
      </c>
      <c r="D1106" s="0" t="s">
        <v>107</v>
      </c>
      <c r="E1106" s="0" t="str">
        <f>"s1_node_"&amp;D1106&amp;"_name"</f>
        <v>s1_node_archive_name</v>
      </c>
      <c r="F1106" s="13" t="str">
        <f>"s1_node_"&amp;D1106&amp;"_desc"</f>
        <v>s1_node_archive_desc</v>
      </c>
      <c r="G1106" s="0" t="s">
        <v>149</v>
      </c>
      <c r="H1106" s="0">
        <v>1</v>
      </c>
      <c r="I1106" s="0" t="s">
        <v>27</v>
      </c>
      <c r="J1106" s="0" t="s">
        <v>203</v>
      </c>
      <c r="K1106" s="0">
        <v>880</v>
      </c>
      <c r="L1106" s="13">
        <v>3</v>
      </c>
      <c r="M1106" s="0">
        <v>20</v>
      </c>
      <c r="N1106" s="0">
        <v>6</v>
      </c>
      <c r="P1106" s="0" t="s">
        <v>1132</v>
      </c>
      <c r="T1106" s="0" t="str">
        <f>_xlfn.TEXTJOIN("_",TRUE,C1106,"node_eff",D1106,M1106,N1106)</f>
        <v>s1_node_eff_archive_20_6</v>
      </c>
    </row>
    <row r="1107" spans="1:20" x14ac:dyDescent="0.45">
      <c r="A1107" s="0" t="str">
        <f>_xlfn.TEXTJOIN("_",TRUE,C1107,"node",D1107,M1107,N1107)</f>
        <v>s1_node_archive_21_4</v>
      </c>
      <c r="B1107" s="0" t="s">
        <v>0</v>
      </c>
      <c r="C1107" s="0" t="s">
        <v>26</v>
      </c>
      <c r="D1107" s="0" t="s">
        <v>107</v>
      </c>
      <c r="E1107" s="0" t="str">
        <f>"s1_node_"&amp;D1107&amp;"_name"</f>
        <v>s1_node_archive_name</v>
      </c>
      <c r="F1107" s="13" t="str">
        <f>"s1_node_"&amp;D1107&amp;"_desc"</f>
        <v>s1_node_archive_desc</v>
      </c>
      <c r="G1107" s="0" t="s">
        <v>149</v>
      </c>
      <c r="H1107" s="0">
        <v>2</v>
      </c>
      <c r="I1107" s="0" t="s">
        <v>27</v>
      </c>
      <c r="J1107" s="0" t="s">
        <v>823</v>
      </c>
      <c r="K1107" s="0">
        <v>920</v>
      </c>
      <c r="L1107" s="13">
        <v>3</v>
      </c>
      <c r="M1107" s="0">
        <v>21</v>
      </c>
      <c r="N1107" s="0">
        <v>4</v>
      </c>
      <c r="P1107" s="0" t="s">
        <v>1133</v>
      </c>
      <c r="T1107" s="0" t="str">
        <f>_xlfn.TEXTJOIN("_",TRUE,C1107,"node_eff",D1107,M1107,N1107)</f>
        <v>s1_node_eff_archive_21_4</v>
      </c>
    </row>
    <row r="1108" spans="1:20" x14ac:dyDescent="0.45">
      <c r="A1108" s="0" t="str">
        <f>_xlfn.TEXTJOIN("_",TRUE,C1108,"node",D1108,M1108,N1108)</f>
        <v>s1_node_archive_22_2</v>
      </c>
      <c r="B1108" s="0" t="s">
        <v>0</v>
      </c>
      <c r="C1108" s="0" t="s">
        <v>26</v>
      </c>
      <c r="D1108" s="0" t="s">
        <v>107</v>
      </c>
      <c r="E1108" s="0" t="str">
        <f>"s1_node_"&amp;D1108&amp;"_name"</f>
        <v>s1_node_archive_name</v>
      </c>
      <c r="F1108" s="13" t="str">
        <f>"s1_node_"&amp;D1108&amp;"_desc"</f>
        <v>s1_node_archive_desc</v>
      </c>
      <c r="G1108" s="0" t="s">
        <v>795</v>
      </c>
      <c r="H1108" s="0">
        <v>2</v>
      </c>
      <c r="I1108" s="0" t="s">
        <v>27</v>
      </c>
      <c r="J1108" s="0" t="s">
        <v>209</v>
      </c>
      <c r="K1108" s="0">
        <v>950</v>
      </c>
      <c r="L1108" s="13">
        <v>3</v>
      </c>
      <c r="M1108" s="0">
        <v>22</v>
      </c>
      <c r="N1108" s="0">
        <v>2</v>
      </c>
      <c r="T1108" s="0" t="str">
        <f>_xlfn.TEXTJOIN("_",TRUE,C1108,"node_eff",D1108,M1108,N1108)</f>
        <v>s1_node_eff_archive_22_2</v>
      </c>
    </row>
    <row r="1109" spans="1:20" x14ac:dyDescent="0.45">
      <c r="A1109" s="0" t="str">
        <f>_xlfn.TEXTJOIN("_",TRUE,C1109,"node",D1109,M1109,N1109)</f>
        <v>s1_node_archive_22_4</v>
      </c>
      <c r="B1109" s="0" t="s">
        <v>0</v>
      </c>
      <c r="C1109" s="0" t="s">
        <v>26</v>
      </c>
      <c r="D1109" s="0" t="s">
        <v>107</v>
      </c>
      <c r="E1109" s="0" t="str">
        <f>"s1_node_"&amp;D1109&amp;"_name"</f>
        <v>s1_node_archive_name</v>
      </c>
      <c r="F1109" s="13" t="str">
        <f>"s1_node_"&amp;D1109&amp;"_desc"</f>
        <v>s1_node_archive_desc</v>
      </c>
      <c r="G1109" s="0" t="s">
        <v>149</v>
      </c>
      <c r="H1109" s="0">
        <v>2</v>
      </c>
      <c r="I1109" s="0" t="s">
        <v>27</v>
      </c>
      <c r="J1109" s="0" t="s">
        <v>209</v>
      </c>
      <c r="K1109" s="0">
        <v>950</v>
      </c>
      <c r="L1109" s="13">
        <v>3</v>
      </c>
      <c r="M1109" s="0">
        <v>22</v>
      </c>
      <c r="N1109" s="0">
        <v>4</v>
      </c>
      <c r="T1109" s="0" t="str">
        <f>_xlfn.TEXTJOIN("_",TRUE,C1109,"node_eff",D1109,M1109,N1109)</f>
        <v>s1_node_eff_archive_22_4</v>
      </c>
    </row>
    <row r="1110" spans="1:20" x14ac:dyDescent="0.45">
      <c r="A1110" s="0" t="str">
        <f>_xlfn.TEXTJOIN("_",TRUE,C1110,"node",D1110,M1110,N1110)</f>
        <v>s1_node_archive_22_6</v>
      </c>
      <c r="B1110" s="0" t="s">
        <v>0</v>
      </c>
      <c r="C1110" s="0" t="s">
        <v>26</v>
      </c>
      <c r="D1110" s="0" t="s">
        <v>107</v>
      </c>
      <c r="E1110" s="0" t="str">
        <f>"s1_node_"&amp;D1110&amp;"_name"</f>
        <v>s1_node_archive_name</v>
      </c>
      <c r="F1110" s="13" t="str">
        <f>"s1_node_"&amp;D1110&amp;"_desc"</f>
        <v>s1_node_archive_desc</v>
      </c>
      <c r="G1110" s="0" t="s">
        <v>149</v>
      </c>
      <c r="H1110" s="0">
        <v>2</v>
      </c>
      <c r="I1110" s="0" t="s">
        <v>27</v>
      </c>
      <c r="J1110" s="0" t="s">
        <v>209</v>
      </c>
      <c r="K1110" s="0">
        <v>950</v>
      </c>
      <c r="L1110" s="13">
        <v>3</v>
      </c>
      <c r="M1110" s="0">
        <v>22</v>
      </c>
      <c r="N1110" s="0">
        <v>6</v>
      </c>
      <c r="T1110" s="0" t="str">
        <f>_xlfn.TEXTJOIN("_",TRUE,C1110,"node_eff",D1110,M1110,N1110)</f>
        <v>s1_node_eff_archive_22_6</v>
      </c>
    </row>
    <row r="1111" spans="1:20" x14ac:dyDescent="0.45">
      <c r="A1111" s="0" t="str">
        <f>_xlfn.TEXTJOIN("_",TRUE,C1111,"node",D1111,M1111,N1111)</f>
        <v>s1_node_archive_23_2</v>
      </c>
      <c r="B1111" s="0" t="s">
        <v>0</v>
      </c>
      <c r="C1111" s="0" t="s">
        <v>26</v>
      </c>
      <c r="D1111" s="0" t="s">
        <v>107</v>
      </c>
      <c r="E1111" s="0" t="str">
        <f>"s1_node_"&amp;D1111&amp;"_name"</f>
        <v>s1_node_archive_name</v>
      </c>
      <c r="F1111" s="13" t="str">
        <f>"s1_node_"&amp;D1111&amp;"_desc"</f>
        <v>s1_node_archive_desc</v>
      </c>
      <c r="G1111" s="0" t="s">
        <v>795</v>
      </c>
      <c r="H1111" s="0">
        <v>2</v>
      </c>
      <c r="I1111" s="0" t="s">
        <v>27</v>
      </c>
      <c r="J1111" s="0" t="s">
        <v>1134</v>
      </c>
      <c r="K1111" s="0">
        <v>990</v>
      </c>
      <c r="L1111" s="13">
        <v>3</v>
      </c>
      <c r="M1111" s="0">
        <v>23</v>
      </c>
      <c r="N1111" s="0">
        <v>2</v>
      </c>
      <c r="P1111" s="0" t="s">
        <v>1135</v>
      </c>
      <c r="T1111" s="0" t="str">
        <f>_xlfn.TEXTJOIN("_",TRUE,C1111,"node_eff",D1111,M1111,N1111)</f>
        <v>s1_node_eff_archive_23_2</v>
      </c>
    </row>
    <row r="1112" spans="1:20" x14ac:dyDescent="0.45">
      <c r="A1112" s="0" t="str">
        <f>_xlfn.TEXTJOIN("_",TRUE,C1112,"node",D1112,M1112,N1112)</f>
        <v>s1_node_archive_23_6</v>
      </c>
      <c r="B1112" s="0" t="s">
        <v>0</v>
      </c>
      <c r="C1112" s="0" t="s">
        <v>26</v>
      </c>
      <c r="D1112" s="0" t="s">
        <v>107</v>
      </c>
      <c r="E1112" s="0" t="str">
        <f>"s1_node_"&amp;D1112&amp;"_name"</f>
        <v>s1_node_archive_name</v>
      </c>
      <c r="F1112" s="13" t="str">
        <f>"s1_node_"&amp;D1112&amp;"_desc"</f>
        <v>s1_node_archive_desc</v>
      </c>
      <c r="G1112" s="0" t="s">
        <v>149</v>
      </c>
      <c r="H1112" s="0">
        <v>2</v>
      </c>
      <c r="I1112" s="0" t="s">
        <v>27</v>
      </c>
      <c r="J1112" s="0" t="s">
        <v>1134</v>
      </c>
      <c r="K1112" s="0">
        <v>990</v>
      </c>
      <c r="L1112" s="13">
        <v>3</v>
      </c>
      <c r="M1112" s="0">
        <v>23</v>
      </c>
      <c r="N1112" s="0">
        <v>6</v>
      </c>
      <c r="P1112" s="0" t="s">
        <v>1136</v>
      </c>
      <c r="T1112" s="0" t="str">
        <f>_xlfn.TEXTJOIN("_",TRUE,C1112,"node_eff",D1112,M1112,N1112)</f>
        <v>s1_node_eff_archive_23_6</v>
      </c>
    </row>
    <row r="1113" spans="1:20" x14ac:dyDescent="0.45">
      <c r="A1113" s="0" t="str">
        <f>_xlfn.TEXTJOIN("_",TRUE,C1113,"node",D1113,M1113,N1113)</f>
        <v>s1_node_archive_24_2</v>
      </c>
      <c r="B1113" s="0" t="s">
        <v>0</v>
      </c>
      <c r="C1113" s="0" t="s">
        <v>26</v>
      </c>
      <c r="D1113" s="0" t="s">
        <v>107</v>
      </c>
      <c r="E1113" s="0" t="str">
        <f>"s1_node_"&amp;D1113&amp;"_name"</f>
        <v>s1_node_archive_name</v>
      </c>
      <c r="F1113" s="13" t="str">
        <f>"s1_node_"&amp;D1113&amp;"_desc"</f>
        <v>s1_node_archive_desc</v>
      </c>
      <c r="G1113" s="0" t="s">
        <v>149</v>
      </c>
      <c r="H1113" s="0">
        <v>2</v>
      </c>
      <c r="I1113" s="0" t="s">
        <v>27</v>
      </c>
      <c r="J1113" s="0" t="s">
        <v>827</v>
      </c>
      <c r="K1113" s="0">
        <v>1030</v>
      </c>
      <c r="L1113" s="13">
        <v>3</v>
      </c>
      <c r="M1113" s="0">
        <v>24</v>
      </c>
      <c r="N1113" s="0">
        <v>2</v>
      </c>
      <c r="T1113" s="0" t="str">
        <f>_xlfn.TEXTJOIN("_",TRUE,C1113,"node_eff",D1113,M1113,N1113)</f>
        <v>s1_node_eff_archive_24_2</v>
      </c>
    </row>
    <row r="1114" spans="1:20" x14ac:dyDescent="0.45">
      <c r="A1114" s="0" t="str">
        <f>_xlfn.TEXTJOIN("_",TRUE,C1114,"node",D1114,M1114,N1114)</f>
        <v>s1_node_archive_24_4</v>
      </c>
      <c r="B1114" s="0" t="s">
        <v>0</v>
      </c>
      <c r="C1114" s="0" t="s">
        <v>26</v>
      </c>
      <c r="D1114" s="0" t="s">
        <v>107</v>
      </c>
      <c r="E1114" s="0" t="str">
        <f>"s1_node_"&amp;D1114&amp;"_name"</f>
        <v>s1_node_archive_name</v>
      </c>
      <c r="F1114" s="13" t="str">
        <f>"s1_node_"&amp;D1114&amp;"_desc"</f>
        <v>s1_node_archive_desc</v>
      </c>
      <c r="G1114" s="0" t="s">
        <v>149</v>
      </c>
      <c r="H1114" s="0">
        <v>2</v>
      </c>
      <c r="I1114" s="0" t="s">
        <v>27</v>
      </c>
      <c r="J1114" s="0" t="s">
        <v>827</v>
      </c>
      <c r="K1114" s="0">
        <v>1030</v>
      </c>
      <c r="L1114" s="13">
        <v>3</v>
      </c>
      <c r="M1114" s="0">
        <v>24</v>
      </c>
      <c r="N1114" s="0">
        <v>4</v>
      </c>
      <c r="P1114" s="0" t="s">
        <v>1137</v>
      </c>
      <c r="T1114" s="0" t="str">
        <f>_xlfn.TEXTJOIN("_",TRUE,C1114,"node_eff",D1114,M1114,N1114)</f>
        <v>s1_node_eff_archive_24_4</v>
      </c>
    </row>
    <row r="1115" spans="1:20" x14ac:dyDescent="0.45">
      <c r="A1115" s="0" t="str">
        <f>_xlfn.TEXTJOIN("_",TRUE,C1115,"node",D1115,M1115,N1115)</f>
        <v>s1_node_archive_24_6</v>
      </c>
      <c r="B1115" s="0" t="s">
        <v>0</v>
      </c>
      <c r="C1115" s="0" t="s">
        <v>26</v>
      </c>
      <c r="D1115" s="0" t="s">
        <v>107</v>
      </c>
      <c r="E1115" s="0" t="str">
        <f>"s1_node_"&amp;D1115&amp;"_name"</f>
        <v>s1_node_archive_name</v>
      </c>
      <c r="F1115" s="13" t="str">
        <f>"s1_node_"&amp;D1115&amp;"_desc"</f>
        <v>s1_node_archive_desc</v>
      </c>
      <c r="G1115" s="0" t="s">
        <v>422</v>
      </c>
      <c r="H1115" s="0">
        <v>2</v>
      </c>
      <c r="I1115" s="0" t="s">
        <v>27</v>
      </c>
      <c r="J1115" s="0" t="s">
        <v>827</v>
      </c>
      <c r="K1115" s="0">
        <v>1030</v>
      </c>
      <c r="L1115" s="13">
        <v>3</v>
      </c>
      <c r="M1115" s="0">
        <v>24</v>
      </c>
      <c r="N1115" s="0">
        <v>6</v>
      </c>
      <c r="T1115" s="0" t="str">
        <f>_xlfn.TEXTJOIN("_",TRUE,C1115,"node_eff",D1115,M1115,N1115)</f>
        <v>s1_node_eff_archive_24_6</v>
      </c>
    </row>
    <row r="1116" spans="1:20" x14ac:dyDescent="0.45">
      <c r="A1116" s="0" t="str">
        <f>_xlfn.TEXTJOIN("_",TRUE,C1116,"node",D1116,M1116,N1116)</f>
        <v>s1_node_archive_25_2</v>
      </c>
      <c r="B1116" s="0" t="s">
        <v>0</v>
      </c>
      <c r="C1116" s="0" t="s">
        <v>26</v>
      </c>
      <c r="D1116" s="0" t="s">
        <v>107</v>
      </c>
      <c r="E1116" s="0" t="str">
        <f>"s1_node_"&amp;D1116&amp;"_name"</f>
        <v>s1_node_archive_name</v>
      </c>
      <c r="F1116" s="13" t="str">
        <f>"s1_node_"&amp;D1116&amp;"_desc"</f>
        <v>s1_node_archive_desc</v>
      </c>
      <c r="G1116" s="0" t="s">
        <v>422</v>
      </c>
      <c r="H1116" s="0">
        <v>2</v>
      </c>
      <c r="I1116" s="0" t="s">
        <v>27</v>
      </c>
      <c r="J1116" s="0" t="s">
        <v>829</v>
      </c>
      <c r="K1116" s="0">
        <v>1070</v>
      </c>
      <c r="L1116" s="13">
        <v>3</v>
      </c>
      <c r="M1116" s="0">
        <v>25</v>
      </c>
      <c r="N1116" s="0">
        <v>2</v>
      </c>
      <c r="P1116" s="0" t="s">
        <v>1138</v>
      </c>
      <c r="T1116" s="0" t="str">
        <f>_xlfn.TEXTJOIN("_",TRUE,C1116,"node_eff",D1116,M1116,N1116)</f>
        <v>s1_node_eff_archive_25_2</v>
      </c>
    </row>
    <row r="1117" spans="1:20" x14ac:dyDescent="0.45">
      <c r="A1117" s="0" t="str">
        <f>_xlfn.TEXTJOIN("_",TRUE,C1117,"node",D1117,M1117,N1117)</f>
        <v>s1_node_archive_25_6</v>
      </c>
      <c r="B1117" s="0" t="s">
        <v>0</v>
      </c>
      <c r="C1117" s="0" t="s">
        <v>26</v>
      </c>
      <c r="D1117" s="0" t="s">
        <v>107</v>
      </c>
      <c r="E1117" s="0" t="str">
        <f>"s1_node_"&amp;D1117&amp;"_name"</f>
        <v>s1_node_archive_name</v>
      </c>
      <c r="F1117" s="13" t="str">
        <f>"s1_node_"&amp;D1117&amp;"_desc"</f>
        <v>s1_node_archive_desc</v>
      </c>
      <c r="G1117" s="0" t="s">
        <v>615</v>
      </c>
      <c r="H1117" s="0">
        <v>2</v>
      </c>
      <c r="I1117" s="0" t="s">
        <v>27</v>
      </c>
      <c r="J1117" s="0" t="s">
        <v>829</v>
      </c>
      <c r="K1117" s="0">
        <v>1070</v>
      </c>
      <c r="L1117" s="13">
        <v>3</v>
      </c>
      <c r="M1117" s="0">
        <v>25</v>
      </c>
      <c r="N1117" s="0">
        <v>6</v>
      </c>
      <c r="P1117" s="0" t="s">
        <v>1139</v>
      </c>
      <c r="T1117" s="0" t="str">
        <f>_xlfn.TEXTJOIN("_",TRUE,C1117,"node_eff",D1117,M1117,N1117)</f>
        <v>s1_node_eff_archive_25_6</v>
      </c>
    </row>
    <row r="1118" spans="1:20" x14ac:dyDescent="0.45">
      <c r="A1118" s="0" t="str">
        <f>_xlfn.TEXTJOIN("_",TRUE,C1118,"node",D1118,M1118,N1118)</f>
        <v>s1_node_archive_26_4</v>
      </c>
      <c r="B1118" s="0" t="s">
        <v>0</v>
      </c>
      <c r="C1118" s="0" t="s">
        <v>26</v>
      </c>
      <c r="D1118" s="0" t="s">
        <v>107</v>
      </c>
      <c r="E1118" s="0" t="str">
        <f>"s1_node_"&amp;D1118&amp;"_name"</f>
        <v>s1_node_archive_name</v>
      </c>
      <c r="F1118" s="13" t="str">
        <f>"s1_node_"&amp;D1118&amp;"_desc"</f>
        <v>s1_node_archive_desc</v>
      </c>
      <c r="G1118" s="0" t="s">
        <v>788</v>
      </c>
      <c r="H1118" s="0">
        <v>2</v>
      </c>
      <c r="I1118" s="0" t="s">
        <v>27</v>
      </c>
      <c r="J1118" s="0" t="s">
        <v>1140</v>
      </c>
      <c r="K1118" s="0">
        <v>1100</v>
      </c>
      <c r="L1118" s="13">
        <v>3</v>
      </c>
      <c r="M1118" s="0">
        <v>26</v>
      </c>
      <c r="N1118" s="0">
        <v>4</v>
      </c>
      <c r="P1118" s="0" t="s">
        <v>1141</v>
      </c>
      <c r="T1118" s="0" t="str">
        <f>_xlfn.TEXTJOIN("_",TRUE,C1118,"node_eff",D1118,M1118,N1118)</f>
        <v>s1_node_eff_archive_26_4</v>
      </c>
    </row>
    <row r="1119" spans="1:20" x14ac:dyDescent="0.45">
      <c r="A1119" s="0" t="str">
        <f>_xlfn.TEXTJOIN("_",TRUE,C1119,"node",D1119,M1119,N1119)</f>
        <v>s1_node_archive_27_2</v>
      </c>
      <c r="B1119" s="0" t="s">
        <v>0</v>
      </c>
      <c r="C1119" s="0" t="s">
        <v>26</v>
      </c>
      <c r="D1119" s="0" t="s">
        <v>107</v>
      </c>
      <c r="E1119" s="0" t="str">
        <f>"s1_node_"&amp;D1119&amp;"_name"</f>
        <v>s1_node_archive_name</v>
      </c>
      <c r="F1119" s="13" t="str">
        <f>"s1_node_"&amp;D1119&amp;"_desc"</f>
        <v>s1_node_archive_desc</v>
      </c>
      <c r="G1119" s="0" t="s">
        <v>149</v>
      </c>
      <c r="H1119" s="0">
        <v>2</v>
      </c>
      <c r="I1119" s="0" t="s">
        <v>27</v>
      </c>
      <c r="J1119" s="0" t="s">
        <v>1142</v>
      </c>
      <c r="K1119" s="0">
        <v>1140</v>
      </c>
      <c r="L1119" s="13">
        <v>3</v>
      </c>
      <c r="M1119" s="0">
        <v>27</v>
      </c>
      <c r="N1119" s="0">
        <v>2</v>
      </c>
      <c r="T1119" s="0" t="str">
        <f>_xlfn.TEXTJOIN("_",TRUE,C1119,"node_eff",D1119,M1119,N1119)</f>
        <v>s1_node_eff_archive_27_2</v>
      </c>
    </row>
    <row r="1120" spans="1:20" x14ac:dyDescent="0.45">
      <c r="A1120" s="0" t="str">
        <f>_xlfn.TEXTJOIN("_",TRUE,C1120,"node",D1120,M1120,N1120)</f>
        <v>s1_node_archive_27_4</v>
      </c>
      <c r="B1120" s="0" t="s">
        <v>0</v>
      </c>
      <c r="C1120" s="0" t="s">
        <v>26</v>
      </c>
      <c r="D1120" s="0" t="s">
        <v>107</v>
      </c>
      <c r="E1120" s="0" t="str">
        <f>"s1_node_"&amp;D1120&amp;"_name"</f>
        <v>s1_node_archive_name</v>
      </c>
      <c r="F1120" s="13" t="str">
        <f>"s1_node_"&amp;D1120&amp;"_desc"</f>
        <v>s1_node_archive_desc</v>
      </c>
      <c r="G1120" s="0" t="s">
        <v>149</v>
      </c>
      <c r="H1120" s="0">
        <v>2</v>
      </c>
      <c r="I1120" s="0" t="s">
        <v>27</v>
      </c>
      <c r="J1120" s="0" t="s">
        <v>1142</v>
      </c>
      <c r="K1120" s="0">
        <v>1140</v>
      </c>
      <c r="L1120" s="13">
        <v>3</v>
      </c>
      <c r="M1120" s="0">
        <v>27</v>
      </c>
      <c r="N1120" s="0">
        <v>4</v>
      </c>
      <c r="T1120" s="0" t="str">
        <f>_xlfn.TEXTJOIN("_",TRUE,C1120,"node_eff",D1120,M1120,N1120)</f>
        <v>s1_node_eff_archive_27_4</v>
      </c>
    </row>
    <row r="1121" spans="1:20" x14ac:dyDescent="0.45">
      <c r="A1121" s="0" t="str">
        <f>_xlfn.TEXTJOIN("_",TRUE,C1121,"node",D1121,M1121,N1121)</f>
        <v>s1_node_archive_27_6</v>
      </c>
      <c r="B1121" s="0" t="s">
        <v>0</v>
      </c>
      <c r="C1121" s="0" t="s">
        <v>26</v>
      </c>
      <c r="D1121" s="0" t="s">
        <v>107</v>
      </c>
      <c r="E1121" s="0" t="str">
        <f>"s1_node_"&amp;D1121&amp;"_name"</f>
        <v>s1_node_archive_name</v>
      </c>
      <c r="F1121" s="13" t="str">
        <f>"s1_node_"&amp;D1121&amp;"_desc"</f>
        <v>s1_node_archive_desc</v>
      </c>
      <c r="G1121" s="0" t="s">
        <v>795</v>
      </c>
      <c r="H1121" s="0">
        <v>2</v>
      </c>
      <c r="I1121" s="0" t="s">
        <v>27</v>
      </c>
      <c r="J1121" s="0" t="s">
        <v>1142</v>
      </c>
      <c r="K1121" s="0">
        <v>1140</v>
      </c>
      <c r="L1121" s="13">
        <v>3</v>
      </c>
      <c r="M1121" s="0">
        <v>27</v>
      </c>
      <c r="N1121" s="0">
        <v>6</v>
      </c>
      <c r="T1121" s="0" t="str">
        <f>_xlfn.TEXTJOIN("_",TRUE,C1121,"node_eff",D1121,M1121,N1121)</f>
        <v>s1_node_eff_archive_27_6</v>
      </c>
    </row>
    <row r="1122" spans="1:20" x14ac:dyDescent="0.45">
      <c r="A1122" s="0" t="str">
        <f>_xlfn.TEXTJOIN("_",TRUE,C1122,"node",D1122,M1122,N1122)</f>
        <v>s1_node_archive_28_2</v>
      </c>
      <c r="B1122" s="0" t="s">
        <v>0</v>
      </c>
      <c r="C1122" s="0" t="s">
        <v>26</v>
      </c>
      <c r="D1122" s="0" t="s">
        <v>107</v>
      </c>
      <c r="E1122" s="0" t="str">
        <f>"s1_node_"&amp;D1122&amp;"_name"</f>
        <v>s1_node_archive_name</v>
      </c>
      <c r="F1122" s="13" t="str">
        <f>"s1_node_"&amp;D1122&amp;"_desc"</f>
        <v>s1_node_archive_desc</v>
      </c>
      <c r="G1122" s="0" t="s">
        <v>149</v>
      </c>
      <c r="H1122" s="0">
        <v>2</v>
      </c>
      <c r="I1122" s="0" t="s">
        <v>27</v>
      </c>
      <c r="J1122" s="0" t="s">
        <v>478</v>
      </c>
      <c r="K1122" s="0">
        <v>1180</v>
      </c>
      <c r="L1122" s="13">
        <v>3</v>
      </c>
      <c r="M1122" s="0">
        <v>28</v>
      </c>
      <c r="N1122" s="0">
        <v>2</v>
      </c>
      <c r="P1122" s="0" t="s">
        <v>1143</v>
      </c>
      <c r="T1122" s="0" t="str">
        <f>_xlfn.TEXTJOIN("_",TRUE,C1122,"node_eff",D1122,M1122,N1122)</f>
        <v>s1_node_eff_archive_28_2</v>
      </c>
    </row>
    <row r="1123" spans="1:20" x14ac:dyDescent="0.45">
      <c r="A1123" s="0" t="str">
        <f>_xlfn.TEXTJOIN("_",TRUE,C1123,"node",D1123,M1123,N1123)</f>
        <v>s1_node_archive_28_6</v>
      </c>
      <c r="B1123" s="0" t="s">
        <v>0</v>
      </c>
      <c r="C1123" s="0" t="s">
        <v>26</v>
      </c>
      <c r="D1123" s="0" t="s">
        <v>107</v>
      </c>
      <c r="E1123" s="0" t="str">
        <f>"s1_node_"&amp;D1123&amp;"_name"</f>
        <v>s1_node_archive_name</v>
      </c>
      <c r="F1123" s="13" t="str">
        <f>"s1_node_"&amp;D1123&amp;"_desc"</f>
        <v>s1_node_archive_desc</v>
      </c>
      <c r="G1123" s="0" t="s">
        <v>149</v>
      </c>
      <c r="H1123" s="0">
        <v>2</v>
      </c>
      <c r="I1123" s="0" t="s">
        <v>27</v>
      </c>
      <c r="J1123" s="0" t="s">
        <v>478</v>
      </c>
      <c r="K1123" s="0">
        <v>1180</v>
      </c>
      <c r="L1123" s="13">
        <v>3</v>
      </c>
      <c r="M1123" s="0">
        <v>28</v>
      </c>
      <c r="N1123" s="0">
        <v>6</v>
      </c>
      <c r="P1123" s="0" t="s">
        <v>1144</v>
      </c>
      <c r="T1123" s="0" t="str">
        <f>_xlfn.TEXTJOIN("_",TRUE,C1123,"node_eff",D1123,M1123,N1123)</f>
        <v>s1_node_eff_archive_28_6</v>
      </c>
    </row>
    <row r="1124" spans="1:20" x14ac:dyDescent="0.45">
      <c r="A1124" s="0" t="str">
        <f>_xlfn.TEXTJOIN("_",TRUE,C1124,"node",D1124,M1124,N1124)</f>
        <v>s1_node_archive_29_2</v>
      </c>
      <c r="B1124" s="0" t="s">
        <v>0</v>
      </c>
      <c r="C1124" s="0" t="s">
        <v>26</v>
      </c>
      <c r="D1124" s="0" t="s">
        <v>107</v>
      </c>
      <c r="E1124" s="0" t="str">
        <f>"s1_node_"&amp;D1124&amp;"_name"</f>
        <v>s1_node_archive_name</v>
      </c>
      <c r="F1124" s="13" t="str">
        <f>"s1_node_"&amp;D1124&amp;"_desc"</f>
        <v>s1_node_archive_desc</v>
      </c>
      <c r="G1124" s="0" t="s">
        <v>795</v>
      </c>
      <c r="H1124" s="0">
        <v>2</v>
      </c>
      <c r="I1124" s="0" t="s">
        <v>27</v>
      </c>
      <c r="J1124" s="0" t="s">
        <v>1145</v>
      </c>
      <c r="K1124" s="0">
        <v>1210</v>
      </c>
      <c r="L1124" s="13">
        <v>3</v>
      </c>
      <c r="M1124" s="0">
        <v>29</v>
      </c>
      <c r="N1124" s="0">
        <v>2</v>
      </c>
      <c r="T1124" s="0" t="str">
        <f>_xlfn.TEXTJOIN("_",TRUE,C1124,"node_eff",D1124,M1124,N1124)</f>
        <v>s1_node_eff_archive_29_2</v>
      </c>
    </row>
    <row r="1125" spans="1:20" x14ac:dyDescent="0.45">
      <c r="A1125" s="0" t="str">
        <f>_xlfn.TEXTJOIN("_",TRUE,C1125,"node",D1125,M1125,N1125)</f>
        <v>s1_node_archive_29_4</v>
      </c>
      <c r="B1125" s="0" t="s">
        <v>0</v>
      </c>
      <c r="C1125" s="0" t="s">
        <v>26</v>
      </c>
      <c r="D1125" s="0" t="s">
        <v>107</v>
      </c>
      <c r="E1125" s="0" t="str">
        <f>"s1_node_"&amp;D1125&amp;"_name"</f>
        <v>s1_node_archive_name</v>
      </c>
      <c r="F1125" s="13" t="str">
        <f>"s1_node_"&amp;D1125&amp;"_desc"</f>
        <v>s1_node_archive_desc</v>
      </c>
      <c r="G1125" s="0" t="s">
        <v>149</v>
      </c>
      <c r="H1125" s="0">
        <v>2</v>
      </c>
      <c r="I1125" s="0" t="s">
        <v>27</v>
      </c>
      <c r="J1125" s="0" t="s">
        <v>1145</v>
      </c>
      <c r="K1125" s="0">
        <v>1210</v>
      </c>
      <c r="L1125" s="13">
        <v>3</v>
      </c>
      <c r="M1125" s="0">
        <v>29</v>
      </c>
      <c r="N1125" s="0">
        <v>4</v>
      </c>
      <c r="P1125" s="0" t="s">
        <v>1146</v>
      </c>
      <c r="T1125" s="0" t="str">
        <f>_xlfn.TEXTJOIN("_",TRUE,C1125,"node_eff",D1125,M1125,N1125)</f>
        <v>s1_node_eff_archive_29_4</v>
      </c>
    </row>
    <row r="1126" spans="1:20" x14ac:dyDescent="0.45">
      <c r="A1126" s="0" t="str">
        <f>_xlfn.TEXTJOIN("_",TRUE,C1126,"node",D1126,M1126,N1126)</f>
        <v>s1_node_archive_29_6</v>
      </c>
      <c r="B1126" s="0" t="s">
        <v>0</v>
      </c>
      <c r="C1126" s="0" t="s">
        <v>26</v>
      </c>
      <c r="D1126" s="0" t="s">
        <v>107</v>
      </c>
      <c r="E1126" s="0" t="str">
        <f>"s1_node_"&amp;D1126&amp;"_name"</f>
        <v>s1_node_archive_name</v>
      </c>
      <c r="F1126" s="13" t="str">
        <f>"s1_node_"&amp;D1126&amp;"_desc"</f>
        <v>s1_node_archive_desc</v>
      </c>
      <c r="G1126" s="0" t="s">
        <v>149</v>
      </c>
      <c r="H1126" s="0">
        <v>2</v>
      </c>
      <c r="I1126" s="0" t="s">
        <v>27</v>
      </c>
      <c r="J1126" s="0" t="s">
        <v>1145</v>
      </c>
      <c r="K1126" s="0">
        <v>1210</v>
      </c>
      <c r="L1126" s="13">
        <v>3</v>
      </c>
      <c r="M1126" s="0">
        <v>29</v>
      </c>
      <c r="N1126" s="0">
        <v>6</v>
      </c>
      <c r="T1126" s="0" t="str">
        <f>_xlfn.TEXTJOIN("_",TRUE,C1126,"node_eff",D1126,M1126,N1126)</f>
        <v>s1_node_eff_archive_29_6</v>
      </c>
    </row>
    <row r="1127" spans="1:20" x14ac:dyDescent="0.45">
      <c r="A1127" s="0" t="str">
        <f>_xlfn.TEXTJOIN("_",TRUE,C1127,"node",D1127,M1127,N1127)</f>
        <v>s1_node_archive_30_2</v>
      </c>
      <c r="B1127" s="0" t="s">
        <v>0</v>
      </c>
      <c r="C1127" s="0" t="s">
        <v>26</v>
      </c>
      <c r="D1127" s="0" t="s">
        <v>107</v>
      </c>
      <c r="E1127" s="0" t="str">
        <f>"s1_node_"&amp;D1127&amp;"_name"</f>
        <v>s1_node_archive_name</v>
      </c>
      <c r="F1127" s="13" t="str">
        <f>"s1_node_"&amp;D1127&amp;"_desc"</f>
        <v>s1_node_archive_desc</v>
      </c>
      <c r="G1127" s="0" t="s">
        <v>149</v>
      </c>
      <c r="H1127" s="0">
        <v>2</v>
      </c>
      <c r="I1127" s="0" t="s">
        <v>27</v>
      </c>
      <c r="J1127" s="0" t="s">
        <v>481</v>
      </c>
      <c r="K1127" s="0">
        <v>1250</v>
      </c>
      <c r="L1127" s="13">
        <v>3</v>
      </c>
      <c r="M1127" s="0">
        <v>30</v>
      </c>
      <c r="N1127" s="0">
        <v>2</v>
      </c>
      <c r="P1127" s="0" t="s">
        <v>1147</v>
      </c>
      <c r="T1127" s="0" t="str">
        <f>_xlfn.TEXTJOIN("_",TRUE,C1127,"node_eff",D1127,M1127,N1127)</f>
        <v>s1_node_eff_archive_30_2</v>
      </c>
    </row>
    <row r="1128" spans="1:20" x14ac:dyDescent="0.45">
      <c r="A1128" s="0" t="str">
        <f>_xlfn.TEXTJOIN("_",TRUE,C1128,"node",D1128,M1128,N1128)</f>
        <v>s1_node_archive_30_6</v>
      </c>
      <c r="B1128" s="0" t="s">
        <v>0</v>
      </c>
      <c r="C1128" s="0" t="s">
        <v>26</v>
      </c>
      <c r="D1128" s="0" t="s">
        <v>107</v>
      </c>
      <c r="E1128" s="0" t="str">
        <f>"s1_node_"&amp;D1128&amp;"_name"</f>
        <v>s1_node_archive_name</v>
      </c>
      <c r="F1128" s="13" t="str">
        <f>"s1_node_"&amp;D1128&amp;"_desc"</f>
        <v>s1_node_archive_desc</v>
      </c>
      <c r="G1128" s="0" t="s">
        <v>422</v>
      </c>
      <c r="H1128" s="0">
        <v>2</v>
      </c>
      <c r="I1128" s="0" t="s">
        <v>27</v>
      </c>
      <c r="J1128" s="0" t="s">
        <v>481</v>
      </c>
      <c r="K1128" s="0">
        <v>1250</v>
      </c>
      <c r="L1128" s="13">
        <v>3</v>
      </c>
      <c r="M1128" s="0">
        <v>30</v>
      </c>
      <c r="N1128" s="0">
        <v>6</v>
      </c>
      <c r="P1128" s="0" t="s">
        <v>1148</v>
      </c>
      <c r="T1128" s="0" t="str">
        <f>_xlfn.TEXTJOIN("_",TRUE,C1128,"node_eff",D1128,M1128,N1128)</f>
        <v>s1_node_eff_archive_30_6</v>
      </c>
    </row>
    <row r="1129" spans="1:20" x14ac:dyDescent="0.45">
      <c r="A1129" s="0" t="str">
        <f>_xlfn.TEXTJOIN("_",TRUE,C1129,"node",D1129,M1129,N1129)</f>
        <v>s1_node_archive_31_4</v>
      </c>
      <c r="B1129" s="0" t="s">
        <v>0</v>
      </c>
      <c r="C1129" s="0" t="s">
        <v>26</v>
      </c>
      <c r="D1129" s="0" t="s">
        <v>107</v>
      </c>
      <c r="E1129" s="0" t="str">
        <f>"s1_node_"&amp;D1129&amp;"_name"</f>
        <v>s1_node_archive_name</v>
      </c>
      <c r="F1129" s="13" t="str">
        <f>"s1_node_"&amp;D1129&amp;"_desc"</f>
        <v>s1_node_archive_desc</v>
      </c>
      <c r="G1129" s="0" t="s">
        <v>422</v>
      </c>
      <c r="H1129" s="0">
        <v>2</v>
      </c>
      <c r="I1129" s="0" t="s">
        <v>27</v>
      </c>
      <c r="J1129" s="0" t="s">
        <v>484</v>
      </c>
      <c r="K1129" s="0">
        <v>1290</v>
      </c>
      <c r="L1129" s="13">
        <v>3</v>
      </c>
      <c r="M1129" s="0">
        <v>31</v>
      </c>
      <c r="N1129" s="0">
        <v>4</v>
      </c>
      <c r="P1129" s="0" t="s">
        <v>1149</v>
      </c>
      <c r="T1129" s="0" t="str">
        <f>_xlfn.TEXTJOIN("_",TRUE,C1129,"node_eff",D1129,M1129,N1129)</f>
        <v>s1_node_eff_archive_31_4</v>
      </c>
    </row>
    <row r="1130" spans="1:20" x14ac:dyDescent="0.45">
      <c r="A1130" s="0" t="str">
        <f>_xlfn.TEXTJOIN("_",TRUE,C1130,"node",D1130,M1130,N1130)</f>
        <v>s1_node_archive_32_2</v>
      </c>
      <c r="B1130" s="0" t="s">
        <v>0</v>
      </c>
      <c r="C1130" s="0" t="s">
        <v>26</v>
      </c>
      <c r="D1130" s="0" t="s">
        <v>107</v>
      </c>
      <c r="E1130" s="0" t="str">
        <f>"s1_node_"&amp;D1130&amp;"_name"</f>
        <v>s1_node_archive_name</v>
      </c>
      <c r="F1130" s="13" t="str">
        <f>"s1_node_"&amp;D1130&amp;"_desc"</f>
        <v>s1_node_archive_desc</v>
      </c>
      <c r="G1130" s="0" t="s">
        <v>615</v>
      </c>
      <c r="H1130" s="0">
        <v>2</v>
      </c>
      <c r="I1130" s="0" t="s">
        <v>27</v>
      </c>
      <c r="J1130" s="0" t="s">
        <v>996</v>
      </c>
      <c r="K1130" s="0">
        <v>1320</v>
      </c>
      <c r="L1130" s="13">
        <v>3</v>
      </c>
      <c r="M1130" s="0">
        <v>32</v>
      </c>
      <c r="N1130" s="0">
        <v>2</v>
      </c>
      <c r="T1130" s="0" t="str">
        <f>_xlfn.TEXTJOIN("_",TRUE,C1130,"node_eff",D1130,M1130,N1130)</f>
        <v>s1_node_eff_archive_32_2</v>
      </c>
    </row>
    <row r="1131" spans="1:20" x14ac:dyDescent="0.45">
      <c r="A1131" s="0" t="str">
        <f>_xlfn.TEXTJOIN("_",TRUE,C1131,"node",D1131,M1131,N1131)</f>
        <v>s1_node_archive_32_4</v>
      </c>
      <c r="B1131" s="0" t="s">
        <v>0</v>
      </c>
      <c r="C1131" s="0" t="s">
        <v>26</v>
      </c>
      <c r="D1131" s="0" t="s">
        <v>107</v>
      </c>
      <c r="E1131" s="0" t="str">
        <f>"s1_node_"&amp;D1131&amp;"_name"</f>
        <v>s1_node_archive_name</v>
      </c>
      <c r="F1131" s="13" t="str">
        <f>"s1_node_"&amp;D1131&amp;"_desc"</f>
        <v>s1_node_archive_desc</v>
      </c>
      <c r="G1131" s="0" t="s">
        <v>788</v>
      </c>
      <c r="H1131" s="0">
        <v>2</v>
      </c>
      <c r="I1131" s="0" t="s">
        <v>27</v>
      </c>
      <c r="J1131" s="0" t="s">
        <v>996</v>
      </c>
      <c r="K1131" s="0">
        <v>1320</v>
      </c>
      <c r="L1131" s="13">
        <v>3</v>
      </c>
      <c r="M1131" s="0">
        <v>32</v>
      </c>
      <c r="N1131" s="0">
        <v>4</v>
      </c>
      <c r="T1131" s="0" t="str">
        <f>_xlfn.TEXTJOIN("_",TRUE,C1131,"node_eff",D1131,M1131,N1131)</f>
        <v>s1_node_eff_archive_32_4</v>
      </c>
    </row>
    <row r="1132" spans="1:20" x14ac:dyDescent="0.45">
      <c r="A1132" s="0" t="str">
        <f>_xlfn.TEXTJOIN("_",TRUE,C1132,"node",D1132,M1132,N1132)</f>
        <v>s1_node_archive_32_6</v>
      </c>
      <c r="B1132" s="0" t="s">
        <v>0</v>
      </c>
      <c r="C1132" s="0" t="s">
        <v>26</v>
      </c>
      <c r="D1132" s="0" t="s">
        <v>107</v>
      </c>
      <c r="E1132" s="0" t="str">
        <f>"s1_node_"&amp;D1132&amp;"_name"</f>
        <v>s1_node_archive_name</v>
      </c>
      <c r="F1132" s="13" t="str">
        <f>"s1_node_"&amp;D1132&amp;"_desc"</f>
        <v>s1_node_archive_desc</v>
      </c>
      <c r="G1132" s="0" t="s">
        <v>149</v>
      </c>
      <c r="H1132" s="0">
        <v>2</v>
      </c>
      <c r="I1132" s="0" t="s">
        <v>27</v>
      </c>
      <c r="J1132" s="0" t="s">
        <v>996</v>
      </c>
      <c r="K1132" s="0">
        <v>1320</v>
      </c>
      <c r="L1132" s="13">
        <v>3</v>
      </c>
      <c r="M1132" s="0">
        <v>32</v>
      </c>
      <c r="N1132" s="0">
        <v>6</v>
      </c>
      <c r="T1132" s="0" t="str">
        <f>_xlfn.TEXTJOIN("_",TRUE,C1132,"node_eff",D1132,M1132,N1132)</f>
        <v>s1_node_eff_archive_32_6</v>
      </c>
    </row>
    <row r="1133" spans="1:20" x14ac:dyDescent="0.45">
      <c r="A1133" s="0" t="str">
        <f>_xlfn.TEXTJOIN("_",TRUE,C1133,"node",D1133,M1133,N1133)</f>
        <v>s1_node_archive_33_2</v>
      </c>
      <c r="B1133" s="0" t="s">
        <v>0</v>
      </c>
      <c r="C1133" s="0" t="s">
        <v>26</v>
      </c>
      <c r="D1133" s="0" t="s">
        <v>107</v>
      </c>
      <c r="E1133" s="0" t="str">
        <f>"s1_node_"&amp;D1133&amp;"_name"</f>
        <v>s1_node_archive_name</v>
      </c>
      <c r="F1133" s="13" t="str">
        <f>"s1_node_"&amp;D1133&amp;"_desc"</f>
        <v>s1_node_archive_desc</v>
      </c>
      <c r="G1133" s="0" t="s">
        <v>149</v>
      </c>
      <c r="H1133" s="0">
        <v>2</v>
      </c>
      <c r="I1133" s="0" t="s">
        <v>27</v>
      </c>
      <c r="J1133" s="0" t="s">
        <v>488</v>
      </c>
      <c r="K1133" s="0">
        <v>1360</v>
      </c>
      <c r="L1133" s="13">
        <v>3</v>
      </c>
      <c r="M1133" s="0">
        <v>33</v>
      </c>
      <c r="N1133" s="0">
        <v>2</v>
      </c>
      <c r="P1133" s="0" t="s">
        <v>1150</v>
      </c>
      <c r="T1133" s="0" t="str">
        <f>_xlfn.TEXTJOIN("_",TRUE,C1133,"node_eff",D1133,M1133,N1133)</f>
        <v>s1_node_eff_archive_33_2</v>
      </c>
    </row>
    <row r="1134" spans="1:20" x14ac:dyDescent="0.45">
      <c r="A1134" s="0" t="str">
        <f>_xlfn.TEXTJOIN("_",TRUE,C1134,"node",D1134,M1134,N1134)</f>
        <v>s1_node_archive_33_6</v>
      </c>
      <c r="B1134" s="0" t="s">
        <v>0</v>
      </c>
      <c r="C1134" s="0" t="s">
        <v>26</v>
      </c>
      <c r="D1134" s="0" t="s">
        <v>107</v>
      </c>
      <c r="E1134" s="0" t="str">
        <f>"s1_node_"&amp;D1134&amp;"_name"</f>
        <v>s1_node_archive_name</v>
      </c>
      <c r="F1134" s="13" t="str">
        <f>"s1_node_"&amp;D1134&amp;"_desc"</f>
        <v>s1_node_archive_desc</v>
      </c>
      <c r="G1134" s="0" t="s">
        <v>795</v>
      </c>
      <c r="H1134" s="0">
        <v>2</v>
      </c>
      <c r="I1134" s="0" t="s">
        <v>27</v>
      </c>
      <c r="J1134" s="0" t="s">
        <v>488</v>
      </c>
      <c r="K1134" s="0">
        <v>1360</v>
      </c>
      <c r="L1134" s="13">
        <v>3</v>
      </c>
      <c r="M1134" s="0">
        <v>33</v>
      </c>
      <c r="N1134" s="0">
        <v>6</v>
      </c>
      <c r="P1134" s="0" t="s">
        <v>1151</v>
      </c>
      <c r="T1134" s="0" t="str">
        <f>_xlfn.TEXTJOIN("_",TRUE,C1134,"node_eff",D1134,M1134,N1134)</f>
        <v>s1_node_eff_archive_33_6</v>
      </c>
    </row>
    <row r="1135" spans="1:20" x14ac:dyDescent="0.45">
      <c r="A1135" s="0" t="str">
        <f>_xlfn.TEXTJOIN("_",TRUE,C1135,"node",D1135,M1135,N1135)</f>
        <v>s1_node_archive_34_2</v>
      </c>
      <c r="B1135" s="0" t="s">
        <v>0</v>
      </c>
      <c r="C1135" s="0" t="s">
        <v>26</v>
      </c>
      <c r="D1135" s="0" t="s">
        <v>107</v>
      </c>
      <c r="E1135" s="0" t="str">
        <f>"s1_node_"&amp;D1135&amp;"_name"</f>
        <v>s1_node_archive_name</v>
      </c>
      <c r="F1135" s="13" t="str">
        <f>"s1_node_"&amp;D1135&amp;"_desc"</f>
        <v>s1_node_archive_desc</v>
      </c>
      <c r="G1135" s="0" t="s">
        <v>149</v>
      </c>
      <c r="H1135" s="0">
        <v>2</v>
      </c>
      <c r="I1135" s="0" t="s">
        <v>27</v>
      </c>
      <c r="J1135" s="0" t="s">
        <v>245</v>
      </c>
      <c r="K1135" s="0">
        <v>1400</v>
      </c>
      <c r="L1135" s="13">
        <v>3</v>
      </c>
      <c r="M1135" s="0">
        <v>34</v>
      </c>
      <c r="N1135" s="0">
        <v>2</v>
      </c>
      <c r="T1135" s="0" t="str">
        <f>_xlfn.TEXTJOIN("_",TRUE,C1135,"node_eff",D1135,M1135,N1135)</f>
        <v>s1_node_eff_archive_34_2</v>
      </c>
    </row>
    <row r="1136" spans="1:20" x14ac:dyDescent="0.45">
      <c r="A1136" s="0" t="str">
        <f>_xlfn.TEXTJOIN("_",TRUE,C1136,"node",D1136,M1136,N1136)</f>
        <v>s1_node_archive_34_4</v>
      </c>
      <c r="B1136" s="0" t="s">
        <v>0</v>
      </c>
      <c r="C1136" s="0" t="s">
        <v>26</v>
      </c>
      <c r="D1136" s="0" t="s">
        <v>107</v>
      </c>
      <c r="E1136" s="0" t="str">
        <f>"s1_node_"&amp;D1136&amp;"_name"</f>
        <v>s1_node_archive_name</v>
      </c>
      <c r="F1136" s="13" t="str">
        <f>"s1_node_"&amp;D1136&amp;"_desc"</f>
        <v>s1_node_archive_desc</v>
      </c>
      <c r="G1136" s="0" t="s">
        <v>149</v>
      </c>
      <c r="H1136" s="0">
        <v>2</v>
      </c>
      <c r="I1136" s="0" t="s">
        <v>27</v>
      </c>
      <c r="J1136" s="0" t="s">
        <v>245</v>
      </c>
      <c r="K1136" s="0">
        <v>1400</v>
      </c>
      <c r="L1136" s="13">
        <v>3</v>
      </c>
      <c r="M1136" s="0">
        <v>34</v>
      </c>
      <c r="N1136" s="0">
        <v>4</v>
      </c>
      <c r="P1136" s="0" t="s">
        <v>1152</v>
      </c>
      <c r="T1136" s="0" t="str">
        <f>_xlfn.TEXTJOIN("_",TRUE,C1136,"node_eff",D1136,M1136,N1136)</f>
        <v>s1_node_eff_archive_34_4</v>
      </c>
    </row>
    <row r="1137" spans="1:20" x14ac:dyDescent="0.45">
      <c r="A1137" s="0" t="str">
        <f>_xlfn.TEXTJOIN("_",TRUE,C1137,"node",D1137,M1137,N1137)</f>
        <v>s1_node_archive_34_6</v>
      </c>
      <c r="B1137" s="0" t="s">
        <v>0</v>
      </c>
      <c r="C1137" s="0" t="s">
        <v>26</v>
      </c>
      <c r="D1137" s="0" t="s">
        <v>107</v>
      </c>
      <c r="E1137" s="0" t="str">
        <f>"s1_node_"&amp;D1137&amp;"_name"</f>
        <v>s1_node_archive_name</v>
      </c>
      <c r="F1137" s="13" t="str">
        <f>"s1_node_"&amp;D1137&amp;"_desc"</f>
        <v>s1_node_archive_desc</v>
      </c>
      <c r="G1137" s="0" t="s">
        <v>795</v>
      </c>
      <c r="H1137" s="0">
        <v>2</v>
      </c>
      <c r="I1137" s="0" t="s">
        <v>27</v>
      </c>
      <c r="J1137" s="0" t="s">
        <v>245</v>
      </c>
      <c r="K1137" s="0">
        <v>1400</v>
      </c>
      <c r="L1137" s="13">
        <v>3</v>
      </c>
      <c r="M1137" s="0">
        <v>34</v>
      </c>
      <c r="N1137" s="0">
        <v>6</v>
      </c>
      <c r="T1137" s="0" t="str">
        <f>_xlfn.TEXTJOIN("_",TRUE,C1137,"node_eff",D1137,M1137,N1137)</f>
        <v>s1_node_eff_archive_34_6</v>
      </c>
    </row>
    <row r="1138" spans="1:20" x14ac:dyDescent="0.45">
      <c r="A1138" s="0" t="str">
        <f>_xlfn.TEXTJOIN("_",TRUE,C1138,"node",D1138,M1138,N1138)</f>
        <v>s1_node_archive_35_2</v>
      </c>
      <c r="B1138" s="0" t="s">
        <v>0</v>
      </c>
      <c r="C1138" s="0" t="s">
        <v>26</v>
      </c>
      <c r="D1138" s="0" t="s">
        <v>107</v>
      </c>
      <c r="E1138" s="0" t="str">
        <f>"s1_node_"&amp;D1138&amp;"_name"</f>
        <v>s1_node_archive_name</v>
      </c>
      <c r="F1138" s="13" t="str">
        <f>"s1_node_"&amp;D1138&amp;"_desc"</f>
        <v>s1_node_archive_desc</v>
      </c>
      <c r="G1138" s="0" t="s">
        <v>149</v>
      </c>
      <c r="H1138" s="0">
        <v>2</v>
      </c>
      <c r="I1138" s="0" t="s">
        <v>27</v>
      </c>
      <c r="J1138" s="0" t="s">
        <v>490</v>
      </c>
      <c r="K1138" s="0">
        <v>1430</v>
      </c>
      <c r="L1138" s="13">
        <v>3</v>
      </c>
      <c r="M1138" s="0">
        <v>35</v>
      </c>
      <c r="N1138" s="0">
        <v>2</v>
      </c>
      <c r="P1138" s="0" t="s">
        <v>1153</v>
      </c>
      <c r="T1138" s="0" t="str">
        <f>_xlfn.TEXTJOIN("_",TRUE,C1138,"node_eff",D1138,M1138,N1138)</f>
        <v>s1_node_eff_archive_35_2</v>
      </c>
    </row>
    <row r="1139" spans="1:20" x14ac:dyDescent="0.45">
      <c r="A1139" s="0" t="str">
        <f>_xlfn.TEXTJOIN("_",TRUE,C1139,"node",D1139,M1139,N1139)</f>
        <v>s1_node_archive_35_6</v>
      </c>
      <c r="B1139" s="0" t="s">
        <v>0</v>
      </c>
      <c r="C1139" s="0" t="s">
        <v>26</v>
      </c>
      <c r="D1139" s="0" t="s">
        <v>107</v>
      </c>
      <c r="E1139" s="0" t="str">
        <f>"s1_node_"&amp;D1139&amp;"_name"</f>
        <v>s1_node_archive_name</v>
      </c>
      <c r="F1139" s="13" t="str">
        <f>"s1_node_"&amp;D1139&amp;"_desc"</f>
        <v>s1_node_archive_desc</v>
      </c>
      <c r="G1139" s="0" t="s">
        <v>149</v>
      </c>
      <c r="H1139" s="0">
        <v>2</v>
      </c>
      <c r="I1139" s="0" t="s">
        <v>27</v>
      </c>
      <c r="J1139" s="0" t="s">
        <v>490</v>
      </c>
      <c r="K1139" s="0">
        <v>1430</v>
      </c>
      <c r="L1139" s="13">
        <v>3</v>
      </c>
      <c r="M1139" s="0">
        <v>35</v>
      </c>
      <c r="N1139" s="0">
        <v>6</v>
      </c>
      <c r="P1139" s="0" t="s">
        <v>1154</v>
      </c>
      <c r="T1139" s="0" t="str">
        <f>_xlfn.TEXTJOIN("_",TRUE,C1139,"node_eff",D1139,M1139,N1139)</f>
        <v>s1_node_eff_archive_35_6</v>
      </c>
    </row>
    <row r="1140" spans="1:20" x14ac:dyDescent="0.45">
      <c r="A1140" s="0" t="str">
        <f>_xlfn.TEXTJOIN("_",TRUE,C1140,"node",D1140,M1140,N1140)</f>
        <v>s1_node_archive_36_4</v>
      </c>
      <c r="B1140" s="0" t="s">
        <v>0</v>
      </c>
      <c r="C1140" s="0" t="s">
        <v>26</v>
      </c>
      <c r="D1140" s="0" t="s">
        <v>107</v>
      </c>
      <c r="E1140" s="0" t="str">
        <f>"s1_node_"&amp;D1140&amp;"_name"</f>
        <v>s1_node_archive_name</v>
      </c>
      <c r="F1140" s="13" t="str">
        <f>"s1_node_"&amp;D1140&amp;"_desc"</f>
        <v>s1_node_archive_desc</v>
      </c>
      <c r="G1140" s="0" t="s">
        <v>149</v>
      </c>
      <c r="H1140" s="0">
        <v>2</v>
      </c>
      <c r="I1140" s="0" t="s">
        <v>27</v>
      </c>
      <c r="J1140" s="0" t="s">
        <v>251</v>
      </c>
      <c r="K1140" s="0">
        <v>1470</v>
      </c>
      <c r="L1140" s="13">
        <v>3</v>
      </c>
      <c r="M1140" s="0">
        <v>36</v>
      </c>
      <c r="N1140" s="0">
        <v>4</v>
      </c>
      <c r="P1140" s="0" t="s">
        <v>1155</v>
      </c>
      <c r="T1140" s="0" t="str">
        <f>_xlfn.TEXTJOIN("_",TRUE,C1140,"node_eff",D1140,M1140,N1140)</f>
        <v>s1_node_eff_archive_36_4</v>
      </c>
    </row>
    <row r="1141" spans="1:20" x14ac:dyDescent="0.45">
      <c r="A1141" s="0" t="str">
        <f>_xlfn.TEXTJOIN("_",TRUE,C1141,"node",D1141,M1141,N1141)</f>
        <v>s1_node_archive_37_2</v>
      </c>
      <c r="B1141" s="0" t="s">
        <v>0</v>
      </c>
      <c r="C1141" s="0" t="s">
        <v>26</v>
      </c>
      <c r="D1141" s="0" t="s">
        <v>107</v>
      </c>
      <c r="E1141" s="0" t="str">
        <f>"s1_node_"&amp;D1141&amp;"_name"</f>
        <v>s1_node_archive_name</v>
      </c>
      <c r="F1141" s="13" t="str">
        <f>"s1_node_"&amp;D1141&amp;"_desc"</f>
        <v>s1_node_archive_desc</v>
      </c>
      <c r="G1141" s="0" t="s">
        <v>422</v>
      </c>
      <c r="H1141" s="0">
        <v>2</v>
      </c>
      <c r="I1141" s="0" t="s">
        <v>27</v>
      </c>
      <c r="J1141" s="0" t="s">
        <v>254</v>
      </c>
      <c r="K1141" s="0">
        <v>1510</v>
      </c>
      <c r="L1141" s="13">
        <v>3</v>
      </c>
      <c r="M1141" s="0">
        <v>37</v>
      </c>
      <c r="N1141" s="0">
        <v>2</v>
      </c>
      <c r="T1141" s="0" t="str">
        <f>_xlfn.TEXTJOIN("_",TRUE,C1141,"node_eff",D1141,M1141,N1141)</f>
        <v>s1_node_eff_archive_37_2</v>
      </c>
    </row>
    <row r="1142" spans="1:20" x14ac:dyDescent="0.45">
      <c r="A1142" s="0" t="str">
        <f>_xlfn.TEXTJOIN("_",TRUE,C1142,"node",D1142,M1142,N1142)</f>
        <v>s1_node_archive_37_4</v>
      </c>
      <c r="B1142" s="0" t="s">
        <v>0</v>
      </c>
      <c r="C1142" s="0" t="s">
        <v>26</v>
      </c>
      <c r="D1142" s="0" t="s">
        <v>107</v>
      </c>
      <c r="E1142" s="0" t="str">
        <f>"s1_node_"&amp;D1142&amp;"_name"</f>
        <v>s1_node_archive_name</v>
      </c>
      <c r="F1142" s="13" t="str">
        <f>"s1_node_"&amp;D1142&amp;"_desc"</f>
        <v>s1_node_archive_desc</v>
      </c>
      <c r="G1142" s="0" t="s">
        <v>422</v>
      </c>
      <c r="H1142" s="0">
        <v>2</v>
      </c>
      <c r="I1142" s="0" t="s">
        <v>27</v>
      </c>
      <c r="J1142" s="0" t="s">
        <v>254</v>
      </c>
      <c r="K1142" s="0">
        <v>1510</v>
      </c>
      <c r="L1142" s="13">
        <v>3</v>
      </c>
      <c r="M1142" s="0">
        <v>37</v>
      </c>
      <c r="N1142" s="0">
        <v>4</v>
      </c>
      <c r="T1142" s="0" t="str">
        <f>_xlfn.TEXTJOIN("_",TRUE,C1142,"node_eff",D1142,M1142,N1142)</f>
        <v>s1_node_eff_archive_37_4</v>
      </c>
    </row>
    <row r="1143" spans="1:20" x14ac:dyDescent="0.45">
      <c r="A1143" s="0" t="str">
        <f>_xlfn.TEXTJOIN("_",TRUE,C1143,"node",D1143,M1143,N1143)</f>
        <v>s1_node_archive_37_6</v>
      </c>
      <c r="B1143" s="0" t="s">
        <v>0</v>
      </c>
      <c r="C1143" s="0" t="s">
        <v>26</v>
      </c>
      <c r="D1143" s="0" t="s">
        <v>107</v>
      </c>
      <c r="E1143" s="0" t="str">
        <f>"s1_node_"&amp;D1143&amp;"_name"</f>
        <v>s1_node_archive_name</v>
      </c>
      <c r="F1143" s="13" t="str">
        <f>"s1_node_"&amp;D1143&amp;"_desc"</f>
        <v>s1_node_archive_desc</v>
      </c>
      <c r="G1143" s="0" t="s">
        <v>615</v>
      </c>
      <c r="H1143" s="0">
        <v>2</v>
      </c>
      <c r="I1143" s="0" t="s">
        <v>27</v>
      </c>
      <c r="J1143" s="0" t="s">
        <v>254</v>
      </c>
      <c r="K1143" s="0">
        <v>1510</v>
      </c>
      <c r="L1143" s="13">
        <v>3</v>
      </c>
      <c r="M1143" s="0">
        <v>37</v>
      </c>
      <c r="N1143" s="0">
        <v>6</v>
      </c>
      <c r="T1143" s="0" t="str">
        <f>_xlfn.TEXTJOIN("_",TRUE,C1143,"node_eff",D1143,M1143,N1143)</f>
        <v>s1_node_eff_archive_37_6</v>
      </c>
    </row>
    <row r="1144" spans="1:20" x14ac:dyDescent="0.45">
      <c r="A1144" s="0" t="str">
        <f>_xlfn.TEXTJOIN("_",TRUE,C1144,"node",D1144,M1144,N1144)</f>
        <v>s1_node_archive_38_2</v>
      </c>
      <c r="B1144" s="0" t="s">
        <v>0</v>
      </c>
      <c r="C1144" s="0" t="s">
        <v>26</v>
      </c>
      <c r="D1144" s="0" t="s">
        <v>107</v>
      </c>
      <c r="E1144" s="0" t="str">
        <f>"s1_node_"&amp;D1144&amp;"_name"</f>
        <v>s1_node_archive_name</v>
      </c>
      <c r="F1144" s="13" t="str">
        <f>"s1_node_"&amp;D1144&amp;"_desc"</f>
        <v>s1_node_archive_desc</v>
      </c>
      <c r="G1144" s="0" t="s">
        <v>788</v>
      </c>
      <c r="H1144" s="0">
        <v>2</v>
      </c>
      <c r="I1144" s="0" t="s">
        <v>27</v>
      </c>
      <c r="J1144" s="0" t="s">
        <v>256</v>
      </c>
      <c r="K1144" s="0">
        <v>1540</v>
      </c>
      <c r="L1144" s="13">
        <v>3</v>
      </c>
      <c r="M1144" s="0">
        <v>38</v>
      </c>
      <c r="N1144" s="0">
        <v>2</v>
      </c>
      <c r="P1144" s="0" t="s">
        <v>1156</v>
      </c>
      <c r="T1144" s="0" t="str">
        <f>_xlfn.TEXTJOIN("_",TRUE,C1144,"node_eff",D1144,M1144,N1144)</f>
        <v>s1_node_eff_archive_38_2</v>
      </c>
    </row>
    <row r="1145" spans="1:20" x14ac:dyDescent="0.45">
      <c r="A1145" s="0" t="str">
        <f>_xlfn.TEXTJOIN("_",TRUE,C1145,"node",D1145,M1145,N1145)</f>
        <v>s1_node_archive_38_6</v>
      </c>
      <c r="B1145" s="0" t="s">
        <v>0</v>
      </c>
      <c r="C1145" s="0" t="s">
        <v>26</v>
      </c>
      <c r="D1145" s="0" t="s">
        <v>107</v>
      </c>
      <c r="E1145" s="0" t="str">
        <f>"s1_node_"&amp;D1145&amp;"_name"</f>
        <v>s1_node_archive_name</v>
      </c>
      <c r="F1145" s="13" t="str">
        <f>"s1_node_"&amp;D1145&amp;"_desc"</f>
        <v>s1_node_archive_desc</v>
      </c>
      <c r="G1145" s="0" t="s">
        <v>149</v>
      </c>
      <c r="H1145" s="0">
        <v>2</v>
      </c>
      <c r="I1145" s="0" t="s">
        <v>27</v>
      </c>
      <c r="J1145" s="0" t="s">
        <v>256</v>
      </c>
      <c r="K1145" s="0">
        <v>1540</v>
      </c>
      <c r="L1145" s="13">
        <v>3</v>
      </c>
      <c r="M1145" s="0">
        <v>38</v>
      </c>
      <c r="N1145" s="0">
        <v>6</v>
      </c>
      <c r="P1145" s="0" t="s">
        <v>1157</v>
      </c>
      <c r="T1145" s="0" t="str">
        <f>_xlfn.TEXTJOIN("_",TRUE,C1145,"node_eff",D1145,M1145,N1145)</f>
        <v>s1_node_eff_archive_38_6</v>
      </c>
    </row>
    <row r="1146" spans="1:20" x14ac:dyDescent="0.45">
      <c r="A1146" s="0" t="str">
        <f>_xlfn.TEXTJOIN("_",TRUE,C1146,"node",D1146,M1146,N1146)</f>
        <v>s1_node_archive_39_2</v>
      </c>
      <c r="B1146" s="0" t="s">
        <v>0</v>
      </c>
      <c r="C1146" s="0" t="s">
        <v>26</v>
      </c>
      <c r="D1146" s="0" t="s">
        <v>107</v>
      </c>
      <c r="E1146" s="0" t="str">
        <f>"s1_node_"&amp;D1146&amp;"_name"</f>
        <v>s1_node_archive_name</v>
      </c>
      <c r="F1146" s="13" t="str">
        <f>"s1_node_"&amp;D1146&amp;"_desc"</f>
        <v>s1_node_archive_desc</v>
      </c>
      <c r="G1146" s="0" t="s">
        <v>149</v>
      </c>
      <c r="H1146" s="0">
        <v>2</v>
      </c>
      <c r="I1146" s="0" t="s">
        <v>27</v>
      </c>
      <c r="J1146" s="0" t="s">
        <v>497</v>
      </c>
      <c r="K1146" s="0">
        <v>1580</v>
      </c>
      <c r="L1146" s="13">
        <v>3</v>
      </c>
      <c r="M1146" s="0">
        <v>39</v>
      </c>
      <c r="N1146" s="0">
        <v>2</v>
      </c>
      <c r="T1146" s="0" t="str">
        <f>_xlfn.TEXTJOIN("_",TRUE,C1146,"node_eff",D1146,M1146,N1146)</f>
        <v>s1_node_eff_archive_39_2</v>
      </c>
    </row>
    <row r="1147" spans="1:20" x14ac:dyDescent="0.45">
      <c r="A1147" s="0" t="str">
        <f>_xlfn.TEXTJOIN("_",TRUE,C1147,"node",D1147,M1147,N1147)</f>
        <v>s1_node_archive_39_4</v>
      </c>
      <c r="B1147" s="0" t="s">
        <v>0</v>
      </c>
      <c r="C1147" s="0" t="s">
        <v>26</v>
      </c>
      <c r="D1147" s="0" t="s">
        <v>107</v>
      </c>
      <c r="E1147" s="0" t="str">
        <f>"s1_node_"&amp;D1147&amp;"_name"</f>
        <v>s1_node_archive_name</v>
      </c>
      <c r="F1147" s="13" t="str">
        <f>"s1_node_"&amp;D1147&amp;"_desc"</f>
        <v>s1_node_archive_desc</v>
      </c>
      <c r="G1147" s="0" t="s">
        <v>795</v>
      </c>
      <c r="H1147" s="0">
        <v>2</v>
      </c>
      <c r="I1147" s="0" t="s">
        <v>27</v>
      </c>
      <c r="J1147" s="0" t="s">
        <v>497</v>
      </c>
      <c r="K1147" s="0">
        <v>1580</v>
      </c>
      <c r="L1147" s="13">
        <v>3</v>
      </c>
      <c r="M1147" s="0">
        <v>39</v>
      </c>
      <c r="N1147" s="0">
        <v>4</v>
      </c>
      <c r="P1147" s="0" t="s">
        <v>1158</v>
      </c>
      <c r="T1147" s="0" t="str">
        <f>_xlfn.TEXTJOIN("_",TRUE,C1147,"node_eff",D1147,M1147,N1147)</f>
        <v>s1_node_eff_archive_39_4</v>
      </c>
    </row>
    <row r="1148" spans="1:20" x14ac:dyDescent="0.45">
      <c r="A1148" s="0" t="str">
        <f>_xlfn.TEXTJOIN("_",TRUE,C1148,"node",D1148,M1148,N1148)</f>
        <v>s1_node_archive_39_6</v>
      </c>
      <c r="B1148" s="0" t="s">
        <v>0</v>
      </c>
      <c r="C1148" s="0" t="s">
        <v>26</v>
      </c>
      <c r="D1148" s="0" t="s">
        <v>107</v>
      </c>
      <c r="E1148" s="0" t="str">
        <f>"s1_node_"&amp;D1148&amp;"_name"</f>
        <v>s1_node_archive_name</v>
      </c>
      <c r="F1148" s="13" t="str">
        <f>"s1_node_"&amp;D1148&amp;"_desc"</f>
        <v>s1_node_archive_desc</v>
      </c>
      <c r="G1148" s="0" t="s">
        <v>149</v>
      </c>
      <c r="H1148" s="0">
        <v>2</v>
      </c>
      <c r="I1148" s="0" t="s">
        <v>27</v>
      </c>
      <c r="J1148" s="0" t="s">
        <v>497</v>
      </c>
      <c r="K1148" s="0">
        <v>1580</v>
      </c>
      <c r="L1148" s="13">
        <v>3</v>
      </c>
      <c r="M1148" s="0">
        <v>39</v>
      </c>
      <c r="N1148" s="0">
        <v>6</v>
      </c>
      <c r="T1148" s="0" t="str">
        <f>_xlfn.TEXTJOIN("_",TRUE,C1148,"node_eff",D1148,M1148,N1148)</f>
        <v>s1_node_eff_archive_39_6</v>
      </c>
    </row>
    <row r="1149" spans="1:20" x14ac:dyDescent="0.45">
      <c r="A1149" s="0" t="str">
        <f>_xlfn.TEXTJOIN("_",TRUE,C1149,"node",D1149,M1149,N1149)</f>
        <v>s1_node_archive_40_2</v>
      </c>
      <c r="B1149" s="0" t="s">
        <v>0</v>
      </c>
      <c r="C1149" s="0" t="s">
        <v>26</v>
      </c>
      <c r="D1149" s="0" t="s">
        <v>107</v>
      </c>
      <c r="E1149" s="0" t="str">
        <f>"s1_node_"&amp;D1149&amp;"_name"</f>
        <v>s1_node_archive_name</v>
      </c>
      <c r="F1149" s="13" t="str">
        <f>"s1_node_"&amp;D1149&amp;"_desc"</f>
        <v>s1_node_archive_desc</v>
      </c>
      <c r="G1149" s="0" t="s">
        <v>149</v>
      </c>
      <c r="H1149" s="0">
        <v>2</v>
      </c>
      <c r="I1149" s="0" t="s">
        <v>27</v>
      </c>
      <c r="J1149" s="0" t="s">
        <v>1159</v>
      </c>
      <c r="K1149" s="0">
        <v>1620</v>
      </c>
      <c r="L1149" s="13">
        <v>3</v>
      </c>
      <c r="M1149" s="0">
        <v>40</v>
      </c>
      <c r="N1149" s="0">
        <v>2</v>
      </c>
      <c r="P1149" s="0" t="s">
        <v>1160</v>
      </c>
      <c r="T1149" s="0" t="str">
        <f>_xlfn.TEXTJOIN("_",TRUE,C1149,"node_eff",D1149,M1149,N1149)</f>
        <v>s1_node_eff_archive_40_2</v>
      </c>
    </row>
    <row r="1150" spans="1:20" x14ac:dyDescent="0.45">
      <c r="A1150" s="0" t="str">
        <f>_xlfn.TEXTJOIN("_",TRUE,C1150,"node",D1150,M1150,N1150)</f>
        <v>s1_node_archive_40_6</v>
      </c>
      <c r="B1150" s="0" t="s">
        <v>0</v>
      </c>
      <c r="C1150" s="0" t="s">
        <v>26</v>
      </c>
      <c r="D1150" s="0" t="s">
        <v>107</v>
      </c>
      <c r="E1150" s="0" t="str">
        <f>"s1_node_"&amp;D1150&amp;"_name"</f>
        <v>s1_node_archive_name</v>
      </c>
      <c r="F1150" s="13" t="str">
        <f>"s1_node_"&amp;D1150&amp;"_desc"</f>
        <v>s1_node_archive_desc</v>
      </c>
      <c r="G1150" s="0" t="s">
        <v>795</v>
      </c>
      <c r="H1150" s="0">
        <v>2</v>
      </c>
      <c r="I1150" s="0" t="s">
        <v>27</v>
      </c>
      <c r="J1150" s="0" t="s">
        <v>1159</v>
      </c>
      <c r="K1150" s="0">
        <v>1620</v>
      </c>
      <c r="L1150" s="13">
        <v>3</v>
      </c>
      <c r="M1150" s="0">
        <v>40</v>
      </c>
      <c r="N1150" s="0">
        <v>6</v>
      </c>
      <c r="P1150" s="0" t="s">
        <v>1161</v>
      </c>
      <c r="T1150" s="0" t="str">
        <f>_xlfn.TEXTJOIN("_",TRUE,C1150,"node_eff",D1150,M1150,N1150)</f>
        <v>s1_node_eff_archive_40_6</v>
      </c>
    </row>
    <row r="1151" spans="1:20" x14ac:dyDescent="0.45">
      <c r="A1151" s="0" t="str">
        <f>_xlfn.TEXTJOIN("_",TRUE,C1151,"node",D1151,M1151,N1151)</f>
        <v>s1_node_archive_41_4</v>
      </c>
      <c r="B1151" s="0" t="s">
        <v>0</v>
      </c>
      <c r="C1151" s="0" t="s">
        <v>26</v>
      </c>
      <c r="D1151" s="0" t="s">
        <v>107</v>
      </c>
      <c r="E1151" s="0" t="str">
        <f>"s1_node_"&amp;D1151&amp;"_name"</f>
        <v>s1_node_archive_name</v>
      </c>
      <c r="F1151" s="13" t="str">
        <f>"s1_node_"&amp;D1151&amp;"_desc"</f>
        <v>s1_node_archive_desc</v>
      </c>
      <c r="G1151" s="0" t="s">
        <v>149</v>
      </c>
      <c r="H1151" s="0">
        <v>3</v>
      </c>
      <c r="I1151" s="0" t="s">
        <v>27</v>
      </c>
      <c r="J1151" s="0" t="s">
        <v>1162</v>
      </c>
      <c r="K1151" s="0">
        <v>1660</v>
      </c>
      <c r="L1151" s="13">
        <v>3</v>
      </c>
      <c r="M1151" s="0">
        <v>41</v>
      </c>
      <c r="N1151" s="0">
        <v>4</v>
      </c>
      <c r="P1151" s="0" t="s">
        <v>1163</v>
      </c>
      <c r="T1151" s="0" t="str">
        <f>_xlfn.TEXTJOIN("_",TRUE,C1151,"node_eff",D1151,M1151,N1151)</f>
        <v>s1_node_eff_archive_41_4</v>
      </c>
    </row>
    <row r="1152" spans="1:20" x14ac:dyDescent="0.45">
      <c r="A1152" s="0" t="str">
        <f>_xlfn.TEXTJOIN("_",TRUE,C1152,"node",D1152,M1152,N1152)</f>
        <v>s1_node_archive_42_2</v>
      </c>
      <c r="B1152" s="0" t="s">
        <v>0</v>
      </c>
      <c r="C1152" s="0" t="s">
        <v>26</v>
      </c>
      <c r="D1152" s="0" t="s">
        <v>107</v>
      </c>
      <c r="E1152" s="0" t="str">
        <f>"s1_node_"&amp;D1152&amp;"_name"</f>
        <v>s1_node_archive_name</v>
      </c>
      <c r="F1152" s="13" t="str">
        <f>"s1_node_"&amp;D1152&amp;"_desc"</f>
        <v>s1_node_archive_desc</v>
      </c>
      <c r="G1152" s="0" t="s">
        <v>149</v>
      </c>
      <c r="H1152" s="0">
        <v>3</v>
      </c>
      <c r="I1152" s="0" t="s">
        <v>27</v>
      </c>
      <c r="J1152" s="0" t="s">
        <v>1164</v>
      </c>
      <c r="K1152" s="0">
        <v>1690</v>
      </c>
      <c r="L1152" s="13">
        <v>3</v>
      </c>
      <c r="M1152" s="0">
        <v>42</v>
      </c>
      <c r="N1152" s="0">
        <v>2</v>
      </c>
      <c r="T1152" s="0" t="str">
        <f>_xlfn.TEXTJOIN("_",TRUE,C1152,"node_eff",D1152,M1152,N1152)</f>
        <v>s1_node_eff_archive_42_2</v>
      </c>
    </row>
    <row r="1153" spans="1:20" x14ac:dyDescent="0.45">
      <c r="A1153" s="0" t="str">
        <f>_xlfn.TEXTJOIN("_",TRUE,C1153,"node",D1153,M1153,N1153)</f>
        <v>s1_node_archive_42_4</v>
      </c>
      <c r="B1153" s="0" t="s">
        <v>0</v>
      </c>
      <c r="C1153" s="0" t="s">
        <v>26</v>
      </c>
      <c r="D1153" s="0" t="s">
        <v>107</v>
      </c>
      <c r="E1153" s="0" t="str">
        <f>"s1_node_"&amp;D1153&amp;"_name"</f>
        <v>s1_node_archive_name</v>
      </c>
      <c r="F1153" s="13" t="str">
        <f>"s1_node_"&amp;D1153&amp;"_desc"</f>
        <v>s1_node_archive_desc</v>
      </c>
      <c r="G1153" s="0" t="s">
        <v>149</v>
      </c>
      <c r="H1153" s="0">
        <v>3</v>
      </c>
      <c r="I1153" s="0" t="s">
        <v>27</v>
      </c>
      <c r="J1153" s="0" t="s">
        <v>1164</v>
      </c>
      <c r="K1153" s="0">
        <v>1690</v>
      </c>
      <c r="L1153" s="13">
        <v>3</v>
      </c>
      <c r="M1153" s="0">
        <v>42</v>
      </c>
      <c r="N1153" s="0">
        <v>4</v>
      </c>
      <c r="T1153" s="0" t="str">
        <f>_xlfn.TEXTJOIN("_",TRUE,C1153,"node_eff",D1153,M1153,N1153)</f>
        <v>s1_node_eff_archive_42_4</v>
      </c>
    </row>
    <row r="1154" spans="1:20" x14ac:dyDescent="0.45">
      <c r="A1154" s="0" t="str">
        <f>_xlfn.TEXTJOIN("_",TRUE,C1154,"node",D1154,M1154,N1154)</f>
        <v>s1_node_archive_42_6</v>
      </c>
      <c r="B1154" s="0" t="s">
        <v>0</v>
      </c>
      <c r="C1154" s="0" t="s">
        <v>26</v>
      </c>
      <c r="D1154" s="0" t="s">
        <v>107</v>
      </c>
      <c r="E1154" s="0" t="str">
        <f>"s1_node_"&amp;D1154&amp;"_name"</f>
        <v>s1_node_archive_name</v>
      </c>
      <c r="F1154" s="13" t="str">
        <f>"s1_node_"&amp;D1154&amp;"_desc"</f>
        <v>s1_node_archive_desc</v>
      </c>
      <c r="G1154" s="0" t="s">
        <v>422</v>
      </c>
      <c r="H1154" s="0">
        <v>3</v>
      </c>
      <c r="I1154" s="0" t="s">
        <v>27</v>
      </c>
      <c r="J1154" s="0" t="s">
        <v>1164</v>
      </c>
      <c r="K1154" s="0">
        <v>1690</v>
      </c>
      <c r="L1154" s="13">
        <v>3</v>
      </c>
      <c r="M1154" s="0">
        <v>42</v>
      </c>
      <c r="N1154" s="0">
        <v>6</v>
      </c>
      <c r="T1154" s="0" t="str">
        <f>_xlfn.TEXTJOIN("_",TRUE,C1154,"node_eff",D1154,M1154,N1154)</f>
        <v>s1_node_eff_archive_42_6</v>
      </c>
    </row>
    <row r="1155" spans="1:20" x14ac:dyDescent="0.45">
      <c r="A1155" s="0" t="str">
        <f>_xlfn.TEXTJOIN("_",TRUE,C1155,"node",D1155,M1155,N1155)</f>
        <v>s1_node_archive_43_2</v>
      </c>
      <c r="B1155" s="0" t="s">
        <v>0</v>
      </c>
      <c r="C1155" s="0" t="s">
        <v>26</v>
      </c>
      <c r="D1155" s="0" t="s">
        <v>107</v>
      </c>
      <c r="E1155" s="0" t="str">
        <f>"s1_node_"&amp;D1155&amp;"_name"</f>
        <v>s1_node_archive_name</v>
      </c>
      <c r="F1155" s="13" t="str">
        <f>"s1_node_"&amp;D1155&amp;"_desc"</f>
        <v>s1_node_archive_desc</v>
      </c>
      <c r="G1155" s="0" t="s">
        <v>422</v>
      </c>
      <c r="H1155" s="0">
        <v>3</v>
      </c>
      <c r="I1155" s="0" t="s">
        <v>27</v>
      </c>
      <c r="J1155" s="0" t="s">
        <v>1165</v>
      </c>
      <c r="K1155" s="0">
        <v>1730</v>
      </c>
      <c r="L1155" s="13">
        <v>3</v>
      </c>
      <c r="M1155" s="0">
        <v>43</v>
      </c>
      <c r="N1155" s="0">
        <v>2</v>
      </c>
      <c r="P1155" s="0" t="s">
        <v>1166</v>
      </c>
      <c r="T1155" s="0" t="str">
        <f>_xlfn.TEXTJOIN("_",TRUE,C1155,"node_eff",D1155,M1155,N1155)</f>
        <v>s1_node_eff_archive_43_2</v>
      </c>
    </row>
    <row r="1156" spans="1:20" x14ac:dyDescent="0.45">
      <c r="A1156" s="0" t="str">
        <f>_xlfn.TEXTJOIN("_",TRUE,C1156,"node",D1156,M1156,N1156)</f>
        <v>s1_node_archive_43_6</v>
      </c>
      <c r="B1156" s="0" t="s">
        <v>0</v>
      </c>
      <c r="C1156" s="0" t="s">
        <v>26</v>
      </c>
      <c r="D1156" s="0" t="s">
        <v>107</v>
      </c>
      <c r="E1156" s="0" t="str">
        <f>"s1_node_"&amp;D1156&amp;"_name"</f>
        <v>s1_node_archive_name</v>
      </c>
      <c r="F1156" s="13" t="str">
        <f>"s1_node_"&amp;D1156&amp;"_desc"</f>
        <v>s1_node_archive_desc</v>
      </c>
      <c r="G1156" s="0" t="s">
        <v>615</v>
      </c>
      <c r="H1156" s="0">
        <v>3</v>
      </c>
      <c r="I1156" s="0" t="s">
        <v>27</v>
      </c>
      <c r="J1156" s="0" t="s">
        <v>1165</v>
      </c>
      <c r="K1156" s="0">
        <v>1730</v>
      </c>
      <c r="L1156" s="13">
        <v>3</v>
      </c>
      <c r="M1156" s="0">
        <v>43</v>
      </c>
      <c r="N1156" s="0">
        <v>6</v>
      </c>
      <c r="P1156" s="0" t="s">
        <v>1167</v>
      </c>
      <c r="T1156" s="0" t="str">
        <f>_xlfn.TEXTJOIN("_",TRUE,C1156,"node_eff",D1156,M1156,N1156)</f>
        <v>s1_node_eff_archive_43_6</v>
      </c>
    </row>
    <row r="1157" spans="1:20" x14ac:dyDescent="0.45">
      <c r="A1157" s="0" t="str">
        <f>_xlfn.TEXTJOIN("_",TRUE,C1157,"node",D1157,M1157,N1157)</f>
        <v>s1_node_archive_44_2</v>
      </c>
      <c r="B1157" s="0" t="s">
        <v>0</v>
      </c>
      <c r="C1157" s="0" t="s">
        <v>26</v>
      </c>
      <c r="D1157" s="0" t="s">
        <v>107</v>
      </c>
      <c r="E1157" s="0" t="str">
        <f>"s1_node_"&amp;D1157&amp;"_name"</f>
        <v>s1_node_archive_name</v>
      </c>
      <c r="F1157" s="13" t="str">
        <f>"s1_node_"&amp;D1157&amp;"_desc"</f>
        <v>s1_node_archive_desc</v>
      </c>
      <c r="G1157" s="0" t="s">
        <v>788</v>
      </c>
      <c r="H1157" s="0">
        <v>3</v>
      </c>
      <c r="I1157" s="0" t="s">
        <v>27</v>
      </c>
      <c r="J1157" s="0" t="s">
        <v>1168</v>
      </c>
      <c r="K1157" s="0">
        <v>1770</v>
      </c>
      <c r="L1157" s="13">
        <v>3</v>
      </c>
      <c r="M1157" s="0">
        <v>44</v>
      </c>
      <c r="N1157" s="0">
        <v>2</v>
      </c>
      <c r="T1157" s="0" t="str">
        <f>_xlfn.TEXTJOIN("_",TRUE,C1157,"node_eff",D1157,M1157,N1157)</f>
        <v>s1_node_eff_archive_44_2</v>
      </c>
    </row>
    <row r="1158" spans="1:20" x14ac:dyDescent="0.45">
      <c r="A1158" s="0" t="str">
        <f>_xlfn.TEXTJOIN("_",TRUE,C1158,"node",D1158,M1158,N1158)</f>
        <v>s1_node_archive_44_4</v>
      </c>
      <c r="B1158" s="0" t="s">
        <v>0</v>
      </c>
      <c r="C1158" s="0" t="s">
        <v>26</v>
      </c>
      <c r="D1158" s="0" t="s">
        <v>107</v>
      </c>
      <c r="E1158" s="0" t="str">
        <f>"s1_node_"&amp;D1158&amp;"_name"</f>
        <v>s1_node_archive_name</v>
      </c>
      <c r="F1158" s="13" t="str">
        <f>"s1_node_"&amp;D1158&amp;"_desc"</f>
        <v>s1_node_archive_desc</v>
      </c>
      <c r="G1158" s="0" t="s">
        <v>149</v>
      </c>
      <c r="H1158" s="0">
        <v>3</v>
      </c>
      <c r="I1158" s="0" t="s">
        <v>27</v>
      </c>
      <c r="J1158" s="0" t="s">
        <v>1168</v>
      </c>
      <c r="K1158" s="0">
        <v>1770</v>
      </c>
      <c r="L1158" s="13">
        <v>3</v>
      </c>
      <c r="M1158" s="0">
        <v>44</v>
      </c>
      <c r="N1158" s="0">
        <v>4</v>
      </c>
      <c r="P1158" s="0" t="s">
        <v>1169</v>
      </c>
      <c r="T1158" s="0" t="str">
        <f>_xlfn.TEXTJOIN("_",TRUE,C1158,"node_eff",D1158,M1158,N1158)</f>
        <v>s1_node_eff_archive_44_4</v>
      </c>
    </row>
    <row r="1159" spans="1:20" x14ac:dyDescent="0.45">
      <c r="A1159" s="0" t="str">
        <f>_xlfn.TEXTJOIN("_",TRUE,C1159,"node",D1159,M1159,N1159)</f>
        <v>s1_node_archive_44_6</v>
      </c>
      <c r="B1159" s="0" t="s">
        <v>0</v>
      </c>
      <c r="C1159" s="0" t="s">
        <v>26</v>
      </c>
      <c r="D1159" s="0" t="s">
        <v>107</v>
      </c>
      <c r="E1159" s="0" t="str">
        <f>"s1_node_"&amp;D1159&amp;"_name"</f>
        <v>s1_node_archive_name</v>
      </c>
      <c r="F1159" s="13" t="str">
        <f>"s1_node_"&amp;D1159&amp;"_desc"</f>
        <v>s1_node_archive_desc</v>
      </c>
      <c r="G1159" s="0" t="s">
        <v>149</v>
      </c>
      <c r="H1159" s="0">
        <v>3</v>
      </c>
      <c r="I1159" s="0" t="s">
        <v>27</v>
      </c>
      <c r="J1159" s="0" t="s">
        <v>1168</v>
      </c>
      <c r="K1159" s="0">
        <v>1770</v>
      </c>
      <c r="L1159" s="13">
        <v>3</v>
      </c>
      <c r="M1159" s="0">
        <v>44</v>
      </c>
      <c r="N1159" s="0">
        <v>6</v>
      </c>
      <c r="T1159" s="0" t="str">
        <f>_xlfn.TEXTJOIN("_",TRUE,C1159,"node_eff",D1159,M1159,N1159)</f>
        <v>s1_node_eff_archive_44_6</v>
      </c>
    </row>
    <row r="1160" spans="1:20" x14ac:dyDescent="0.45">
      <c r="A1160" s="0" t="str">
        <f>_xlfn.TEXTJOIN("_",TRUE,C1160,"node",D1160,M1160,N1160)</f>
        <v>s1_node_archive_45_2</v>
      </c>
      <c r="B1160" s="0" t="s">
        <v>0</v>
      </c>
      <c r="C1160" s="0" t="s">
        <v>26</v>
      </c>
      <c r="D1160" s="0" t="s">
        <v>107</v>
      </c>
      <c r="E1160" s="0" t="str">
        <f>"s1_node_"&amp;D1160&amp;"_name"</f>
        <v>s1_node_archive_name</v>
      </c>
      <c r="F1160" s="13" t="str">
        <f>"s1_node_"&amp;D1160&amp;"_desc"</f>
        <v>s1_node_archive_desc</v>
      </c>
      <c r="G1160" s="0" t="s">
        <v>795</v>
      </c>
      <c r="H1160" s="0">
        <v>3</v>
      </c>
      <c r="I1160" s="0" t="s">
        <v>27</v>
      </c>
      <c r="J1160" s="0" t="s">
        <v>1170</v>
      </c>
      <c r="K1160" s="0">
        <v>1800</v>
      </c>
      <c r="L1160" s="13">
        <v>3</v>
      </c>
      <c r="M1160" s="0">
        <v>45</v>
      </c>
      <c r="N1160" s="0">
        <v>2</v>
      </c>
      <c r="P1160" s="0" t="s">
        <v>1171</v>
      </c>
      <c r="T1160" s="0" t="str">
        <f>_xlfn.TEXTJOIN("_",TRUE,C1160,"node_eff",D1160,M1160,N1160)</f>
        <v>s1_node_eff_archive_45_2</v>
      </c>
    </row>
    <row r="1161" spans="1:20" x14ac:dyDescent="0.45">
      <c r="A1161" s="0" t="str">
        <f>_xlfn.TEXTJOIN("_",TRUE,C1161,"node",D1161,M1161,N1161)</f>
        <v>s1_node_archive_45_6</v>
      </c>
      <c r="B1161" s="0" t="s">
        <v>0</v>
      </c>
      <c r="C1161" s="0" t="s">
        <v>26</v>
      </c>
      <c r="D1161" s="0" t="s">
        <v>107</v>
      </c>
      <c r="E1161" s="0" t="str">
        <f>"s1_node_"&amp;D1161&amp;"_name"</f>
        <v>s1_node_archive_name</v>
      </c>
      <c r="F1161" s="13" t="str">
        <f>"s1_node_"&amp;D1161&amp;"_desc"</f>
        <v>s1_node_archive_desc</v>
      </c>
      <c r="G1161" s="0" t="s">
        <v>149</v>
      </c>
      <c r="H1161" s="0">
        <v>3</v>
      </c>
      <c r="I1161" s="0" t="s">
        <v>27</v>
      </c>
      <c r="J1161" s="0" t="s">
        <v>1170</v>
      </c>
      <c r="K1161" s="0">
        <v>1800</v>
      </c>
      <c r="L1161" s="13">
        <v>3</v>
      </c>
      <c r="M1161" s="0">
        <v>45</v>
      </c>
      <c r="N1161" s="0">
        <v>6</v>
      </c>
      <c r="P1161" s="0" t="s">
        <v>1172</v>
      </c>
      <c r="T1161" s="0" t="str">
        <f>_xlfn.TEXTJOIN("_",TRUE,C1161,"node_eff",D1161,M1161,N1161)</f>
        <v>s1_node_eff_archive_45_6</v>
      </c>
    </row>
    <row r="1162" spans="1:20" x14ac:dyDescent="0.45">
      <c r="A1162" s="0" t="str">
        <f>_xlfn.TEXTJOIN("_",TRUE,C1162,"node",D1162,M1162,N1162)</f>
        <v>s1_node_archive_46_4</v>
      </c>
      <c r="B1162" s="0" t="s">
        <v>0</v>
      </c>
      <c r="C1162" s="0" t="s">
        <v>26</v>
      </c>
      <c r="D1162" s="0" t="s">
        <v>107</v>
      </c>
      <c r="E1162" s="0" t="str">
        <f>"s1_node_"&amp;D1162&amp;"_name"</f>
        <v>s1_node_archive_name</v>
      </c>
      <c r="F1162" s="13" t="str">
        <f>"s1_node_"&amp;D1162&amp;"_desc"</f>
        <v>s1_node_archive_desc</v>
      </c>
      <c r="G1162" s="0" t="s">
        <v>149</v>
      </c>
      <c r="H1162" s="0">
        <v>3</v>
      </c>
      <c r="I1162" s="0" t="s">
        <v>27</v>
      </c>
      <c r="J1162" s="0" t="s">
        <v>1173</v>
      </c>
      <c r="K1162" s="0">
        <v>1840</v>
      </c>
      <c r="L1162" s="13">
        <v>3</v>
      </c>
      <c r="M1162" s="0">
        <v>46</v>
      </c>
      <c r="N1162" s="0">
        <v>4</v>
      </c>
      <c r="P1162" s="0" t="s">
        <v>1174</v>
      </c>
      <c r="T1162" s="0" t="str">
        <f>_xlfn.TEXTJOIN("_",TRUE,C1162,"node_eff",D1162,M1162,N1162)</f>
        <v>s1_node_eff_archive_46_4</v>
      </c>
    </row>
    <row r="1163" spans="1:20" x14ac:dyDescent="0.45">
      <c r="A1163" s="0" t="str">
        <f>_xlfn.TEXTJOIN("_",TRUE,C1163,"node",D1163,M1163,N1163)</f>
        <v>s1_node_archive_47_2</v>
      </c>
      <c r="B1163" s="0" t="s">
        <v>0</v>
      </c>
      <c r="C1163" s="0" t="s">
        <v>26</v>
      </c>
      <c r="D1163" s="0" t="s">
        <v>107</v>
      </c>
      <c r="E1163" s="0" t="str">
        <f>"s1_node_"&amp;D1163&amp;"_name"</f>
        <v>s1_node_archive_name</v>
      </c>
      <c r="F1163" s="13" t="str">
        <f>"s1_node_"&amp;D1163&amp;"_desc"</f>
        <v>s1_node_archive_desc</v>
      </c>
      <c r="G1163" s="0" t="s">
        <v>795</v>
      </c>
      <c r="H1163" s="0">
        <v>3</v>
      </c>
      <c r="I1163" s="0" t="s">
        <v>27</v>
      </c>
      <c r="J1163" s="0" t="s">
        <v>1175</v>
      </c>
      <c r="K1163" s="0">
        <v>1880</v>
      </c>
      <c r="L1163" s="13">
        <v>3</v>
      </c>
      <c r="M1163" s="0">
        <v>47</v>
      </c>
      <c r="N1163" s="0">
        <v>2</v>
      </c>
      <c r="T1163" s="0" t="str">
        <f>_xlfn.TEXTJOIN("_",TRUE,C1163,"node_eff",D1163,M1163,N1163)</f>
        <v>s1_node_eff_archive_47_2</v>
      </c>
    </row>
    <row r="1164" spans="1:20" x14ac:dyDescent="0.45">
      <c r="A1164" s="0" t="str">
        <f>_xlfn.TEXTJOIN("_",TRUE,C1164,"node",D1164,M1164,N1164)</f>
        <v>s1_node_archive_47_4</v>
      </c>
      <c r="B1164" s="0" t="s">
        <v>0</v>
      </c>
      <c r="C1164" s="0" t="s">
        <v>26</v>
      </c>
      <c r="D1164" s="0" t="s">
        <v>107</v>
      </c>
      <c r="E1164" s="0" t="str">
        <f>"s1_node_"&amp;D1164&amp;"_name"</f>
        <v>s1_node_archive_name</v>
      </c>
      <c r="F1164" s="13" t="str">
        <f>"s1_node_"&amp;D1164&amp;"_desc"</f>
        <v>s1_node_archive_desc</v>
      </c>
      <c r="G1164" s="0" t="s">
        <v>149</v>
      </c>
      <c r="H1164" s="0">
        <v>3</v>
      </c>
      <c r="I1164" s="0" t="s">
        <v>27</v>
      </c>
      <c r="J1164" s="0" t="s">
        <v>1175</v>
      </c>
      <c r="K1164" s="0">
        <v>1880</v>
      </c>
      <c r="L1164" s="13">
        <v>3</v>
      </c>
      <c r="M1164" s="0">
        <v>47</v>
      </c>
      <c r="N1164" s="0">
        <v>4</v>
      </c>
      <c r="T1164" s="0" t="str">
        <f>_xlfn.TEXTJOIN("_",TRUE,C1164,"node_eff",D1164,M1164,N1164)</f>
        <v>s1_node_eff_archive_47_4</v>
      </c>
    </row>
    <row r="1165" spans="1:20" x14ac:dyDescent="0.45">
      <c r="A1165" s="0" t="str">
        <f>_xlfn.TEXTJOIN("_",TRUE,C1165,"node",D1165,M1165,N1165)</f>
        <v>s1_node_archive_47_6</v>
      </c>
      <c r="B1165" s="0" t="s">
        <v>0</v>
      </c>
      <c r="C1165" s="0" t="s">
        <v>26</v>
      </c>
      <c r="D1165" s="0" t="s">
        <v>107</v>
      </c>
      <c r="E1165" s="0" t="str">
        <f>"s1_node_"&amp;D1165&amp;"_name"</f>
        <v>s1_node_archive_name</v>
      </c>
      <c r="F1165" s="13" t="str">
        <f>"s1_node_"&amp;D1165&amp;"_desc"</f>
        <v>s1_node_archive_desc</v>
      </c>
      <c r="G1165" s="0" t="s">
        <v>149</v>
      </c>
      <c r="H1165" s="0">
        <v>3</v>
      </c>
      <c r="I1165" s="0" t="s">
        <v>27</v>
      </c>
      <c r="J1165" s="0" t="s">
        <v>1175</v>
      </c>
      <c r="K1165" s="0">
        <v>1880</v>
      </c>
      <c r="L1165" s="13">
        <v>3</v>
      </c>
      <c r="M1165" s="0">
        <v>47</v>
      </c>
      <c r="N1165" s="0">
        <v>6</v>
      </c>
      <c r="T1165" s="0" t="str">
        <f>_xlfn.TEXTJOIN("_",TRUE,C1165,"node_eff",D1165,M1165,N1165)</f>
        <v>s1_node_eff_archive_47_6</v>
      </c>
    </row>
    <row r="1166" spans="1:20" x14ac:dyDescent="0.45">
      <c r="A1166" s="0" t="str">
        <f>_xlfn.TEXTJOIN("_",TRUE,C1166,"node",D1166,M1166,N1166)</f>
        <v>s1_node_archive_48_2</v>
      </c>
      <c r="B1166" s="0" t="s">
        <v>0</v>
      </c>
      <c r="C1166" s="0" t="s">
        <v>26</v>
      </c>
      <c r="D1166" s="0" t="s">
        <v>107</v>
      </c>
      <c r="E1166" s="0" t="str">
        <f>"s1_node_"&amp;D1166&amp;"_name"</f>
        <v>s1_node_archive_name</v>
      </c>
      <c r="F1166" s="13" t="str">
        <f>"s1_node_"&amp;D1166&amp;"_desc"</f>
        <v>s1_node_archive_desc</v>
      </c>
      <c r="G1166" s="0" t="s">
        <v>149</v>
      </c>
      <c r="H1166" s="0">
        <v>3</v>
      </c>
      <c r="I1166" s="0" t="s">
        <v>27</v>
      </c>
      <c r="J1166" s="0" t="s">
        <v>858</v>
      </c>
      <c r="K1166" s="0">
        <v>1910</v>
      </c>
      <c r="L1166" s="13">
        <v>3</v>
      </c>
      <c r="M1166" s="0">
        <v>48</v>
      </c>
      <c r="N1166" s="0">
        <v>2</v>
      </c>
      <c r="P1166" s="0" t="s">
        <v>1176</v>
      </c>
      <c r="T1166" s="0" t="str">
        <f>_xlfn.TEXTJOIN("_",TRUE,C1166,"node_eff",D1166,M1166,N1166)</f>
        <v>s1_node_eff_archive_48_2</v>
      </c>
    </row>
    <row r="1167" spans="1:20" x14ac:dyDescent="0.45">
      <c r="A1167" s="0" t="str">
        <f>_xlfn.TEXTJOIN("_",TRUE,C1167,"node",D1167,M1167,N1167)</f>
        <v>s1_node_archive_48_6</v>
      </c>
      <c r="B1167" s="0" t="s">
        <v>0</v>
      </c>
      <c r="C1167" s="0" t="s">
        <v>26</v>
      </c>
      <c r="D1167" s="0" t="s">
        <v>107</v>
      </c>
      <c r="E1167" s="0" t="str">
        <f>"s1_node_"&amp;D1167&amp;"_name"</f>
        <v>s1_node_archive_name</v>
      </c>
      <c r="F1167" s="13" t="str">
        <f>"s1_node_"&amp;D1167&amp;"_desc"</f>
        <v>s1_node_archive_desc</v>
      </c>
      <c r="G1167" s="0" t="s">
        <v>422</v>
      </c>
      <c r="H1167" s="0">
        <v>3</v>
      </c>
      <c r="I1167" s="0" t="s">
        <v>27</v>
      </c>
      <c r="J1167" s="0" t="s">
        <v>858</v>
      </c>
      <c r="K1167" s="0">
        <v>1910</v>
      </c>
      <c r="L1167" s="13">
        <v>3</v>
      </c>
      <c r="M1167" s="0">
        <v>48</v>
      </c>
      <c r="N1167" s="0">
        <v>6</v>
      </c>
      <c r="P1167" s="0" t="s">
        <v>1177</v>
      </c>
      <c r="T1167" s="0" t="str">
        <f>_xlfn.TEXTJOIN("_",TRUE,C1167,"node_eff",D1167,M1167,N1167)</f>
        <v>s1_node_eff_archive_48_6</v>
      </c>
    </row>
    <row r="1168" spans="1:20" x14ac:dyDescent="0.45">
      <c r="A1168" s="0" t="str">
        <f>_xlfn.TEXTJOIN("_",TRUE,C1168,"node",D1168,M1168,N1168)</f>
        <v>s1_node_archive_49_2</v>
      </c>
      <c r="B1168" s="0" t="s">
        <v>0</v>
      </c>
      <c r="C1168" s="0" t="s">
        <v>26</v>
      </c>
      <c r="D1168" s="0" t="s">
        <v>107</v>
      </c>
      <c r="E1168" s="0" t="str">
        <f>"s1_node_"&amp;D1168&amp;"_name"</f>
        <v>s1_node_archive_name</v>
      </c>
      <c r="F1168" s="13" t="str">
        <f>"s1_node_"&amp;D1168&amp;"_desc"</f>
        <v>s1_node_archive_desc</v>
      </c>
      <c r="G1168" s="0" t="s">
        <v>422</v>
      </c>
      <c r="H1168" s="0">
        <v>3</v>
      </c>
      <c r="I1168" s="0" t="s">
        <v>27</v>
      </c>
      <c r="J1168" s="0" t="s">
        <v>859</v>
      </c>
      <c r="K1168" s="0">
        <v>1950</v>
      </c>
      <c r="L1168" s="13">
        <v>3</v>
      </c>
      <c r="M1168" s="0">
        <v>49</v>
      </c>
      <c r="N1168" s="0">
        <v>2</v>
      </c>
      <c r="T1168" s="0" t="str">
        <f>_xlfn.TEXTJOIN("_",TRUE,C1168,"node_eff",D1168,M1168,N1168)</f>
        <v>s1_node_eff_archive_49_2</v>
      </c>
    </row>
    <row r="1169" spans="1:20" x14ac:dyDescent="0.45">
      <c r="A1169" s="0" t="str">
        <f>_xlfn.TEXTJOIN("_",TRUE,C1169,"node",D1169,M1169,N1169)</f>
        <v>s1_node_archive_49_4</v>
      </c>
      <c r="B1169" s="0" t="s">
        <v>0</v>
      </c>
      <c r="C1169" s="0" t="s">
        <v>26</v>
      </c>
      <c r="D1169" s="0" t="s">
        <v>107</v>
      </c>
      <c r="E1169" s="0" t="str">
        <f>"s1_node_"&amp;D1169&amp;"_name"</f>
        <v>s1_node_archive_name</v>
      </c>
      <c r="F1169" s="13" t="str">
        <f>"s1_node_"&amp;D1169&amp;"_desc"</f>
        <v>s1_node_archive_desc</v>
      </c>
      <c r="G1169" s="0" t="s">
        <v>615</v>
      </c>
      <c r="H1169" s="0">
        <v>3</v>
      </c>
      <c r="I1169" s="0" t="s">
        <v>27</v>
      </c>
      <c r="J1169" s="0" t="s">
        <v>859</v>
      </c>
      <c r="K1169" s="0">
        <v>1950</v>
      </c>
      <c r="L1169" s="13">
        <v>3</v>
      </c>
      <c r="M1169" s="0">
        <v>49</v>
      </c>
      <c r="N1169" s="0">
        <v>4</v>
      </c>
      <c r="P1169" s="0" t="s">
        <v>1178</v>
      </c>
      <c r="T1169" s="0" t="str">
        <f>_xlfn.TEXTJOIN("_",TRUE,C1169,"node_eff",D1169,M1169,N1169)</f>
        <v>s1_node_eff_archive_49_4</v>
      </c>
    </row>
    <row r="1170" spans="1:20" x14ac:dyDescent="0.45">
      <c r="A1170" s="0" t="str">
        <f>_xlfn.TEXTJOIN("_",TRUE,C1170,"node",D1170,M1170,N1170)</f>
        <v>s1_node_archive_49_6</v>
      </c>
      <c r="B1170" s="0" t="s">
        <v>0</v>
      </c>
      <c r="C1170" s="0" t="s">
        <v>26</v>
      </c>
      <c r="D1170" s="0" t="s">
        <v>107</v>
      </c>
      <c r="E1170" s="0" t="str">
        <f>"s1_node_"&amp;D1170&amp;"_name"</f>
        <v>s1_node_archive_name</v>
      </c>
      <c r="F1170" s="13" t="str">
        <f>"s1_node_"&amp;D1170&amp;"_desc"</f>
        <v>s1_node_archive_desc</v>
      </c>
      <c r="G1170" s="0" t="s">
        <v>788</v>
      </c>
      <c r="H1170" s="0">
        <v>3</v>
      </c>
      <c r="I1170" s="0" t="s">
        <v>27</v>
      </c>
      <c r="J1170" s="0" t="s">
        <v>859</v>
      </c>
      <c r="K1170" s="0">
        <v>1950</v>
      </c>
      <c r="L1170" s="13">
        <v>3</v>
      </c>
      <c r="M1170" s="0">
        <v>49</v>
      </c>
      <c r="N1170" s="0">
        <v>6</v>
      </c>
      <c r="T1170" s="0" t="str">
        <f>_xlfn.TEXTJOIN("_",TRUE,C1170,"node_eff",D1170,M1170,N1170)</f>
        <v>s1_node_eff_archive_49_6</v>
      </c>
    </row>
    <row r="1171" spans="1:20" x14ac:dyDescent="0.45">
      <c r="A1171" s="0" t="str">
        <f>_xlfn.TEXTJOIN("_",TRUE,C1171,"node",D1171,M1171,N1171)</f>
        <v>s1_node_archive_50_2</v>
      </c>
      <c r="B1171" s="0" t="s">
        <v>0</v>
      </c>
      <c r="C1171" s="0" t="s">
        <v>26</v>
      </c>
      <c r="D1171" s="0" t="s">
        <v>107</v>
      </c>
      <c r="E1171" s="0" t="str">
        <f>"s1_node_"&amp;D1171&amp;"_name"</f>
        <v>s1_node_archive_name</v>
      </c>
      <c r="F1171" s="13" t="str">
        <f>"s1_node_"&amp;D1171&amp;"_desc"</f>
        <v>s1_node_archive_desc</v>
      </c>
      <c r="G1171" s="0" t="s">
        <v>149</v>
      </c>
      <c r="H1171" s="0">
        <v>3</v>
      </c>
      <c r="I1171" s="0" t="s">
        <v>27</v>
      </c>
      <c r="J1171" s="0" t="s">
        <v>293</v>
      </c>
      <c r="K1171" s="0">
        <v>1990</v>
      </c>
      <c r="L1171" s="13">
        <v>3</v>
      </c>
      <c r="M1171" s="0">
        <v>50</v>
      </c>
      <c r="N1171" s="0">
        <v>2</v>
      </c>
      <c r="P1171" s="0" t="s">
        <v>1179</v>
      </c>
      <c r="T1171" s="0" t="str">
        <f>_xlfn.TEXTJOIN("_",TRUE,C1171,"node_eff",D1171,M1171,N1171)</f>
        <v>s1_node_eff_archive_50_2</v>
      </c>
    </row>
    <row r="1172" spans="1:20" x14ac:dyDescent="0.45">
      <c r="A1172" s="0" t="str">
        <f>_xlfn.TEXTJOIN("_",TRUE,C1172,"node",D1172,M1172,N1172)</f>
        <v>s1_node_archive_50_6</v>
      </c>
      <c r="B1172" s="0" t="s">
        <v>0</v>
      </c>
      <c r="C1172" s="0" t="s">
        <v>26</v>
      </c>
      <c r="D1172" s="0" t="s">
        <v>107</v>
      </c>
      <c r="E1172" s="0" t="str">
        <f>"s1_node_"&amp;D1172&amp;"_name"</f>
        <v>s1_node_archive_name</v>
      </c>
      <c r="F1172" s="13" t="str">
        <f>"s1_node_"&amp;D1172&amp;"_desc"</f>
        <v>s1_node_archive_desc</v>
      </c>
      <c r="G1172" s="0" t="s">
        <v>149</v>
      </c>
      <c r="H1172" s="0">
        <v>3</v>
      </c>
      <c r="I1172" s="0" t="s">
        <v>27</v>
      </c>
      <c r="J1172" s="0" t="s">
        <v>293</v>
      </c>
      <c r="K1172" s="0">
        <v>1990</v>
      </c>
      <c r="L1172" s="13">
        <v>3</v>
      </c>
      <c r="M1172" s="0">
        <v>50</v>
      </c>
      <c r="N1172" s="0">
        <v>6</v>
      </c>
      <c r="P1172" s="0" t="s">
        <v>1180</v>
      </c>
      <c r="T1172" s="0" t="str">
        <f>_xlfn.TEXTJOIN("_",TRUE,C1172,"node_eff",D1172,M1172,N1172)</f>
        <v>s1_node_eff_archive_50_6</v>
      </c>
    </row>
    <row r="1173" spans="1:20" x14ac:dyDescent="0.45">
      <c r="A1173" s="0" t="str">
        <f>_xlfn.TEXTJOIN("_",TRUE,C1173,"node",D1173,M1173,N1173)</f>
        <v>s1_node_archive_51_4</v>
      </c>
      <c r="B1173" s="0" t="s">
        <v>0</v>
      </c>
      <c r="C1173" s="0" t="s">
        <v>26</v>
      </c>
      <c r="D1173" s="0" t="s">
        <v>107</v>
      </c>
      <c r="E1173" s="0" t="str">
        <f>"s1_node_"&amp;D1173&amp;"_name"</f>
        <v>s1_node_archive_name</v>
      </c>
      <c r="F1173" s="13" t="str">
        <f>"s1_node_"&amp;D1173&amp;"_desc"</f>
        <v>s1_node_archive_desc</v>
      </c>
      <c r="G1173" s="0" t="s">
        <v>795</v>
      </c>
      <c r="H1173" s="0">
        <v>3</v>
      </c>
      <c r="I1173" s="0" t="s">
        <v>27</v>
      </c>
      <c r="J1173" s="0" t="s">
        <v>863</v>
      </c>
      <c r="K1173" s="0">
        <v>2020</v>
      </c>
      <c r="L1173" s="13">
        <v>3</v>
      </c>
      <c r="M1173" s="0">
        <v>51</v>
      </c>
      <c r="N1173" s="0">
        <v>4</v>
      </c>
      <c r="P1173" s="0" t="s">
        <v>1181</v>
      </c>
      <c r="T1173" s="0" t="str">
        <f>_xlfn.TEXTJOIN("_",TRUE,C1173,"node_eff",D1173,M1173,N1173)</f>
        <v>s1_node_eff_archive_51_4</v>
      </c>
    </row>
    <row r="1174" spans="1:20" x14ac:dyDescent="0.45">
      <c r="A1174" s="0" t="str">
        <f>_xlfn.TEXTJOIN("_",TRUE,C1174,"node",D1174,M1174,N1174)</f>
        <v>s1_node_archive_52_2</v>
      </c>
      <c r="B1174" s="0" t="s">
        <v>0</v>
      </c>
      <c r="C1174" s="0" t="s">
        <v>26</v>
      </c>
      <c r="D1174" s="0" t="s">
        <v>107</v>
      </c>
      <c r="E1174" s="0" t="str">
        <f>"s1_node_"&amp;D1174&amp;"_name"</f>
        <v>s1_node_archive_name</v>
      </c>
      <c r="F1174" s="13" t="str">
        <f>"s1_node_"&amp;D1174&amp;"_desc"</f>
        <v>s1_node_archive_desc</v>
      </c>
      <c r="G1174" s="0" t="s">
        <v>149</v>
      </c>
      <c r="H1174" s="0">
        <v>3</v>
      </c>
      <c r="I1174" s="0" t="s">
        <v>27</v>
      </c>
      <c r="J1174" s="0" t="s">
        <v>298</v>
      </c>
      <c r="K1174" s="0">
        <v>2060</v>
      </c>
      <c r="L1174" s="13">
        <v>3</v>
      </c>
      <c r="M1174" s="0">
        <v>52</v>
      </c>
      <c r="N1174" s="0">
        <v>2</v>
      </c>
      <c r="T1174" s="0" t="str">
        <f>_xlfn.TEXTJOIN("_",TRUE,C1174,"node_eff",D1174,M1174,N1174)</f>
        <v>s1_node_eff_archive_52_2</v>
      </c>
    </row>
    <row r="1175" spans="1:20" x14ac:dyDescent="0.45">
      <c r="A1175" s="0" t="str">
        <f>_xlfn.TEXTJOIN("_",TRUE,C1175,"node",D1175,M1175,N1175)</f>
        <v>s1_node_archive_52_4</v>
      </c>
      <c r="B1175" s="0" t="s">
        <v>0</v>
      </c>
      <c r="C1175" s="0" t="s">
        <v>26</v>
      </c>
      <c r="D1175" s="0" t="s">
        <v>107</v>
      </c>
      <c r="E1175" s="0" t="str">
        <f>"s1_node_"&amp;D1175&amp;"_name"</f>
        <v>s1_node_archive_name</v>
      </c>
      <c r="F1175" s="13" t="str">
        <f>"s1_node_"&amp;D1175&amp;"_desc"</f>
        <v>s1_node_archive_desc</v>
      </c>
      <c r="G1175" s="0" t="s">
        <v>149</v>
      </c>
      <c r="H1175" s="0">
        <v>3</v>
      </c>
      <c r="I1175" s="0" t="s">
        <v>27</v>
      </c>
      <c r="J1175" s="0" t="s">
        <v>298</v>
      </c>
      <c r="K1175" s="0">
        <v>2060</v>
      </c>
      <c r="L1175" s="13">
        <v>3</v>
      </c>
      <c r="M1175" s="0">
        <v>52</v>
      </c>
      <c r="N1175" s="0">
        <v>4</v>
      </c>
      <c r="T1175" s="0" t="str">
        <f>_xlfn.TEXTJOIN("_",TRUE,C1175,"node_eff",D1175,M1175,N1175)</f>
        <v>s1_node_eff_archive_52_4</v>
      </c>
    </row>
    <row r="1176" spans="1:20" x14ac:dyDescent="0.45">
      <c r="A1176" s="0" t="str">
        <f>_xlfn.TEXTJOIN("_",TRUE,C1176,"node",D1176,M1176,N1176)</f>
        <v>s1_node_archive_52_6</v>
      </c>
      <c r="B1176" s="0" t="s">
        <v>0</v>
      </c>
      <c r="C1176" s="0" t="s">
        <v>26</v>
      </c>
      <c r="D1176" s="0" t="s">
        <v>107</v>
      </c>
      <c r="E1176" s="0" t="str">
        <f>"s1_node_"&amp;D1176&amp;"_name"</f>
        <v>s1_node_archive_name</v>
      </c>
      <c r="F1176" s="13" t="str">
        <f>"s1_node_"&amp;D1176&amp;"_desc"</f>
        <v>s1_node_archive_desc</v>
      </c>
      <c r="G1176" s="0" t="s">
        <v>795</v>
      </c>
      <c r="H1176" s="0">
        <v>3</v>
      </c>
      <c r="I1176" s="0" t="s">
        <v>27</v>
      </c>
      <c r="J1176" s="0" t="s">
        <v>298</v>
      </c>
      <c r="K1176" s="0">
        <v>2060</v>
      </c>
      <c r="L1176" s="13">
        <v>3</v>
      </c>
      <c r="M1176" s="0">
        <v>52</v>
      </c>
      <c r="N1176" s="0">
        <v>6</v>
      </c>
      <c r="T1176" s="0" t="str">
        <f>_xlfn.TEXTJOIN("_",TRUE,C1176,"node_eff",D1176,M1176,N1176)</f>
        <v>s1_node_eff_archive_52_6</v>
      </c>
    </row>
    <row r="1177" spans="1:20" x14ac:dyDescent="0.45">
      <c r="A1177" s="0" t="str">
        <f>_xlfn.TEXTJOIN("_",TRUE,C1177,"node",D1177,M1177,N1177)</f>
        <v>s1_node_archive_53_2</v>
      </c>
      <c r="B1177" s="0" t="s">
        <v>0</v>
      </c>
      <c r="C1177" s="0" t="s">
        <v>26</v>
      </c>
      <c r="D1177" s="0" t="s">
        <v>107</v>
      </c>
      <c r="E1177" s="0" t="str">
        <f>"s1_node_"&amp;D1177&amp;"_name"</f>
        <v>s1_node_archive_name</v>
      </c>
      <c r="F1177" s="13" t="str">
        <f>"s1_node_"&amp;D1177&amp;"_desc"</f>
        <v>s1_node_archive_desc</v>
      </c>
      <c r="G1177" s="0" t="s">
        <v>149</v>
      </c>
      <c r="H1177" s="0">
        <v>3</v>
      </c>
      <c r="I1177" s="0" t="s">
        <v>27</v>
      </c>
      <c r="J1177" s="0" t="s">
        <v>301</v>
      </c>
      <c r="K1177" s="0">
        <v>2100</v>
      </c>
      <c r="L1177" s="13">
        <v>3</v>
      </c>
      <c r="M1177" s="0">
        <v>53</v>
      </c>
      <c r="N1177" s="0">
        <v>2</v>
      </c>
      <c r="P1177" s="0" t="s">
        <v>1182</v>
      </c>
      <c r="T1177" s="0" t="str">
        <f>_xlfn.TEXTJOIN("_",TRUE,C1177,"node_eff",D1177,M1177,N1177)</f>
        <v>s1_node_eff_archive_53_2</v>
      </c>
    </row>
    <row r="1178" spans="1:20" x14ac:dyDescent="0.45">
      <c r="A1178" s="0" t="str">
        <f>_xlfn.TEXTJOIN("_",TRUE,C1178,"node",D1178,M1178,N1178)</f>
        <v>s1_node_archive_53_6</v>
      </c>
      <c r="B1178" s="0" t="s">
        <v>0</v>
      </c>
      <c r="C1178" s="0" t="s">
        <v>26</v>
      </c>
      <c r="D1178" s="0" t="s">
        <v>107</v>
      </c>
      <c r="E1178" s="0" t="str">
        <f>"s1_node_"&amp;D1178&amp;"_name"</f>
        <v>s1_node_archive_name</v>
      </c>
      <c r="F1178" s="13" t="str">
        <f>"s1_node_"&amp;D1178&amp;"_desc"</f>
        <v>s1_node_archive_desc</v>
      </c>
      <c r="G1178" s="0" t="s">
        <v>149</v>
      </c>
      <c r="H1178" s="0">
        <v>3</v>
      </c>
      <c r="I1178" s="0" t="s">
        <v>27</v>
      </c>
      <c r="J1178" s="0" t="s">
        <v>301</v>
      </c>
      <c r="K1178" s="0">
        <v>2100</v>
      </c>
      <c r="L1178" s="13">
        <v>3</v>
      </c>
      <c r="M1178" s="0">
        <v>53</v>
      </c>
      <c r="N1178" s="0">
        <v>6</v>
      </c>
      <c r="P1178" s="0" t="s">
        <v>1183</v>
      </c>
      <c r="T1178" s="0" t="str">
        <f>_xlfn.TEXTJOIN("_",TRUE,C1178,"node_eff",D1178,M1178,N1178)</f>
        <v>s1_node_eff_archive_53_6</v>
      </c>
    </row>
    <row r="1179" spans="1:20" x14ac:dyDescent="0.45">
      <c r="A1179" s="0" t="str">
        <f>_xlfn.TEXTJOIN("_",TRUE,C1179,"node",D1179,M1179,N1179)</f>
        <v>s1_node_archive_54_2</v>
      </c>
      <c r="B1179" s="0" t="s">
        <v>0</v>
      </c>
      <c r="C1179" s="0" t="s">
        <v>26</v>
      </c>
      <c r="D1179" s="0" t="s">
        <v>107</v>
      </c>
      <c r="E1179" s="0" t="str">
        <f>"s1_node_"&amp;D1179&amp;"_name"</f>
        <v>s1_node_archive_name</v>
      </c>
      <c r="F1179" s="13" t="str">
        <f>"s1_node_"&amp;D1179&amp;"_desc"</f>
        <v>s1_node_archive_desc</v>
      </c>
      <c r="G1179" s="0" t="s">
        <v>149</v>
      </c>
      <c r="H1179" s="0">
        <v>3</v>
      </c>
      <c r="I1179" s="0" t="s">
        <v>27</v>
      </c>
      <c r="J1179" s="0" t="s">
        <v>304</v>
      </c>
      <c r="K1179" s="0">
        <v>2130</v>
      </c>
      <c r="L1179" s="13">
        <v>3</v>
      </c>
      <c r="M1179" s="0">
        <v>54</v>
      </c>
      <c r="N1179" s="0">
        <v>2</v>
      </c>
      <c r="T1179" s="0" t="str">
        <f>_xlfn.TEXTJOIN("_",TRUE,C1179,"node_eff",D1179,M1179,N1179)</f>
        <v>s1_node_eff_archive_54_2</v>
      </c>
    </row>
    <row r="1180" spans="1:20" x14ac:dyDescent="0.45">
      <c r="A1180" s="0" t="str">
        <f>_xlfn.TEXTJOIN("_",TRUE,C1180,"node",D1180,M1180,N1180)</f>
        <v>s1_node_archive_54_4</v>
      </c>
      <c r="B1180" s="0" t="s">
        <v>0</v>
      </c>
      <c r="C1180" s="0" t="s">
        <v>26</v>
      </c>
      <c r="D1180" s="0" t="s">
        <v>107</v>
      </c>
      <c r="E1180" s="0" t="str">
        <f>"s1_node_"&amp;D1180&amp;"_name"</f>
        <v>s1_node_archive_name</v>
      </c>
      <c r="F1180" s="13" t="str">
        <f>"s1_node_"&amp;D1180&amp;"_desc"</f>
        <v>s1_node_archive_desc</v>
      </c>
      <c r="G1180" s="0" t="s">
        <v>422</v>
      </c>
      <c r="H1180" s="0">
        <v>3</v>
      </c>
      <c r="I1180" s="0" t="s">
        <v>27</v>
      </c>
      <c r="J1180" s="0" t="s">
        <v>304</v>
      </c>
      <c r="K1180" s="0">
        <v>2130</v>
      </c>
      <c r="L1180" s="13">
        <v>3</v>
      </c>
      <c r="M1180" s="0">
        <v>54</v>
      </c>
      <c r="N1180" s="0">
        <v>4</v>
      </c>
      <c r="P1180" s="0" t="s">
        <v>1184</v>
      </c>
      <c r="T1180" s="0" t="str">
        <f>_xlfn.TEXTJOIN("_",TRUE,C1180,"node_eff",D1180,M1180,N1180)</f>
        <v>s1_node_eff_archive_54_4</v>
      </c>
    </row>
    <row r="1181" spans="1:20" x14ac:dyDescent="0.45">
      <c r="A1181" s="0" t="str">
        <f>_xlfn.TEXTJOIN("_",TRUE,C1181,"node",D1181,M1181,N1181)</f>
        <v>s1_node_archive_54_6</v>
      </c>
      <c r="B1181" s="0" t="s">
        <v>0</v>
      </c>
      <c r="C1181" s="0" t="s">
        <v>26</v>
      </c>
      <c r="D1181" s="0" t="s">
        <v>107</v>
      </c>
      <c r="E1181" s="0" t="str">
        <f>"s1_node_"&amp;D1181&amp;"_name"</f>
        <v>s1_node_archive_name</v>
      </c>
      <c r="F1181" s="13" t="str">
        <f>"s1_node_"&amp;D1181&amp;"_desc"</f>
        <v>s1_node_archive_desc</v>
      </c>
      <c r="G1181" s="0" t="s">
        <v>422</v>
      </c>
      <c r="H1181" s="0">
        <v>3</v>
      </c>
      <c r="I1181" s="0" t="s">
        <v>27</v>
      </c>
      <c r="J1181" s="0" t="s">
        <v>304</v>
      </c>
      <c r="K1181" s="0">
        <v>2130</v>
      </c>
      <c r="L1181" s="13">
        <v>3</v>
      </c>
      <c r="M1181" s="0">
        <v>54</v>
      </c>
      <c r="N1181" s="0">
        <v>6</v>
      </c>
      <c r="T1181" s="0" t="str">
        <f>_xlfn.TEXTJOIN("_",TRUE,C1181,"node_eff",D1181,M1181,N1181)</f>
        <v>s1_node_eff_archive_54_6</v>
      </c>
    </row>
    <row r="1182" spans="1:20" x14ac:dyDescent="0.45">
      <c r="A1182" s="0" t="str">
        <f>_xlfn.TEXTJOIN("_",TRUE,C1182,"node",D1182,M1182,N1182)</f>
        <v>s1_node_archive_55_2</v>
      </c>
      <c r="B1182" s="0" t="s">
        <v>0</v>
      </c>
      <c r="C1182" s="0" t="s">
        <v>26</v>
      </c>
      <c r="D1182" s="0" t="s">
        <v>107</v>
      </c>
      <c r="E1182" s="0" t="str">
        <f>"s1_node_"&amp;D1182&amp;"_name"</f>
        <v>s1_node_archive_name</v>
      </c>
      <c r="F1182" s="13" t="str">
        <f>"s1_node_"&amp;D1182&amp;"_desc"</f>
        <v>s1_node_archive_desc</v>
      </c>
      <c r="G1182" s="0" t="s">
        <v>615</v>
      </c>
      <c r="H1182" s="0">
        <v>3</v>
      </c>
      <c r="I1182" s="0" t="s">
        <v>27</v>
      </c>
      <c r="J1182" s="0" t="s">
        <v>307</v>
      </c>
      <c r="K1182" s="0">
        <v>2170</v>
      </c>
      <c r="L1182" s="13">
        <v>3</v>
      </c>
      <c r="M1182" s="0">
        <v>55</v>
      </c>
      <c r="N1182" s="0">
        <v>2</v>
      </c>
      <c r="P1182" s="0" t="s">
        <v>1185</v>
      </c>
      <c r="T1182" s="0" t="str">
        <f>_xlfn.TEXTJOIN("_",TRUE,C1182,"node_eff",D1182,M1182,N1182)</f>
        <v>s1_node_eff_archive_55_2</v>
      </c>
    </row>
    <row r="1183" spans="1:20" x14ac:dyDescent="0.45">
      <c r="A1183" s="0" t="str">
        <f>_xlfn.TEXTJOIN("_",TRUE,C1183,"node",D1183,M1183,N1183)</f>
        <v>s1_node_archive_55_6</v>
      </c>
      <c r="B1183" s="0" t="s">
        <v>0</v>
      </c>
      <c r="C1183" s="0" t="s">
        <v>26</v>
      </c>
      <c r="D1183" s="0" t="s">
        <v>107</v>
      </c>
      <c r="E1183" s="0" t="str">
        <f>"s1_node_"&amp;D1183&amp;"_name"</f>
        <v>s1_node_archive_name</v>
      </c>
      <c r="F1183" s="13" t="str">
        <f>"s1_node_"&amp;D1183&amp;"_desc"</f>
        <v>s1_node_archive_desc</v>
      </c>
      <c r="G1183" s="0" t="s">
        <v>788</v>
      </c>
      <c r="H1183" s="0">
        <v>3</v>
      </c>
      <c r="I1183" s="0" t="s">
        <v>27</v>
      </c>
      <c r="J1183" s="0" t="s">
        <v>307</v>
      </c>
      <c r="K1183" s="0">
        <v>2170</v>
      </c>
      <c r="L1183" s="13">
        <v>3</v>
      </c>
      <c r="M1183" s="0">
        <v>55</v>
      </c>
      <c r="N1183" s="0">
        <v>6</v>
      </c>
      <c r="P1183" s="0" t="s">
        <v>1186</v>
      </c>
      <c r="T1183" s="0" t="str">
        <f>_xlfn.TEXTJOIN("_",TRUE,C1183,"node_eff",D1183,M1183,N1183)</f>
        <v>s1_node_eff_archive_55_6</v>
      </c>
    </row>
    <row r="1184" spans="1:20" x14ac:dyDescent="0.45">
      <c r="A1184" s="0" t="str">
        <f>_xlfn.TEXTJOIN("_",TRUE,C1184,"node",D1184,M1184,N1184)</f>
        <v>s1_node_archive_56_4</v>
      </c>
      <c r="B1184" s="0" t="s">
        <v>0</v>
      </c>
      <c r="C1184" s="0" t="s">
        <v>26</v>
      </c>
      <c r="D1184" s="0" t="s">
        <v>107</v>
      </c>
      <c r="E1184" s="0" t="str">
        <f>"s1_node_"&amp;D1184&amp;"_name"</f>
        <v>s1_node_archive_name</v>
      </c>
      <c r="F1184" s="13" t="str">
        <f>"s1_node_"&amp;D1184&amp;"_desc"</f>
        <v>s1_node_archive_desc</v>
      </c>
      <c r="G1184" s="0" t="s">
        <v>149</v>
      </c>
      <c r="H1184" s="0">
        <v>3</v>
      </c>
      <c r="I1184" s="0" t="s">
        <v>27</v>
      </c>
      <c r="J1184" s="0" t="s">
        <v>871</v>
      </c>
      <c r="K1184" s="0">
        <v>2210</v>
      </c>
      <c r="L1184" s="13">
        <v>3</v>
      </c>
      <c r="M1184" s="0">
        <v>56</v>
      </c>
      <c r="N1184" s="0">
        <v>4</v>
      </c>
      <c r="P1184" s="0" t="s">
        <v>1187</v>
      </c>
      <c r="T1184" s="0" t="str">
        <f>_xlfn.TEXTJOIN("_",TRUE,C1184,"node_eff",D1184,M1184,N1184)</f>
        <v>s1_node_eff_archive_56_4</v>
      </c>
    </row>
    <row r="1185" spans="1:20" x14ac:dyDescent="0.45">
      <c r="A1185" s="0" t="str">
        <f>_xlfn.TEXTJOIN("_",TRUE,C1185,"node",D1185,M1185,N1185)</f>
        <v>s1_node_archive_57_2</v>
      </c>
      <c r="B1185" s="0" t="s">
        <v>0</v>
      </c>
      <c r="C1185" s="0" t="s">
        <v>26</v>
      </c>
      <c r="D1185" s="0" t="s">
        <v>107</v>
      </c>
      <c r="E1185" s="0" t="str">
        <f>"s1_node_"&amp;D1185&amp;"_name"</f>
        <v>s1_node_archive_name</v>
      </c>
      <c r="F1185" s="13" t="str">
        <f>"s1_node_"&amp;D1185&amp;"_desc"</f>
        <v>s1_node_archive_desc</v>
      </c>
      <c r="G1185" s="0" t="s">
        <v>149</v>
      </c>
      <c r="H1185" s="0">
        <v>3</v>
      </c>
      <c r="I1185" s="0" t="s">
        <v>27</v>
      </c>
      <c r="J1185" s="0" t="s">
        <v>874</v>
      </c>
      <c r="K1185" s="0">
        <v>2250</v>
      </c>
      <c r="L1185" s="13">
        <v>3</v>
      </c>
      <c r="M1185" s="0">
        <v>57</v>
      </c>
      <c r="N1185" s="0">
        <v>2</v>
      </c>
      <c r="T1185" s="0" t="str">
        <f>_xlfn.TEXTJOIN("_",TRUE,C1185,"node_eff",D1185,M1185,N1185)</f>
        <v>s1_node_eff_archive_57_2</v>
      </c>
    </row>
    <row r="1186" spans="1:20" x14ac:dyDescent="0.45">
      <c r="A1186" s="0" t="str">
        <f>_xlfn.TEXTJOIN("_",TRUE,C1186,"node",D1186,M1186,N1186)</f>
        <v>s1_node_archive_57_4</v>
      </c>
      <c r="B1186" s="0" t="s">
        <v>0</v>
      </c>
      <c r="C1186" s="0" t="s">
        <v>26</v>
      </c>
      <c r="D1186" s="0" t="s">
        <v>107</v>
      </c>
      <c r="E1186" s="0" t="str">
        <f>"s1_node_"&amp;D1186&amp;"_name"</f>
        <v>s1_node_archive_name</v>
      </c>
      <c r="F1186" s="13" t="str">
        <f>"s1_node_"&amp;D1186&amp;"_desc"</f>
        <v>s1_node_archive_desc</v>
      </c>
      <c r="G1186" s="0" t="s">
        <v>795</v>
      </c>
      <c r="H1186" s="0">
        <v>3</v>
      </c>
      <c r="I1186" s="0" t="s">
        <v>27</v>
      </c>
      <c r="J1186" s="0" t="s">
        <v>874</v>
      </c>
      <c r="K1186" s="0">
        <v>2250</v>
      </c>
      <c r="L1186" s="13">
        <v>3</v>
      </c>
      <c r="M1186" s="0">
        <v>57</v>
      </c>
      <c r="N1186" s="0">
        <v>4</v>
      </c>
      <c r="T1186" s="0" t="str">
        <f>_xlfn.TEXTJOIN("_",TRUE,C1186,"node_eff",D1186,M1186,N1186)</f>
        <v>s1_node_eff_archive_57_4</v>
      </c>
    </row>
    <row r="1187" spans="1:20" x14ac:dyDescent="0.45">
      <c r="A1187" s="0" t="str">
        <f>_xlfn.TEXTJOIN("_",TRUE,C1187,"node",D1187,M1187,N1187)</f>
        <v>s1_node_archive_57_6</v>
      </c>
      <c r="B1187" s="0" t="s">
        <v>0</v>
      </c>
      <c r="C1187" s="0" t="s">
        <v>26</v>
      </c>
      <c r="D1187" s="0" t="s">
        <v>107</v>
      </c>
      <c r="E1187" s="0" t="str">
        <f>"s1_node_"&amp;D1187&amp;"_name"</f>
        <v>s1_node_archive_name</v>
      </c>
      <c r="F1187" s="13" t="str">
        <f>"s1_node_"&amp;D1187&amp;"_desc"</f>
        <v>s1_node_archive_desc</v>
      </c>
      <c r="G1187" s="0" t="s">
        <v>149</v>
      </c>
      <c r="H1187" s="0">
        <v>3</v>
      </c>
      <c r="I1187" s="0" t="s">
        <v>27</v>
      </c>
      <c r="J1187" s="0" t="s">
        <v>874</v>
      </c>
      <c r="K1187" s="0">
        <v>2250</v>
      </c>
      <c r="L1187" s="13">
        <v>3</v>
      </c>
      <c r="M1187" s="0">
        <v>57</v>
      </c>
      <c r="N1187" s="0">
        <v>6</v>
      </c>
      <c r="T1187" s="0" t="str">
        <f>_xlfn.TEXTJOIN("_",TRUE,C1187,"node_eff",D1187,M1187,N1187)</f>
        <v>s1_node_eff_archive_57_6</v>
      </c>
    </row>
    <row r="1188" spans="1:20" x14ac:dyDescent="0.45">
      <c r="A1188" s="0" t="str">
        <f>_xlfn.TEXTJOIN("_",TRUE,C1188,"node",D1188,M1188,N1188)</f>
        <v>s1_node_archive_58_2</v>
      </c>
      <c r="B1188" s="0" t="s">
        <v>0</v>
      </c>
      <c r="C1188" s="0" t="s">
        <v>26</v>
      </c>
      <c r="D1188" s="0" t="s">
        <v>107</v>
      </c>
      <c r="E1188" s="0" t="str">
        <f>"s1_node_"&amp;D1188&amp;"_name"</f>
        <v>s1_node_archive_name</v>
      </c>
      <c r="F1188" s="13" t="str">
        <f>"s1_node_"&amp;D1188&amp;"_desc"</f>
        <v>s1_node_archive_desc</v>
      </c>
      <c r="G1188" s="0" t="s">
        <v>149</v>
      </c>
      <c r="H1188" s="0">
        <v>3</v>
      </c>
      <c r="I1188" s="0" t="s">
        <v>27</v>
      </c>
      <c r="J1188" s="0" t="s">
        <v>709</v>
      </c>
      <c r="K1188" s="0">
        <v>2280</v>
      </c>
      <c r="L1188" s="13">
        <v>3</v>
      </c>
      <c r="M1188" s="0">
        <v>58</v>
      </c>
      <c r="N1188" s="0">
        <v>2</v>
      </c>
      <c r="P1188" s="0" t="s">
        <v>1188</v>
      </c>
      <c r="T1188" s="0" t="str">
        <f>_xlfn.TEXTJOIN("_",TRUE,C1188,"node_eff",D1188,M1188,N1188)</f>
        <v>s1_node_eff_archive_58_2</v>
      </c>
    </row>
    <row r="1189" spans="1:20" x14ac:dyDescent="0.45">
      <c r="A1189" s="0" t="str">
        <f>_xlfn.TEXTJOIN("_",TRUE,C1189,"node",D1189,M1189,N1189)</f>
        <v>s1_node_archive_58_6</v>
      </c>
      <c r="B1189" s="0" t="s">
        <v>0</v>
      </c>
      <c r="C1189" s="0" t="s">
        <v>26</v>
      </c>
      <c r="D1189" s="0" t="s">
        <v>107</v>
      </c>
      <c r="E1189" s="0" t="str">
        <f>"s1_node_"&amp;D1189&amp;"_name"</f>
        <v>s1_node_archive_name</v>
      </c>
      <c r="F1189" s="13" t="str">
        <f>"s1_node_"&amp;D1189&amp;"_desc"</f>
        <v>s1_node_archive_desc</v>
      </c>
      <c r="G1189" s="0" t="s">
        <v>795</v>
      </c>
      <c r="H1189" s="0">
        <v>3</v>
      </c>
      <c r="I1189" s="0" t="s">
        <v>27</v>
      </c>
      <c r="J1189" s="0" t="s">
        <v>709</v>
      </c>
      <c r="K1189" s="0">
        <v>2280</v>
      </c>
      <c r="L1189" s="13">
        <v>3</v>
      </c>
      <c r="M1189" s="0">
        <v>58</v>
      </c>
      <c r="N1189" s="0">
        <v>6</v>
      </c>
      <c r="P1189" s="0" t="s">
        <v>1189</v>
      </c>
      <c r="T1189" s="0" t="str">
        <f>_xlfn.TEXTJOIN("_",TRUE,C1189,"node_eff",D1189,M1189,N1189)</f>
        <v>s1_node_eff_archive_58_6</v>
      </c>
    </row>
    <row r="1190" spans="1:20" x14ac:dyDescent="0.45">
      <c r="A1190" s="0" t="str">
        <f>_xlfn.TEXTJOIN("_",TRUE,C1190,"node",D1190,M1190,N1190)</f>
        <v>s1_node_archive_59_2</v>
      </c>
      <c r="B1190" s="0" t="s">
        <v>0</v>
      </c>
      <c r="C1190" s="0" t="s">
        <v>26</v>
      </c>
      <c r="D1190" s="0" t="s">
        <v>107</v>
      </c>
      <c r="E1190" s="0" t="str">
        <f>"s1_node_"&amp;D1190&amp;"_name"</f>
        <v>s1_node_archive_name</v>
      </c>
      <c r="F1190" s="13" t="str">
        <f>"s1_node_"&amp;D1190&amp;"_desc"</f>
        <v>s1_node_archive_desc</v>
      </c>
      <c r="G1190" s="0" t="s">
        <v>149</v>
      </c>
      <c r="H1190" s="0">
        <v>3</v>
      </c>
      <c r="I1190" s="0" t="s">
        <v>27</v>
      </c>
      <c r="J1190" s="0" t="s">
        <v>1190</v>
      </c>
      <c r="K1190" s="0">
        <v>2320</v>
      </c>
      <c r="L1190" s="13">
        <v>3</v>
      </c>
      <c r="M1190" s="0">
        <v>59</v>
      </c>
      <c r="N1190" s="0">
        <v>2</v>
      </c>
      <c r="T1190" s="0" t="str">
        <f>_xlfn.TEXTJOIN("_",TRUE,C1190,"node_eff",D1190,M1190,N1190)</f>
        <v>s1_node_eff_archive_59_2</v>
      </c>
    </row>
    <row r="1191" spans="1:20" x14ac:dyDescent="0.45">
      <c r="A1191" s="0" t="str">
        <f>_xlfn.TEXTJOIN("_",TRUE,C1191,"node",D1191,M1191,N1191)</f>
        <v>s1_node_archive_59_4</v>
      </c>
      <c r="B1191" s="0" t="s">
        <v>0</v>
      </c>
      <c r="C1191" s="0" t="s">
        <v>26</v>
      </c>
      <c r="D1191" s="0" t="s">
        <v>107</v>
      </c>
      <c r="E1191" s="0" t="str">
        <f>"s1_node_"&amp;D1191&amp;"_name"</f>
        <v>s1_node_archive_name</v>
      </c>
      <c r="F1191" s="13" t="str">
        <f>"s1_node_"&amp;D1191&amp;"_desc"</f>
        <v>s1_node_archive_desc</v>
      </c>
      <c r="G1191" s="0" t="s">
        <v>149</v>
      </c>
      <c r="H1191" s="0">
        <v>3</v>
      </c>
      <c r="I1191" s="0" t="s">
        <v>27</v>
      </c>
      <c r="J1191" s="0" t="s">
        <v>1190</v>
      </c>
      <c r="K1191" s="0">
        <v>2320</v>
      </c>
      <c r="L1191" s="13">
        <v>3</v>
      </c>
      <c r="M1191" s="0">
        <v>59</v>
      </c>
      <c r="N1191" s="0">
        <v>4</v>
      </c>
      <c r="P1191" s="0" t="s">
        <v>1191</v>
      </c>
      <c r="T1191" s="0" t="str">
        <f>_xlfn.TEXTJOIN("_",TRUE,C1191,"node_eff",D1191,M1191,N1191)</f>
        <v>s1_node_eff_archive_59_4</v>
      </c>
    </row>
    <row r="1192" spans="1:20" x14ac:dyDescent="0.45">
      <c r="A1192" s="0" t="str">
        <f>_xlfn.TEXTJOIN("_",TRUE,C1192,"node",D1192,M1192,N1192)</f>
        <v>s1_node_archive_59_6</v>
      </c>
      <c r="B1192" s="0" t="s">
        <v>0</v>
      </c>
      <c r="C1192" s="0" t="s">
        <v>26</v>
      </c>
      <c r="D1192" s="0" t="s">
        <v>107</v>
      </c>
      <c r="E1192" s="0" t="str">
        <f>"s1_node_"&amp;D1192&amp;"_name"</f>
        <v>s1_node_archive_name</v>
      </c>
      <c r="F1192" s="13" t="str">
        <f>"s1_node_"&amp;D1192&amp;"_desc"</f>
        <v>s1_node_archive_desc</v>
      </c>
      <c r="G1192" s="0" t="s">
        <v>149</v>
      </c>
      <c r="H1192" s="0">
        <v>3</v>
      </c>
      <c r="I1192" s="0" t="s">
        <v>27</v>
      </c>
      <c r="J1192" s="0" t="s">
        <v>1190</v>
      </c>
      <c r="K1192" s="0">
        <v>2320</v>
      </c>
      <c r="L1192" s="13">
        <v>3</v>
      </c>
      <c r="M1192" s="0">
        <v>59</v>
      </c>
      <c r="N1192" s="0">
        <v>6</v>
      </c>
      <c r="T1192" s="0" t="str">
        <f>_xlfn.TEXTJOIN("_",TRUE,C1192,"node_eff",D1192,M1192,N1192)</f>
        <v>s1_node_eff_archive_59_6</v>
      </c>
    </row>
    <row r="1193" spans="1:20" x14ac:dyDescent="0.45">
      <c r="A1193" s="0" t="str">
        <f>_xlfn.TEXTJOIN("_",TRUE,C1193,"node",D1193,M1193,N1193)</f>
        <v>s1_node_archive_60_2</v>
      </c>
      <c r="B1193" s="0" t="s">
        <v>0</v>
      </c>
      <c r="C1193" s="0" t="s">
        <v>26</v>
      </c>
      <c r="D1193" s="0" t="s">
        <v>107</v>
      </c>
      <c r="E1193" s="0" t="str">
        <f>"s1_node_"&amp;D1193&amp;"_name"</f>
        <v>s1_node_archive_name</v>
      </c>
      <c r="F1193" s="13" t="str">
        <f>"s1_node_"&amp;D1193&amp;"_desc"</f>
        <v>s1_node_archive_desc</v>
      </c>
      <c r="G1193" s="0" t="s">
        <v>422</v>
      </c>
      <c r="H1193" s="0">
        <v>3</v>
      </c>
      <c r="I1193" s="0" t="s">
        <v>27</v>
      </c>
      <c r="J1193" s="0" t="s">
        <v>543</v>
      </c>
      <c r="K1193" s="0">
        <v>2360</v>
      </c>
      <c r="L1193" s="13">
        <v>3</v>
      </c>
      <c r="M1193" s="0">
        <v>60</v>
      </c>
      <c r="N1193" s="0">
        <v>2</v>
      </c>
      <c r="P1193" s="0" t="s">
        <v>1192</v>
      </c>
      <c r="T1193" s="0" t="str">
        <f>_xlfn.TEXTJOIN("_",TRUE,C1193,"node_eff",D1193,M1193,N1193)</f>
        <v>s1_node_eff_archive_60_2</v>
      </c>
    </row>
    <row r="1194" spans="1:20" x14ac:dyDescent="0.45">
      <c r="A1194" s="0" t="str">
        <f>_xlfn.TEXTJOIN("_",TRUE,C1194,"node",D1194,M1194,N1194)</f>
        <v>s1_node_archive_60_6</v>
      </c>
      <c r="B1194" s="0" t="s">
        <v>0</v>
      </c>
      <c r="C1194" s="0" t="s">
        <v>26</v>
      </c>
      <c r="D1194" s="0" t="s">
        <v>107</v>
      </c>
      <c r="E1194" s="0" t="str">
        <f>"s1_node_"&amp;D1194&amp;"_name"</f>
        <v>s1_node_archive_name</v>
      </c>
      <c r="F1194" s="13" t="str">
        <f>"s1_node_"&amp;D1194&amp;"_desc"</f>
        <v>s1_node_archive_desc</v>
      </c>
      <c r="G1194" s="0" t="s">
        <v>422</v>
      </c>
      <c r="H1194" s="0">
        <v>3</v>
      </c>
      <c r="I1194" s="0" t="s">
        <v>27</v>
      </c>
      <c r="J1194" s="0" t="s">
        <v>543</v>
      </c>
      <c r="K1194" s="0">
        <v>2360</v>
      </c>
      <c r="L1194" s="13">
        <v>3</v>
      </c>
      <c r="M1194" s="0">
        <v>60</v>
      </c>
      <c r="N1194" s="0">
        <v>6</v>
      </c>
      <c r="P1194" s="0" t="s">
        <v>1193</v>
      </c>
      <c r="T1194" s="0" t="str">
        <f>_xlfn.TEXTJOIN("_",TRUE,C1194,"node_eff",D1194,M1194,N1194)</f>
        <v>s1_node_eff_archive_60_6</v>
      </c>
    </row>
    <row r="1195" spans="1:20" x14ac:dyDescent="0.45">
      <c r="A1195" s="0" t="str">
        <f>_xlfn.TEXTJOIN("_",TRUE,C1195,"node",D1195,M1195,N1195)</f>
        <v>s1_node_archive_61_4</v>
      </c>
      <c r="B1195" s="0" t="s">
        <v>0</v>
      </c>
      <c r="C1195" s="0" t="s">
        <v>26</v>
      </c>
      <c r="D1195" s="0" t="s">
        <v>107</v>
      </c>
      <c r="E1195" s="0" t="str">
        <f>"s1_node_"&amp;D1195&amp;"_name"</f>
        <v>s1_node_archive_name</v>
      </c>
      <c r="F1195" s="13" t="str">
        <f>"s1_node_"&amp;D1195&amp;"_desc"</f>
        <v>s1_node_archive_desc</v>
      </c>
      <c r="G1195" s="0" t="s">
        <v>615</v>
      </c>
      <c r="H1195" s="0">
        <v>4</v>
      </c>
      <c r="I1195" s="0" t="s">
        <v>27</v>
      </c>
      <c r="J1195" s="0" t="s">
        <v>717</v>
      </c>
      <c r="K1195" s="0">
        <v>2390</v>
      </c>
      <c r="L1195" s="13">
        <v>3</v>
      </c>
      <c r="M1195" s="0">
        <v>61</v>
      </c>
      <c r="N1195" s="0">
        <v>4</v>
      </c>
      <c r="P1195" s="0" t="s">
        <v>1194</v>
      </c>
      <c r="T1195" s="0" t="str">
        <f>_xlfn.TEXTJOIN("_",TRUE,C1195,"node_eff",D1195,M1195,N1195)</f>
        <v>s1_node_eff_archive_61_4</v>
      </c>
    </row>
    <row r="1196" spans="1:20" x14ac:dyDescent="0.45">
      <c r="A1196" s="0" t="str">
        <f>_xlfn.TEXTJOIN("_",TRUE,C1196,"node",D1196,M1196,N1196)</f>
        <v>s1_node_archive_62_2</v>
      </c>
      <c r="B1196" s="0" t="s">
        <v>0</v>
      </c>
      <c r="C1196" s="0" t="s">
        <v>26</v>
      </c>
      <c r="D1196" s="0" t="s">
        <v>107</v>
      </c>
      <c r="E1196" s="0" t="str">
        <f>"s1_node_"&amp;D1196&amp;"_name"</f>
        <v>s1_node_archive_name</v>
      </c>
      <c r="F1196" s="13" t="str">
        <f>"s1_node_"&amp;D1196&amp;"_desc"</f>
        <v>s1_node_archive_desc</v>
      </c>
      <c r="G1196" s="0" t="s">
        <v>788</v>
      </c>
      <c r="H1196" s="0">
        <v>4</v>
      </c>
      <c r="I1196" s="0" t="s">
        <v>27</v>
      </c>
      <c r="J1196" s="0" t="s">
        <v>548</v>
      </c>
      <c r="K1196" s="0">
        <v>2430</v>
      </c>
      <c r="L1196" s="13">
        <v>3</v>
      </c>
      <c r="M1196" s="0">
        <v>62</v>
      </c>
      <c r="N1196" s="0">
        <v>2</v>
      </c>
      <c r="T1196" s="0" t="str">
        <f>_xlfn.TEXTJOIN("_",TRUE,C1196,"node_eff",D1196,M1196,N1196)</f>
        <v>s1_node_eff_archive_62_2</v>
      </c>
    </row>
    <row r="1197" spans="1:20" x14ac:dyDescent="0.45">
      <c r="A1197" s="0" t="str">
        <f>_xlfn.TEXTJOIN("_",TRUE,C1197,"node",D1197,M1197,N1197)</f>
        <v>s1_node_archive_62_4</v>
      </c>
      <c r="B1197" s="0" t="s">
        <v>0</v>
      </c>
      <c r="C1197" s="0" t="s">
        <v>26</v>
      </c>
      <c r="D1197" s="0" t="s">
        <v>107</v>
      </c>
      <c r="E1197" s="0" t="str">
        <f>"s1_node_"&amp;D1197&amp;"_name"</f>
        <v>s1_node_archive_name</v>
      </c>
      <c r="F1197" s="13" t="str">
        <f>"s1_node_"&amp;D1197&amp;"_desc"</f>
        <v>s1_node_archive_desc</v>
      </c>
      <c r="G1197" s="0" t="s">
        <v>149</v>
      </c>
      <c r="H1197" s="0">
        <v>4</v>
      </c>
      <c r="I1197" s="0" t="s">
        <v>27</v>
      </c>
      <c r="J1197" s="0" t="s">
        <v>548</v>
      </c>
      <c r="K1197" s="0">
        <v>2430</v>
      </c>
      <c r="L1197" s="13">
        <v>3</v>
      </c>
      <c r="M1197" s="0">
        <v>62</v>
      </c>
      <c r="N1197" s="0">
        <v>4</v>
      </c>
      <c r="T1197" s="0" t="str">
        <f>_xlfn.TEXTJOIN("_",TRUE,C1197,"node_eff",D1197,M1197,N1197)</f>
        <v>s1_node_eff_archive_62_4</v>
      </c>
    </row>
    <row r="1198" spans="1:20" x14ac:dyDescent="0.45">
      <c r="A1198" s="0" t="str">
        <f>_xlfn.TEXTJOIN("_",TRUE,C1198,"node",D1198,M1198,N1198)</f>
        <v>s1_node_archive_62_6</v>
      </c>
      <c r="B1198" s="0" t="s">
        <v>0</v>
      </c>
      <c r="C1198" s="0" t="s">
        <v>26</v>
      </c>
      <c r="D1198" s="0" t="s">
        <v>107</v>
      </c>
      <c r="E1198" s="0" t="str">
        <f>"s1_node_"&amp;D1198&amp;"_name"</f>
        <v>s1_node_archive_name</v>
      </c>
      <c r="F1198" s="13" t="str">
        <f>"s1_node_"&amp;D1198&amp;"_desc"</f>
        <v>s1_node_archive_desc</v>
      </c>
      <c r="G1198" s="0" t="s">
        <v>149</v>
      </c>
      <c r="H1198" s="0">
        <v>4</v>
      </c>
      <c r="I1198" s="0" t="s">
        <v>27</v>
      </c>
      <c r="J1198" s="0" t="s">
        <v>548</v>
      </c>
      <c r="K1198" s="0">
        <v>2430</v>
      </c>
      <c r="L1198" s="13">
        <v>3</v>
      </c>
      <c r="M1198" s="0">
        <v>62</v>
      </c>
      <c r="N1198" s="0">
        <v>6</v>
      </c>
      <c r="T1198" s="0" t="str">
        <f>_xlfn.TEXTJOIN("_",TRUE,C1198,"node_eff",D1198,M1198,N1198)</f>
        <v>s1_node_eff_archive_62_6</v>
      </c>
    </row>
    <row r="1199" spans="1:20" x14ac:dyDescent="0.45">
      <c r="A1199" s="0" t="str">
        <f>_xlfn.TEXTJOIN("_",TRUE,C1199,"node",D1199,M1199,N1199)</f>
        <v>s1_node_archive_63_2</v>
      </c>
      <c r="B1199" s="0" t="s">
        <v>0</v>
      </c>
      <c r="C1199" s="0" t="s">
        <v>26</v>
      </c>
      <c r="D1199" s="0" t="s">
        <v>107</v>
      </c>
      <c r="E1199" s="0" t="str">
        <f>"s1_node_"&amp;D1199&amp;"_name"</f>
        <v>s1_node_archive_name</v>
      </c>
      <c r="F1199" s="13" t="str">
        <f>"s1_node_"&amp;D1199&amp;"_desc"</f>
        <v>s1_node_archive_desc</v>
      </c>
      <c r="G1199" s="0" t="s">
        <v>795</v>
      </c>
      <c r="H1199" s="0">
        <v>4</v>
      </c>
      <c r="I1199" s="0" t="s">
        <v>27</v>
      </c>
      <c r="J1199" s="0" t="s">
        <v>550</v>
      </c>
      <c r="K1199" s="0">
        <v>2470</v>
      </c>
      <c r="L1199" s="13">
        <v>3</v>
      </c>
      <c r="M1199" s="0">
        <v>63</v>
      </c>
      <c r="N1199" s="0">
        <v>2</v>
      </c>
      <c r="P1199" s="0" t="s">
        <v>1195</v>
      </c>
      <c r="T1199" s="0" t="str">
        <f>_xlfn.TEXTJOIN("_",TRUE,C1199,"node_eff",D1199,M1199,N1199)</f>
        <v>s1_node_eff_archive_63_2</v>
      </c>
    </row>
    <row r="1200" spans="1:20" x14ac:dyDescent="0.45">
      <c r="A1200" s="0" t="str">
        <f>_xlfn.TEXTJOIN("_",TRUE,C1200,"node",D1200,M1200,N1200)</f>
        <v>s1_node_archive_63_6</v>
      </c>
      <c r="B1200" s="0" t="s">
        <v>0</v>
      </c>
      <c r="C1200" s="0" t="s">
        <v>26</v>
      </c>
      <c r="D1200" s="0" t="s">
        <v>107</v>
      </c>
      <c r="E1200" s="0" t="str">
        <f>"s1_node_"&amp;D1200&amp;"_name"</f>
        <v>s1_node_archive_name</v>
      </c>
      <c r="F1200" s="13" t="str">
        <f>"s1_node_"&amp;D1200&amp;"_desc"</f>
        <v>s1_node_archive_desc</v>
      </c>
      <c r="G1200" s="0" t="s">
        <v>149</v>
      </c>
      <c r="H1200" s="0">
        <v>4</v>
      </c>
      <c r="I1200" s="0" t="s">
        <v>27</v>
      </c>
      <c r="J1200" s="0" t="s">
        <v>550</v>
      </c>
      <c r="K1200" s="0">
        <v>2470</v>
      </c>
      <c r="L1200" s="13">
        <v>3</v>
      </c>
      <c r="M1200" s="0">
        <v>63</v>
      </c>
      <c r="N1200" s="0">
        <v>6</v>
      </c>
      <c r="P1200" s="0" t="s">
        <v>1196</v>
      </c>
      <c r="T1200" s="0" t="str">
        <f>_xlfn.TEXTJOIN("_",TRUE,C1200,"node_eff",D1200,M1200,N1200)</f>
        <v>s1_node_eff_archive_63_6</v>
      </c>
    </row>
    <row r="1201" spans="1:20" x14ac:dyDescent="0.45">
      <c r="A1201" s="0" t="str">
        <f>_xlfn.TEXTJOIN("_",TRUE,C1201,"node",D1201,M1201,N1201)</f>
        <v>s1_node_archive_64_2</v>
      </c>
      <c r="B1201" s="0" t="s">
        <v>0</v>
      </c>
      <c r="C1201" s="0" t="s">
        <v>26</v>
      </c>
      <c r="D1201" s="0" t="s">
        <v>107</v>
      </c>
      <c r="E1201" s="0" t="str">
        <f>"s1_node_"&amp;D1201&amp;"_name"</f>
        <v>s1_node_archive_name</v>
      </c>
      <c r="F1201" s="13" t="str">
        <f>"s1_node_"&amp;D1201&amp;"_desc"</f>
        <v>s1_node_archive_desc</v>
      </c>
      <c r="G1201" s="0" t="s">
        <v>149</v>
      </c>
      <c r="H1201" s="0">
        <v>4</v>
      </c>
      <c r="I1201" s="0" t="s">
        <v>27</v>
      </c>
      <c r="J1201" s="0" t="s">
        <v>722</v>
      </c>
      <c r="K1201" s="0">
        <v>2500</v>
      </c>
      <c r="L1201" s="13">
        <v>3</v>
      </c>
      <c r="M1201" s="0">
        <v>64</v>
      </c>
      <c r="N1201" s="0">
        <v>2</v>
      </c>
      <c r="T1201" s="0" t="str">
        <f>_xlfn.TEXTJOIN("_",TRUE,C1201,"node_eff",D1201,M1201,N1201)</f>
        <v>s1_node_eff_archive_64_2</v>
      </c>
    </row>
    <row r="1202" spans="1:20" x14ac:dyDescent="0.45">
      <c r="A1202" s="0" t="str">
        <f>_xlfn.TEXTJOIN("_",TRUE,C1202,"node",D1202,M1202,N1202)</f>
        <v>s1_node_archive_64_4</v>
      </c>
      <c r="B1202" s="0" t="s">
        <v>0</v>
      </c>
      <c r="C1202" s="0" t="s">
        <v>26</v>
      </c>
      <c r="D1202" s="0" t="s">
        <v>107</v>
      </c>
      <c r="E1202" s="0" t="str">
        <f>"s1_node_"&amp;D1202&amp;"_name"</f>
        <v>s1_node_archive_name</v>
      </c>
      <c r="F1202" s="13" t="str">
        <f>"s1_node_"&amp;D1202&amp;"_desc"</f>
        <v>s1_node_archive_desc</v>
      </c>
      <c r="G1202" s="0" t="s">
        <v>795</v>
      </c>
      <c r="H1202" s="0">
        <v>4</v>
      </c>
      <c r="I1202" s="0" t="s">
        <v>27</v>
      </c>
      <c r="J1202" s="0" t="s">
        <v>722</v>
      </c>
      <c r="K1202" s="0">
        <v>2500</v>
      </c>
      <c r="L1202" s="13">
        <v>3</v>
      </c>
      <c r="M1202" s="0">
        <v>64</v>
      </c>
      <c r="N1202" s="0">
        <v>4</v>
      </c>
      <c r="P1202" s="0" t="s">
        <v>1197</v>
      </c>
      <c r="T1202" s="0" t="str">
        <f>_xlfn.TEXTJOIN("_",TRUE,C1202,"node_eff",D1202,M1202,N1202)</f>
        <v>s1_node_eff_archive_64_4</v>
      </c>
    </row>
    <row r="1203" spans="1:20" x14ac:dyDescent="0.45">
      <c r="A1203" s="0" t="str">
        <f>_xlfn.TEXTJOIN("_",TRUE,C1203,"node",D1203,M1203,N1203)</f>
        <v>s1_node_archive_64_6</v>
      </c>
      <c r="B1203" s="0" t="s">
        <v>0</v>
      </c>
      <c r="C1203" s="0" t="s">
        <v>26</v>
      </c>
      <c r="D1203" s="0" t="s">
        <v>107</v>
      </c>
      <c r="E1203" s="0" t="str">
        <f>"s1_node_"&amp;D1203&amp;"_name"</f>
        <v>s1_node_archive_name</v>
      </c>
      <c r="F1203" s="13" t="str">
        <f>"s1_node_"&amp;D1203&amp;"_desc"</f>
        <v>s1_node_archive_desc</v>
      </c>
      <c r="G1203" s="0" t="s">
        <v>149</v>
      </c>
      <c r="H1203" s="0">
        <v>4</v>
      </c>
      <c r="I1203" s="0" t="s">
        <v>27</v>
      </c>
      <c r="J1203" s="0" t="s">
        <v>722</v>
      </c>
      <c r="K1203" s="0">
        <v>2500</v>
      </c>
      <c r="L1203" s="13">
        <v>3</v>
      </c>
      <c r="M1203" s="0">
        <v>64</v>
      </c>
      <c r="N1203" s="0">
        <v>6</v>
      </c>
      <c r="T1203" s="0" t="str">
        <f>_xlfn.TEXTJOIN("_",TRUE,C1203,"node_eff",D1203,M1203,N1203)</f>
        <v>s1_node_eff_archive_64_6</v>
      </c>
    </row>
    <row r="1204" spans="1:20" x14ac:dyDescent="0.45">
      <c r="A1204" s="0" t="str">
        <f>_xlfn.TEXTJOIN("_",TRUE,C1204,"node",D1204,M1204,N1204)</f>
        <v>s1_node_archive_65_2</v>
      </c>
      <c r="B1204" s="0" t="s">
        <v>0</v>
      </c>
      <c r="C1204" s="0" t="s">
        <v>26</v>
      </c>
      <c r="D1204" s="0" t="s">
        <v>107</v>
      </c>
      <c r="E1204" s="0" t="str">
        <f>"s1_node_"&amp;D1204&amp;"_name"</f>
        <v>s1_node_archive_name</v>
      </c>
      <c r="F1204" s="13" t="str">
        <f>"s1_node_"&amp;D1204&amp;"_desc"</f>
        <v>s1_node_archive_desc</v>
      </c>
      <c r="G1204" s="0" t="s">
        <v>149</v>
      </c>
      <c r="H1204" s="0">
        <v>4</v>
      </c>
      <c r="I1204" s="0" t="s">
        <v>27</v>
      </c>
      <c r="J1204" s="0" t="s">
        <v>553</v>
      </c>
      <c r="K1204" s="0">
        <v>2540</v>
      </c>
      <c r="L1204" s="13">
        <v>3</v>
      </c>
      <c r="M1204" s="0">
        <v>65</v>
      </c>
      <c r="N1204" s="0">
        <v>2</v>
      </c>
      <c r="P1204" s="0" t="s">
        <v>1198</v>
      </c>
      <c r="T1204" s="0" t="str">
        <f>_xlfn.TEXTJOIN("_",TRUE,C1204,"node_eff",D1204,M1204,N1204)</f>
        <v>s1_node_eff_archive_65_2</v>
      </c>
    </row>
    <row r="1205" spans="1:20" x14ac:dyDescent="0.45">
      <c r="A1205" s="0" t="str">
        <f>_xlfn.TEXTJOIN("_",TRUE,C1205,"node",D1205,M1205,N1205)</f>
        <v>s1_node_archive_65_6</v>
      </c>
      <c r="B1205" s="0" t="s">
        <v>0</v>
      </c>
      <c r="C1205" s="0" t="s">
        <v>26</v>
      </c>
      <c r="D1205" s="0" t="s">
        <v>107</v>
      </c>
      <c r="E1205" s="0" t="str">
        <f>"s1_node_"&amp;D1205&amp;"_name"</f>
        <v>s1_node_archive_name</v>
      </c>
      <c r="F1205" s="13" t="str">
        <f>"s1_node_"&amp;D1205&amp;"_desc"</f>
        <v>s1_node_archive_desc</v>
      </c>
      <c r="G1205" s="0" t="s">
        <v>149</v>
      </c>
      <c r="H1205" s="0">
        <v>4</v>
      </c>
      <c r="I1205" s="0" t="s">
        <v>27</v>
      </c>
      <c r="J1205" s="0" t="s">
        <v>553</v>
      </c>
      <c r="K1205" s="0">
        <v>2540</v>
      </c>
      <c r="L1205" s="13">
        <v>3</v>
      </c>
      <c r="M1205" s="0">
        <v>65</v>
      </c>
      <c r="N1205" s="0">
        <v>6</v>
      </c>
      <c r="P1205" s="0" t="s">
        <v>1199</v>
      </c>
      <c r="T1205" s="0" t="str">
        <f>_xlfn.TEXTJOIN("_",TRUE,C1205,"node_eff",D1205,M1205,N1205)</f>
        <v>s1_node_eff_archive_65_6</v>
      </c>
    </row>
    <row r="1206" spans="1:20" x14ac:dyDescent="0.45">
      <c r="A1206" s="0" t="str">
        <f>_xlfn.TEXTJOIN("_",TRUE,C1206,"node",D1206,M1206,N1206)</f>
        <v>s1_node_archive_66_4</v>
      </c>
      <c r="B1206" s="0" t="s">
        <v>0</v>
      </c>
      <c r="C1206" s="0" t="s">
        <v>26</v>
      </c>
      <c r="D1206" s="0" t="s">
        <v>107</v>
      </c>
      <c r="E1206" s="0" t="str">
        <f>"s1_node_"&amp;D1206&amp;"_name"</f>
        <v>s1_node_archive_name</v>
      </c>
      <c r="F1206" s="13" t="str">
        <f>"s1_node_"&amp;D1206&amp;"_desc"</f>
        <v>s1_node_archive_desc</v>
      </c>
      <c r="G1206" s="0" t="s">
        <v>422</v>
      </c>
      <c r="H1206" s="0">
        <v>4</v>
      </c>
      <c r="I1206" s="0" t="s">
        <v>27</v>
      </c>
      <c r="J1206" s="0" t="s">
        <v>340</v>
      </c>
      <c r="K1206" s="0">
        <v>2580</v>
      </c>
      <c r="L1206" s="13">
        <v>3</v>
      </c>
      <c r="M1206" s="0">
        <v>66</v>
      </c>
      <c r="N1206" s="0">
        <v>4</v>
      </c>
      <c r="P1206" s="0" t="s">
        <v>1200</v>
      </c>
      <c r="T1206" s="0" t="str">
        <f>_xlfn.TEXTJOIN("_",TRUE,C1206,"node_eff",D1206,M1206,N1206)</f>
        <v>s1_node_eff_archive_66_4</v>
      </c>
    </row>
    <row r="1207" spans="1:20" x14ac:dyDescent="0.45">
      <c r="A1207" s="0" t="str">
        <f>_xlfn.TEXTJOIN("_",TRUE,C1207,"node",D1207,M1207,N1207)</f>
        <v>s1_node_archive_67_2</v>
      </c>
      <c r="B1207" s="0" t="s">
        <v>0</v>
      </c>
      <c r="C1207" s="0" t="s">
        <v>26</v>
      </c>
      <c r="D1207" s="0" t="s">
        <v>107</v>
      </c>
      <c r="E1207" s="0" t="str">
        <f>"s1_node_"&amp;D1207&amp;"_name"</f>
        <v>s1_node_archive_name</v>
      </c>
      <c r="F1207" s="13" t="str">
        <f>"s1_node_"&amp;D1207&amp;"_desc"</f>
        <v>s1_node_archive_desc</v>
      </c>
      <c r="G1207" s="0" t="s">
        <v>422</v>
      </c>
      <c r="H1207" s="0">
        <v>4</v>
      </c>
      <c r="I1207" s="0" t="s">
        <v>27</v>
      </c>
      <c r="J1207" s="0" t="s">
        <v>557</v>
      </c>
      <c r="K1207" s="0">
        <v>2610</v>
      </c>
      <c r="L1207" s="13">
        <v>3</v>
      </c>
      <c r="M1207" s="0">
        <v>67</v>
      </c>
      <c r="N1207" s="0">
        <v>2</v>
      </c>
      <c r="T1207" s="0" t="str">
        <f>_xlfn.TEXTJOIN("_",TRUE,C1207,"node_eff",D1207,M1207,N1207)</f>
        <v>s1_node_eff_archive_67_2</v>
      </c>
    </row>
    <row r="1208" spans="1:20" x14ac:dyDescent="0.45">
      <c r="A1208" s="0" t="str">
        <f>_xlfn.TEXTJOIN("_",TRUE,C1208,"node",D1208,M1208,N1208)</f>
        <v>s1_node_archive_67_4</v>
      </c>
      <c r="B1208" s="0" t="s">
        <v>0</v>
      </c>
      <c r="C1208" s="0" t="s">
        <v>26</v>
      </c>
      <c r="D1208" s="0" t="s">
        <v>107</v>
      </c>
      <c r="E1208" s="0" t="str">
        <f>"s1_node_"&amp;D1208&amp;"_name"</f>
        <v>s1_node_archive_name</v>
      </c>
      <c r="F1208" s="13" t="str">
        <f>"s1_node_"&amp;D1208&amp;"_desc"</f>
        <v>s1_node_archive_desc</v>
      </c>
      <c r="G1208" s="0" t="s">
        <v>615</v>
      </c>
      <c r="H1208" s="0">
        <v>4</v>
      </c>
      <c r="I1208" s="0" t="s">
        <v>27</v>
      </c>
      <c r="J1208" s="0" t="s">
        <v>557</v>
      </c>
      <c r="K1208" s="0">
        <v>2610</v>
      </c>
      <c r="L1208" s="13">
        <v>3</v>
      </c>
      <c r="M1208" s="0">
        <v>67</v>
      </c>
      <c r="N1208" s="0">
        <v>4</v>
      </c>
      <c r="T1208" s="0" t="str">
        <f>_xlfn.TEXTJOIN("_",TRUE,C1208,"node_eff",D1208,M1208,N1208)</f>
        <v>s1_node_eff_archive_67_4</v>
      </c>
    </row>
    <row r="1209" spans="1:20" x14ac:dyDescent="0.45">
      <c r="A1209" s="0" t="str">
        <f>_xlfn.TEXTJOIN("_",TRUE,C1209,"node",D1209,M1209,N1209)</f>
        <v>s1_node_archive_67_6</v>
      </c>
      <c r="B1209" s="0" t="s">
        <v>0</v>
      </c>
      <c r="C1209" s="0" t="s">
        <v>26</v>
      </c>
      <c r="D1209" s="0" t="s">
        <v>107</v>
      </c>
      <c r="E1209" s="0" t="str">
        <f>"s1_node_"&amp;D1209&amp;"_name"</f>
        <v>s1_node_archive_name</v>
      </c>
      <c r="F1209" s="13" t="str">
        <f>"s1_node_"&amp;D1209&amp;"_desc"</f>
        <v>s1_node_archive_desc</v>
      </c>
      <c r="G1209" s="0" t="s">
        <v>788</v>
      </c>
      <c r="H1209" s="0">
        <v>4</v>
      </c>
      <c r="I1209" s="0" t="s">
        <v>27</v>
      </c>
      <c r="J1209" s="0" t="s">
        <v>557</v>
      </c>
      <c r="K1209" s="0">
        <v>2610</v>
      </c>
      <c r="L1209" s="13">
        <v>3</v>
      </c>
      <c r="M1209" s="0">
        <v>67</v>
      </c>
      <c r="N1209" s="0">
        <v>6</v>
      </c>
      <c r="T1209" s="0" t="str">
        <f>_xlfn.TEXTJOIN("_",TRUE,C1209,"node_eff",D1209,M1209,N1209)</f>
        <v>s1_node_eff_archive_67_6</v>
      </c>
    </row>
    <row r="1210" spans="1:20" x14ac:dyDescent="0.45">
      <c r="A1210" s="0" t="str">
        <f>_xlfn.TEXTJOIN("_",TRUE,C1210,"node",D1210,M1210,N1210)</f>
        <v>s1_node_archive_68_2</v>
      </c>
      <c r="B1210" s="0" t="s">
        <v>0</v>
      </c>
      <c r="C1210" s="0" t="s">
        <v>26</v>
      </c>
      <c r="D1210" s="0" t="s">
        <v>107</v>
      </c>
      <c r="E1210" s="0" t="str">
        <f>"s1_node_"&amp;D1210&amp;"_name"</f>
        <v>s1_node_archive_name</v>
      </c>
      <c r="F1210" s="13" t="str">
        <f>"s1_node_"&amp;D1210&amp;"_desc"</f>
        <v>s1_node_archive_desc</v>
      </c>
      <c r="G1210" s="0" t="s">
        <v>149</v>
      </c>
      <c r="H1210" s="0">
        <v>4</v>
      </c>
      <c r="I1210" s="0" t="s">
        <v>27</v>
      </c>
      <c r="J1210" s="0" t="s">
        <v>346</v>
      </c>
      <c r="K1210" s="0">
        <v>2650</v>
      </c>
      <c r="L1210" s="13">
        <v>3</v>
      </c>
      <c r="M1210" s="0">
        <v>68</v>
      </c>
      <c r="N1210" s="0">
        <v>2</v>
      </c>
      <c r="P1210" s="0" t="s">
        <v>1201</v>
      </c>
      <c r="T1210" s="0" t="str">
        <f>_xlfn.TEXTJOIN("_",TRUE,C1210,"node_eff",D1210,M1210,N1210)</f>
        <v>s1_node_eff_archive_68_2</v>
      </c>
    </row>
    <row r="1211" spans="1:20" x14ac:dyDescent="0.45">
      <c r="A1211" s="0" t="str">
        <f>_xlfn.TEXTJOIN("_",TRUE,C1211,"node",D1211,M1211,N1211)</f>
        <v>s1_node_archive_68_6</v>
      </c>
      <c r="B1211" s="0" t="s">
        <v>0</v>
      </c>
      <c r="C1211" s="0" t="s">
        <v>26</v>
      </c>
      <c r="D1211" s="0" t="s">
        <v>107</v>
      </c>
      <c r="E1211" s="0" t="str">
        <f>"s1_node_"&amp;D1211&amp;"_name"</f>
        <v>s1_node_archive_name</v>
      </c>
      <c r="F1211" s="13" t="str">
        <f>"s1_node_"&amp;D1211&amp;"_desc"</f>
        <v>s1_node_archive_desc</v>
      </c>
      <c r="G1211" s="0" t="s">
        <v>149</v>
      </c>
      <c r="H1211" s="0">
        <v>4</v>
      </c>
      <c r="I1211" s="0" t="s">
        <v>27</v>
      </c>
      <c r="J1211" s="0" t="s">
        <v>346</v>
      </c>
      <c r="K1211" s="0">
        <v>2650</v>
      </c>
      <c r="L1211" s="13">
        <v>3</v>
      </c>
      <c r="M1211" s="0">
        <v>68</v>
      </c>
      <c r="N1211" s="0">
        <v>6</v>
      </c>
      <c r="P1211" s="0" t="s">
        <v>1202</v>
      </c>
      <c r="T1211" s="0" t="str">
        <f>_xlfn.TEXTJOIN("_",TRUE,C1211,"node_eff",D1211,M1211,N1211)</f>
        <v>s1_node_eff_archive_68_6</v>
      </c>
    </row>
    <row r="1212" spans="1:20" x14ac:dyDescent="0.45">
      <c r="A1212" s="0" t="str">
        <f>_xlfn.TEXTJOIN("_",TRUE,C1212,"node",D1212,M1212,N1212)</f>
        <v>s1_node_archive_69_2</v>
      </c>
      <c r="B1212" s="0" t="s">
        <v>0</v>
      </c>
      <c r="C1212" s="0" t="s">
        <v>26</v>
      </c>
      <c r="D1212" s="0" t="s">
        <v>107</v>
      </c>
      <c r="E1212" s="0" t="str">
        <f>"s1_node_"&amp;D1212&amp;"_name"</f>
        <v>s1_node_archive_name</v>
      </c>
      <c r="F1212" s="13" t="str">
        <f>"s1_node_"&amp;D1212&amp;"_desc"</f>
        <v>s1_node_archive_desc</v>
      </c>
      <c r="G1212" s="0" t="s">
        <v>795</v>
      </c>
      <c r="H1212" s="0">
        <v>4</v>
      </c>
      <c r="I1212" s="0" t="s">
        <v>27</v>
      </c>
      <c r="J1212" s="0" t="s">
        <v>349</v>
      </c>
      <c r="K1212" s="0">
        <v>2690</v>
      </c>
      <c r="L1212" s="13">
        <v>3</v>
      </c>
      <c r="M1212" s="0">
        <v>69</v>
      </c>
      <c r="N1212" s="0">
        <v>2</v>
      </c>
      <c r="T1212" s="0" t="str">
        <f>_xlfn.TEXTJOIN("_",TRUE,C1212,"node_eff",D1212,M1212,N1212)</f>
        <v>s1_node_eff_archive_69_2</v>
      </c>
    </row>
    <row r="1213" spans="1:20" x14ac:dyDescent="0.45">
      <c r="A1213" s="0" t="str">
        <f>_xlfn.TEXTJOIN("_",TRUE,C1213,"node",D1213,M1213,N1213)</f>
        <v>s1_node_archive_69_4</v>
      </c>
      <c r="B1213" s="0" t="s">
        <v>0</v>
      </c>
      <c r="C1213" s="0" t="s">
        <v>26</v>
      </c>
      <c r="D1213" s="0" t="s">
        <v>107</v>
      </c>
      <c r="E1213" s="0" t="str">
        <f>"s1_node_"&amp;D1213&amp;"_name"</f>
        <v>s1_node_archive_name</v>
      </c>
      <c r="F1213" s="13" t="str">
        <f>"s1_node_"&amp;D1213&amp;"_desc"</f>
        <v>s1_node_archive_desc</v>
      </c>
      <c r="G1213" s="0" t="s">
        <v>149</v>
      </c>
      <c r="H1213" s="0">
        <v>4</v>
      </c>
      <c r="I1213" s="0" t="s">
        <v>27</v>
      </c>
      <c r="J1213" s="0" t="s">
        <v>349</v>
      </c>
      <c r="K1213" s="0">
        <v>2690</v>
      </c>
      <c r="L1213" s="13">
        <v>3</v>
      </c>
      <c r="M1213" s="0">
        <v>69</v>
      </c>
      <c r="N1213" s="0">
        <v>4</v>
      </c>
      <c r="P1213" s="0" t="s">
        <v>1203</v>
      </c>
      <c r="T1213" s="0" t="str">
        <f>_xlfn.TEXTJOIN("_",TRUE,C1213,"node_eff",D1213,M1213,N1213)</f>
        <v>s1_node_eff_archive_69_4</v>
      </c>
    </row>
    <row r="1214" spans="1:20" x14ac:dyDescent="0.45">
      <c r="A1214" s="0" t="str">
        <f>_xlfn.TEXTJOIN("_",TRUE,C1214,"node",D1214,M1214,N1214)</f>
        <v>s1_node_archive_69_6</v>
      </c>
      <c r="B1214" s="0" t="s">
        <v>0</v>
      </c>
      <c r="C1214" s="0" t="s">
        <v>26</v>
      </c>
      <c r="D1214" s="0" t="s">
        <v>107</v>
      </c>
      <c r="E1214" s="0" t="str">
        <f>"s1_node_"&amp;D1214&amp;"_name"</f>
        <v>s1_node_archive_name</v>
      </c>
      <c r="F1214" s="13" t="str">
        <f>"s1_node_"&amp;D1214&amp;"_desc"</f>
        <v>s1_node_archive_desc</v>
      </c>
      <c r="G1214" s="0" t="s">
        <v>149</v>
      </c>
      <c r="H1214" s="0">
        <v>4</v>
      </c>
      <c r="I1214" s="0" t="s">
        <v>27</v>
      </c>
      <c r="J1214" s="0" t="s">
        <v>349</v>
      </c>
      <c r="K1214" s="0">
        <v>2690</v>
      </c>
      <c r="L1214" s="13">
        <v>3</v>
      </c>
      <c r="M1214" s="0">
        <v>69</v>
      </c>
      <c r="N1214" s="0">
        <v>6</v>
      </c>
      <c r="T1214" s="0" t="str">
        <f>_xlfn.TEXTJOIN("_",TRUE,C1214,"node_eff",D1214,M1214,N1214)</f>
        <v>s1_node_eff_archive_69_6</v>
      </c>
    </row>
    <row r="1215" spans="1:20" x14ac:dyDescent="0.45">
      <c r="A1215" s="0" t="str">
        <f>_xlfn.TEXTJOIN("_",TRUE,C1215,"node",D1215,M1215,N1215)</f>
        <v>s1_node_archive_70_2</v>
      </c>
      <c r="B1215" s="0" t="s">
        <v>0</v>
      </c>
      <c r="C1215" s="0" t="s">
        <v>26</v>
      </c>
      <c r="D1215" s="0" t="s">
        <v>107</v>
      </c>
      <c r="E1215" s="0" t="str">
        <f>"s1_node_"&amp;D1215&amp;"_name"</f>
        <v>s1_node_archive_name</v>
      </c>
      <c r="F1215" s="13" t="str">
        <f>"s1_node_"&amp;D1215&amp;"_desc"</f>
        <v>s1_node_archive_desc</v>
      </c>
      <c r="G1215" s="0" t="s">
        <v>795</v>
      </c>
      <c r="H1215" s="0">
        <v>4</v>
      </c>
      <c r="I1215" s="0" t="s">
        <v>27</v>
      </c>
      <c r="J1215" s="0" t="s">
        <v>352</v>
      </c>
      <c r="K1215" s="0">
        <v>2720</v>
      </c>
      <c r="L1215" s="13">
        <v>3</v>
      </c>
      <c r="M1215" s="0">
        <v>70</v>
      </c>
      <c r="N1215" s="0">
        <v>2</v>
      </c>
      <c r="P1215" s="0" t="s">
        <v>1204</v>
      </c>
      <c r="T1215" s="0" t="str">
        <f>_xlfn.TEXTJOIN("_",TRUE,C1215,"node_eff",D1215,M1215,N1215)</f>
        <v>s1_node_eff_archive_70_2</v>
      </c>
    </row>
    <row r="1216" spans="1:20" x14ac:dyDescent="0.45">
      <c r="A1216" s="0" t="str">
        <f>_xlfn.TEXTJOIN("_",TRUE,C1216,"node",D1216,M1216,N1216)</f>
        <v>s1_node_archive_70_6</v>
      </c>
      <c r="B1216" s="0" t="s">
        <v>0</v>
      </c>
      <c r="C1216" s="0" t="s">
        <v>26</v>
      </c>
      <c r="D1216" s="0" t="s">
        <v>107</v>
      </c>
      <c r="E1216" s="0" t="str">
        <f>"s1_node_"&amp;D1216&amp;"_name"</f>
        <v>s1_node_archive_name</v>
      </c>
      <c r="F1216" s="13" t="str">
        <f>"s1_node_"&amp;D1216&amp;"_desc"</f>
        <v>s1_node_archive_desc</v>
      </c>
      <c r="G1216" s="0" t="s">
        <v>149</v>
      </c>
      <c r="H1216" s="0">
        <v>4</v>
      </c>
      <c r="I1216" s="0" t="s">
        <v>27</v>
      </c>
      <c r="J1216" s="0" t="s">
        <v>352</v>
      </c>
      <c r="K1216" s="0">
        <v>2720</v>
      </c>
      <c r="L1216" s="13">
        <v>3</v>
      </c>
      <c r="M1216" s="0">
        <v>70</v>
      </c>
      <c r="N1216" s="0">
        <v>6</v>
      </c>
      <c r="P1216" s="0" t="s">
        <v>1205</v>
      </c>
      <c r="T1216" s="0" t="str">
        <f>_xlfn.TEXTJOIN("_",TRUE,C1216,"node_eff",D1216,M1216,N1216)</f>
        <v>s1_node_eff_archive_70_6</v>
      </c>
    </row>
    <row r="1217" spans="1:20" x14ac:dyDescent="0.45">
      <c r="A1217" s="0" t="str">
        <f>_xlfn.TEXTJOIN("_",TRUE,C1217,"node",D1217,M1217,N1217)</f>
        <v>s1_node_archive_71_4</v>
      </c>
      <c r="B1217" s="0" t="s">
        <v>0</v>
      </c>
      <c r="C1217" s="0" t="s">
        <v>26</v>
      </c>
      <c r="D1217" s="0" t="s">
        <v>107</v>
      </c>
      <c r="E1217" s="0" t="str">
        <f>"s1_node_"&amp;D1217&amp;"_name"</f>
        <v>s1_node_archive_name</v>
      </c>
      <c r="F1217" s="13" t="str">
        <f>"s1_node_"&amp;D1217&amp;"_desc"</f>
        <v>s1_node_archive_desc</v>
      </c>
      <c r="G1217" s="0" t="s">
        <v>149</v>
      </c>
      <c r="H1217" s="0">
        <v>4</v>
      </c>
      <c r="I1217" s="0" t="s">
        <v>27</v>
      </c>
      <c r="J1217" s="0" t="s">
        <v>354</v>
      </c>
      <c r="K1217" s="0">
        <v>2760</v>
      </c>
      <c r="L1217" s="13">
        <v>3</v>
      </c>
      <c r="M1217" s="0">
        <v>71</v>
      </c>
      <c r="N1217" s="0">
        <v>4</v>
      </c>
      <c r="P1217" s="0" t="s">
        <v>1206</v>
      </c>
      <c r="T1217" s="0" t="str">
        <f>_xlfn.TEXTJOIN("_",TRUE,C1217,"node_eff",D1217,M1217,N1217)</f>
        <v>s1_node_eff_archive_71_4</v>
      </c>
    </row>
    <row r="1218" spans="1:20" x14ac:dyDescent="0.45">
      <c r="A1218" s="0" t="str">
        <f>_xlfn.TEXTJOIN("_",TRUE,C1218,"node",D1218,M1218,N1218)</f>
        <v>s1_node_archive_72_2</v>
      </c>
      <c r="B1218" s="0" t="s">
        <v>0</v>
      </c>
      <c r="C1218" s="0" t="s">
        <v>26</v>
      </c>
      <c r="D1218" s="0" t="s">
        <v>107</v>
      </c>
      <c r="E1218" s="0" t="str">
        <f>"s1_node_"&amp;D1218&amp;"_name"</f>
        <v>s1_node_archive_name</v>
      </c>
      <c r="F1218" s="13" t="str">
        <f>"s1_node_"&amp;D1218&amp;"_desc"</f>
        <v>s1_node_archive_desc</v>
      </c>
      <c r="G1218" s="0" t="s">
        <v>149</v>
      </c>
      <c r="H1218" s="0">
        <v>4</v>
      </c>
      <c r="I1218" s="0" t="s">
        <v>27</v>
      </c>
      <c r="J1218" s="0" t="s">
        <v>734</v>
      </c>
      <c r="K1218" s="0">
        <v>2800</v>
      </c>
      <c r="L1218" s="13">
        <v>3</v>
      </c>
      <c r="M1218" s="0">
        <v>72</v>
      </c>
      <c r="N1218" s="0">
        <v>2</v>
      </c>
      <c r="T1218" s="0" t="str">
        <f>_xlfn.TEXTJOIN("_",TRUE,C1218,"node_eff",D1218,M1218,N1218)</f>
        <v>s1_node_eff_archive_72_2</v>
      </c>
    </row>
    <row r="1219" spans="1:20" x14ac:dyDescent="0.45">
      <c r="A1219" s="0" t="str">
        <f>_xlfn.TEXTJOIN("_",TRUE,C1219,"node",D1219,M1219,N1219)</f>
        <v>s1_node_archive_72_4</v>
      </c>
      <c r="B1219" s="0" t="s">
        <v>0</v>
      </c>
      <c r="C1219" s="0" t="s">
        <v>26</v>
      </c>
      <c r="D1219" s="0" t="s">
        <v>107</v>
      </c>
      <c r="E1219" s="0" t="str">
        <f>"s1_node_"&amp;D1219&amp;"_name"</f>
        <v>s1_node_archive_name</v>
      </c>
      <c r="F1219" s="13" t="str">
        <f>"s1_node_"&amp;D1219&amp;"_desc"</f>
        <v>s1_node_archive_desc</v>
      </c>
      <c r="G1219" s="0" t="s">
        <v>422</v>
      </c>
      <c r="H1219" s="0">
        <v>4</v>
      </c>
      <c r="I1219" s="0" t="s">
        <v>27</v>
      </c>
      <c r="J1219" s="0" t="s">
        <v>734</v>
      </c>
      <c r="K1219" s="0">
        <v>2800</v>
      </c>
      <c r="L1219" s="13">
        <v>3</v>
      </c>
      <c r="M1219" s="0">
        <v>72</v>
      </c>
      <c r="N1219" s="0">
        <v>4</v>
      </c>
      <c r="T1219" s="0" t="str">
        <f>_xlfn.TEXTJOIN("_",TRUE,C1219,"node_eff",D1219,M1219,N1219)</f>
        <v>s1_node_eff_archive_72_4</v>
      </c>
    </row>
    <row r="1220" spans="1:20" x14ac:dyDescent="0.45">
      <c r="A1220" s="0" t="str">
        <f>_xlfn.TEXTJOIN("_",TRUE,C1220,"node",D1220,M1220,N1220)</f>
        <v>s1_node_archive_72_6</v>
      </c>
      <c r="B1220" s="0" t="s">
        <v>0</v>
      </c>
      <c r="C1220" s="0" t="s">
        <v>26</v>
      </c>
      <c r="D1220" s="0" t="s">
        <v>107</v>
      </c>
      <c r="E1220" s="0" t="str">
        <f>"s1_node_"&amp;D1220&amp;"_name"</f>
        <v>s1_node_archive_name</v>
      </c>
      <c r="F1220" s="13" t="str">
        <f>"s1_node_"&amp;D1220&amp;"_desc"</f>
        <v>s1_node_archive_desc</v>
      </c>
      <c r="G1220" s="0" t="s">
        <v>422</v>
      </c>
      <c r="H1220" s="0">
        <v>4</v>
      </c>
      <c r="I1220" s="0" t="s">
        <v>27</v>
      </c>
      <c r="J1220" s="0" t="s">
        <v>734</v>
      </c>
      <c r="K1220" s="0">
        <v>2800</v>
      </c>
      <c r="L1220" s="13">
        <v>3</v>
      </c>
      <c r="M1220" s="0">
        <v>72</v>
      </c>
      <c r="N1220" s="0">
        <v>6</v>
      </c>
      <c r="T1220" s="0" t="str">
        <f>_xlfn.TEXTJOIN("_",TRUE,C1220,"node_eff",D1220,M1220,N1220)</f>
        <v>s1_node_eff_archive_72_6</v>
      </c>
    </row>
    <row r="1221" spans="1:20" x14ac:dyDescent="0.45">
      <c r="A1221" s="0" t="str">
        <f>_xlfn.TEXTJOIN("_",TRUE,C1221,"node",D1221,M1221,N1221)</f>
        <v>s1_node_archive_73_2</v>
      </c>
      <c r="B1221" s="0" t="s">
        <v>0</v>
      </c>
      <c r="C1221" s="0" t="s">
        <v>26</v>
      </c>
      <c r="D1221" s="0" t="s">
        <v>107</v>
      </c>
      <c r="E1221" s="0" t="str">
        <f>"s1_node_"&amp;D1221&amp;"_name"</f>
        <v>s1_node_archive_name</v>
      </c>
      <c r="F1221" s="13" t="str">
        <f>"s1_node_"&amp;D1221&amp;"_desc"</f>
        <v>s1_node_archive_desc</v>
      </c>
      <c r="G1221" s="0" t="s">
        <v>615</v>
      </c>
      <c r="H1221" s="0">
        <v>4</v>
      </c>
      <c r="I1221" s="0" t="s">
        <v>27</v>
      </c>
      <c r="J1221" s="0" t="s">
        <v>735</v>
      </c>
      <c r="K1221" s="0">
        <v>2840</v>
      </c>
      <c r="L1221" s="13">
        <v>3</v>
      </c>
      <c r="M1221" s="0">
        <v>73</v>
      </c>
      <c r="N1221" s="0">
        <v>2</v>
      </c>
      <c r="P1221" s="0" t="s">
        <v>1207</v>
      </c>
      <c r="T1221" s="0" t="str">
        <f>_xlfn.TEXTJOIN("_",TRUE,C1221,"node_eff",D1221,M1221,N1221)</f>
        <v>s1_node_eff_archive_73_2</v>
      </c>
    </row>
    <row r="1222" spans="1:20" x14ac:dyDescent="0.45">
      <c r="A1222" s="0" t="str">
        <f>_xlfn.TEXTJOIN("_",TRUE,C1222,"node",D1222,M1222,N1222)</f>
        <v>s1_node_archive_73_6</v>
      </c>
      <c r="B1222" s="0" t="s">
        <v>0</v>
      </c>
      <c r="C1222" s="0" t="s">
        <v>26</v>
      </c>
      <c r="D1222" s="0" t="s">
        <v>107</v>
      </c>
      <c r="E1222" s="0" t="str">
        <f>"s1_node_"&amp;D1222&amp;"_name"</f>
        <v>s1_node_archive_name</v>
      </c>
      <c r="F1222" s="13" t="str">
        <f>"s1_node_"&amp;D1222&amp;"_desc"</f>
        <v>s1_node_archive_desc</v>
      </c>
      <c r="G1222" s="0" t="s">
        <v>788</v>
      </c>
      <c r="H1222" s="0">
        <v>4</v>
      </c>
      <c r="I1222" s="0" t="s">
        <v>27</v>
      </c>
      <c r="J1222" s="0" t="s">
        <v>735</v>
      </c>
      <c r="K1222" s="0">
        <v>2840</v>
      </c>
      <c r="L1222" s="13">
        <v>3</v>
      </c>
      <c r="M1222" s="0">
        <v>73</v>
      </c>
      <c r="N1222" s="0">
        <v>6</v>
      </c>
      <c r="P1222" s="0" t="s">
        <v>1208</v>
      </c>
      <c r="T1222" s="0" t="str">
        <f>_xlfn.TEXTJOIN("_",TRUE,C1222,"node_eff",D1222,M1222,N1222)</f>
        <v>s1_node_eff_archive_73_6</v>
      </c>
    </row>
    <row r="1223" spans="1:20" x14ac:dyDescent="0.45">
      <c r="A1223" s="0" t="str">
        <f>_xlfn.TEXTJOIN("_",TRUE,C1223,"node",D1223,M1223,N1223)</f>
        <v>s1_node_archive_74_2</v>
      </c>
      <c r="B1223" s="0" t="s">
        <v>0</v>
      </c>
      <c r="C1223" s="0" t="s">
        <v>26</v>
      </c>
      <c r="D1223" s="0" t="s">
        <v>107</v>
      </c>
      <c r="E1223" s="0" t="str">
        <f>"s1_node_"&amp;D1223&amp;"_name"</f>
        <v>s1_node_archive_name</v>
      </c>
      <c r="F1223" s="13" t="str">
        <f>"s1_node_"&amp;D1223&amp;"_desc"</f>
        <v>s1_node_archive_desc</v>
      </c>
      <c r="G1223" s="0" t="s">
        <v>149</v>
      </c>
      <c r="H1223" s="0">
        <v>4</v>
      </c>
      <c r="I1223" s="0" t="s">
        <v>27</v>
      </c>
      <c r="J1223" s="0" t="s">
        <v>1209</v>
      </c>
      <c r="K1223" s="0">
        <v>2870</v>
      </c>
      <c r="L1223" s="13">
        <v>3</v>
      </c>
      <c r="M1223" s="0">
        <v>74</v>
      </c>
      <c r="N1223" s="0">
        <v>2</v>
      </c>
      <c r="T1223" s="0" t="str">
        <f>_xlfn.TEXTJOIN("_",TRUE,C1223,"node_eff",D1223,M1223,N1223)</f>
        <v>s1_node_eff_archive_74_2</v>
      </c>
    </row>
    <row r="1224" spans="1:20" x14ac:dyDescent="0.45">
      <c r="A1224" s="0" t="str">
        <f>_xlfn.TEXTJOIN("_",TRUE,C1224,"node",D1224,M1224,N1224)</f>
        <v>s1_node_archive_74_4</v>
      </c>
      <c r="B1224" s="0" t="s">
        <v>0</v>
      </c>
      <c r="C1224" s="0" t="s">
        <v>26</v>
      </c>
      <c r="D1224" s="0" t="s">
        <v>107</v>
      </c>
      <c r="E1224" s="0" t="str">
        <f>"s1_node_"&amp;D1224&amp;"_name"</f>
        <v>s1_node_archive_name</v>
      </c>
      <c r="F1224" s="13" t="str">
        <f>"s1_node_"&amp;D1224&amp;"_desc"</f>
        <v>s1_node_archive_desc</v>
      </c>
      <c r="G1224" s="0" t="s">
        <v>149</v>
      </c>
      <c r="H1224" s="0">
        <v>4</v>
      </c>
      <c r="I1224" s="0" t="s">
        <v>27</v>
      </c>
      <c r="J1224" s="0" t="s">
        <v>1209</v>
      </c>
      <c r="K1224" s="0">
        <v>2870</v>
      </c>
      <c r="L1224" s="13">
        <v>3</v>
      </c>
      <c r="M1224" s="0">
        <v>74</v>
      </c>
      <c r="N1224" s="0">
        <v>4</v>
      </c>
      <c r="P1224" s="0" t="s">
        <v>1210</v>
      </c>
      <c r="T1224" s="0" t="str">
        <f>_xlfn.TEXTJOIN("_",TRUE,C1224,"node_eff",D1224,M1224,N1224)</f>
        <v>s1_node_eff_archive_74_4</v>
      </c>
    </row>
    <row r="1225" spans="1:20" x14ac:dyDescent="0.45">
      <c r="A1225" s="0" t="str">
        <f>_xlfn.TEXTJOIN("_",TRUE,C1225,"node",D1225,M1225,N1225)</f>
        <v>s1_node_archive_74_6</v>
      </c>
      <c r="B1225" s="0" t="s">
        <v>0</v>
      </c>
      <c r="C1225" s="0" t="s">
        <v>26</v>
      </c>
      <c r="D1225" s="0" t="s">
        <v>107</v>
      </c>
      <c r="E1225" s="0" t="str">
        <f>"s1_node_"&amp;D1225&amp;"_name"</f>
        <v>s1_node_archive_name</v>
      </c>
      <c r="F1225" s="13" t="str">
        <f>"s1_node_"&amp;D1225&amp;"_desc"</f>
        <v>s1_node_archive_desc</v>
      </c>
      <c r="G1225" s="0" t="s">
        <v>795</v>
      </c>
      <c r="H1225" s="0">
        <v>4</v>
      </c>
      <c r="I1225" s="0" t="s">
        <v>27</v>
      </c>
      <c r="J1225" s="0" t="s">
        <v>1209</v>
      </c>
      <c r="K1225" s="0">
        <v>2870</v>
      </c>
      <c r="L1225" s="13">
        <v>3</v>
      </c>
      <c r="M1225" s="0">
        <v>74</v>
      </c>
      <c r="N1225" s="0">
        <v>6</v>
      </c>
      <c r="T1225" s="0" t="str">
        <f>_xlfn.TEXTJOIN("_",TRUE,C1225,"node_eff",D1225,M1225,N1225)</f>
        <v>s1_node_eff_archive_74_6</v>
      </c>
    </row>
    <row r="1226" spans="1:20" x14ac:dyDescent="0.45">
      <c r="A1226" s="0" t="str">
        <f>_xlfn.TEXTJOIN("_",TRUE,C1226,"node",D1226,M1226,N1226)</f>
        <v>s1_node_archive_75_2</v>
      </c>
      <c r="B1226" s="0" t="s">
        <v>0</v>
      </c>
      <c r="C1226" s="0" t="s">
        <v>26</v>
      </c>
      <c r="D1226" s="0" t="s">
        <v>107</v>
      </c>
      <c r="E1226" s="0" t="str">
        <f>"s1_node_"&amp;D1226&amp;"_name"</f>
        <v>s1_node_archive_name</v>
      </c>
      <c r="F1226" s="13" t="str">
        <f>"s1_node_"&amp;D1226&amp;"_desc"</f>
        <v>s1_node_archive_desc</v>
      </c>
      <c r="G1226" s="0" t="s">
        <v>149</v>
      </c>
      <c r="H1226" s="0">
        <v>4</v>
      </c>
      <c r="I1226" s="0" t="s">
        <v>27</v>
      </c>
      <c r="J1226" s="0" t="s">
        <v>740</v>
      </c>
      <c r="K1226" s="0">
        <v>2910</v>
      </c>
      <c r="L1226" s="13">
        <v>3</v>
      </c>
      <c r="M1226" s="0">
        <v>75</v>
      </c>
      <c r="N1226" s="0">
        <v>2</v>
      </c>
      <c r="P1226" s="0" t="s">
        <v>1211</v>
      </c>
      <c r="T1226" s="0" t="str">
        <f>_xlfn.TEXTJOIN("_",TRUE,C1226,"node_eff",D1226,M1226,N1226)</f>
        <v>s1_node_eff_archive_75_2</v>
      </c>
    </row>
    <row r="1227" spans="1:20" x14ac:dyDescent="0.45">
      <c r="A1227" s="0" t="str">
        <f>_xlfn.TEXTJOIN("_",TRUE,C1227,"node",D1227,M1227,N1227)</f>
        <v>s1_node_archive_75_6</v>
      </c>
      <c r="B1227" s="0" t="s">
        <v>0</v>
      </c>
      <c r="C1227" s="0" t="s">
        <v>26</v>
      </c>
      <c r="D1227" s="0" t="s">
        <v>107</v>
      </c>
      <c r="E1227" s="0" t="str">
        <f>"s1_node_"&amp;D1227&amp;"_name"</f>
        <v>s1_node_archive_name</v>
      </c>
      <c r="F1227" s="13" t="str">
        <f>"s1_node_"&amp;D1227&amp;"_desc"</f>
        <v>s1_node_archive_desc</v>
      </c>
      <c r="G1227" s="0" t="s">
        <v>149</v>
      </c>
      <c r="H1227" s="0">
        <v>4</v>
      </c>
      <c r="I1227" s="0" t="s">
        <v>27</v>
      </c>
      <c r="J1227" s="0" t="s">
        <v>740</v>
      </c>
      <c r="K1227" s="0">
        <v>2910</v>
      </c>
      <c r="L1227" s="13">
        <v>3</v>
      </c>
      <c r="M1227" s="0">
        <v>75</v>
      </c>
      <c r="N1227" s="0">
        <v>6</v>
      </c>
      <c r="P1227" s="0" t="s">
        <v>1212</v>
      </c>
      <c r="T1227" s="0" t="str">
        <f>_xlfn.TEXTJOIN("_",TRUE,C1227,"node_eff",D1227,M1227,N1227)</f>
        <v>s1_node_eff_archive_75_6</v>
      </c>
    </row>
    <row r="1228" spans="1:20" x14ac:dyDescent="0.45">
      <c r="A1228" s="0" t="str">
        <f>_xlfn.TEXTJOIN("_",TRUE,C1228,"node",D1228,M1228,N1228)</f>
        <v>s1_node_archive_76_4</v>
      </c>
      <c r="B1228" s="0" t="s">
        <v>0</v>
      </c>
      <c r="C1228" s="0" t="s">
        <v>26</v>
      </c>
      <c r="D1228" s="0" t="s">
        <v>107</v>
      </c>
      <c r="E1228" s="0" t="str">
        <f>"s1_node_"&amp;D1228&amp;"_name"</f>
        <v>s1_node_archive_name</v>
      </c>
      <c r="F1228" s="13" t="str">
        <f>"s1_node_"&amp;D1228&amp;"_desc"</f>
        <v>s1_node_archive_desc</v>
      </c>
      <c r="G1228" s="0" t="s">
        <v>795</v>
      </c>
      <c r="H1228" s="0">
        <v>4</v>
      </c>
      <c r="I1228" s="0" t="s">
        <v>27</v>
      </c>
      <c r="J1228" s="0" t="s">
        <v>743</v>
      </c>
      <c r="K1228" s="0">
        <v>2950</v>
      </c>
      <c r="L1228" s="13">
        <v>3</v>
      </c>
      <c r="M1228" s="0">
        <v>76</v>
      </c>
      <c r="N1228" s="0">
        <v>4</v>
      </c>
      <c r="P1228" s="0" t="s">
        <v>1213</v>
      </c>
      <c r="T1228" s="0" t="str">
        <f>_xlfn.TEXTJOIN("_",TRUE,C1228,"node_eff",D1228,M1228,N1228)</f>
        <v>s1_node_eff_archive_76_4</v>
      </c>
    </row>
    <row r="1229" spans="1:20" x14ac:dyDescent="0.45">
      <c r="A1229" s="0" t="str">
        <f>_xlfn.TEXTJOIN("_",TRUE,C1229,"node",D1229,M1229,N1229)</f>
        <v>s1_node_archive_77_2</v>
      </c>
      <c r="B1229" s="0" t="s">
        <v>0</v>
      </c>
      <c r="C1229" s="0" t="s">
        <v>26</v>
      </c>
      <c r="D1229" s="0" t="s">
        <v>107</v>
      </c>
      <c r="E1229" s="0" t="str">
        <f>"s1_node_"&amp;D1229&amp;"_name"</f>
        <v>s1_node_archive_name</v>
      </c>
      <c r="F1229" s="13" t="str">
        <f>"s1_node_"&amp;D1229&amp;"_desc"</f>
        <v>s1_node_archive_desc</v>
      </c>
      <c r="G1229" s="0" t="s">
        <v>149</v>
      </c>
      <c r="H1229" s="0">
        <v>4</v>
      </c>
      <c r="I1229" s="0" t="s">
        <v>27</v>
      </c>
      <c r="J1229" s="0" t="s">
        <v>1214</v>
      </c>
      <c r="K1229" s="0">
        <v>2980</v>
      </c>
      <c r="L1229" s="13">
        <v>3</v>
      </c>
      <c r="M1229" s="0">
        <v>77</v>
      </c>
      <c r="N1229" s="0">
        <v>2</v>
      </c>
      <c r="T1229" s="0" t="str">
        <f>_xlfn.TEXTJOIN("_",TRUE,C1229,"node_eff",D1229,M1229,N1229)</f>
        <v>s1_node_eff_archive_77_2</v>
      </c>
    </row>
    <row r="1230" spans="1:20" x14ac:dyDescent="0.45">
      <c r="A1230" s="0" t="str">
        <f>_xlfn.TEXTJOIN("_",TRUE,C1230,"node",D1230,M1230,N1230)</f>
        <v>s1_node_archive_77_4</v>
      </c>
      <c r="B1230" s="0" t="s">
        <v>0</v>
      </c>
      <c r="C1230" s="0" t="s">
        <v>26</v>
      </c>
      <c r="D1230" s="0" t="s">
        <v>107</v>
      </c>
      <c r="E1230" s="0" t="str">
        <f>"s1_node_"&amp;D1230&amp;"_name"</f>
        <v>s1_node_archive_name</v>
      </c>
      <c r="F1230" s="13" t="str">
        <f>"s1_node_"&amp;D1230&amp;"_desc"</f>
        <v>s1_node_archive_desc</v>
      </c>
      <c r="G1230" s="0" t="s">
        <v>149</v>
      </c>
      <c r="H1230" s="0">
        <v>4</v>
      </c>
      <c r="I1230" s="0" t="s">
        <v>27</v>
      </c>
      <c r="J1230" s="0" t="s">
        <v>1214</v>
      </c>
      <c r="K1230" s="0">
        <v>2980</v>
      </c>
      <c r="L1230" s="13">
        <v>3</v>
      </c>
      <c r="M1230" s="0">
        <v>77</v>
      </c>
      <c r="N1230" s="0">
        <v>4</v>
      </c>
      <c r="T1230" s="0" t="str">
        <f>_xlfn.TEXTJOIN("_",TRUE,C1230,"node_eff",D1230,M1230,N1230)</f>
        <v>s1_node_eff_archive_77_4</v>
      </c>
    </row>
    <row r="1231" spans="1:20" x14ac:dyDescent="0.45">
      <c r="A1231" s="0" t="str">
        <f>_xlfn.TEXTJOIN("_",TRUE,C1231,"node",D1231,M1231,N1231)</f>
        <v>s1_node_archive_77_6</v>
      </c>
      <c r="B1231" s="0" t="s">
        <v>0</v>
      </c>
      <c r="C1231" s="0" t="s">
        <v>26</v>
      </c>
      <c r="D1231" s="0" t="s">
        <v>107</v>
      </c>
      <c r="E1231" s="0" t="str">
        <f>"s1_node_"&amp;D1231&amp;"_name"</f>
        <v>s1_node_archive_name</v>
      </c>
      <c r="F1231" s="13" t="str">
        <f>"s1_node_"&amp;D1231&amp;"_desc"</f>
        <v>s1_node_archive_desc</v>
      </c>
      <c r="G1231" s="0" t="s">
        <v>149</v>
      </c>
      <c r="H1231" s="0">
        <v>4</v>
      </c>
      <c r="I1231" s="0" t="s">
        <v>27</v>
      </c>
      <c r="J1231" s="0" t="s">
        <v>1214</v>
      </c>
      <c r="K1231" s="0">
        <v>2980</v>
      </c>
      <c r="L1231" s="13">
        <v>3</v>
      </c>
      <c r="M1231" s="0">
        <v>77</v>
      </c>
      <c r="N1231" s="0">
        <v>6</v>
      </c>
      <c r="T1231" s="0" t="str">
        <f>_xlfn.TEXTJOIN("_",TRUE,C1231,"node_eff",D1231,M1231,N1231)</f>
        <v>s1_node_eff_archive_77_6</v>
      </c>
    </row>
    <row r="1232" spans="1:20" x14ac:dyDescent="0.45">
      <c r="A1232" s="0" t="str">
        <f>_xlfn.TEXTJOIN("_",TRUE,C1232,"node",D1232,M1232,N1232)</f>
        <v>s1_node_archive_78_2</v>
      </c>
      <c r="B1232" s="0" t="s">
        <v>0</v>
      </c>
      <c r="C1232" s="0" t="s">
        <v>26</v>
      </c>
      <c r="D1232" s="0" t="s">
        <v>107</v>
      </c>
      <c r="E1232" s="0" t="str">
        <f>"s1_node_"&amp;D1232&amp;"_name"</f>
        <v>s1_node_archive_name</v>
      </c>
      <c r="F1232" s="13" t="str">
        <f>"s1_node_"&amp;D1232&amp;"_desc"</f>
        <v>s1_node_archive_desc</v>
      </c>
      <c r="G1232" s="0" t="s">
        <v>422</v>
      </c>
      <c r="H1232" s="0">
        <v>4</v>
      </c>
      <c r="I1232" s="0" t="s">
        <v>27</v>
      </c>
      <c r="J1232" s="0" t="s">
        <v>1215</v>
      </c>
      <c r="K1232" s="0">
        <v>3020</v>
      </c>
      <c r="L1232" s="13">
        <v>3</v>
      </c>
      <c r="M1232" s="0">
        <v>78</v>
      </c>
      <c r="N1232" s="0">
        <v>2</v>
      </c>
      <c r="P1232" s="0" t="s">
        <v>1216</v>
      </c>
      <c r="T1232" s="0" t="str">
        <f>_xlfn.TEXTJOIN("_",TRUE,C1232,"node_eff",D1232,M1232,N1232)</f>
        <v>s1_node_eff_archive_78_2</v>
      </c>
    </row>
    <row r="1233" spans="1:20" x14ac:dyDescent="0.45">
      <c r="A1233" s="0" t="str">
        <f>_xlfn.TEXTJOIN("_",TRUE,C1233,"node",D1233,M1233,N1233)</f>
        <v>s1_node_archive_78_6</v>
      </c>
      <c r="B1233" s="0" t="s">
        <v>0</v>
      </c>
      <c r="C1233" s="0" t="s">
        <v>26</v>
      </c>
      <c r="D1233" s="0" t="s">
        <v>107</v>
      </c>
      <c r="E1233" s="0" t="str">
        <f>"s1_node_"&amp;D1233&amp;"_name"</f>
        <v>s1_node_archive_name</v>
      </c>
      <c r="F1233" s="13" t="str">
        <f>"s1_node_"&amp;D1233&amp;"_desc"</f>
        <v>s1_node_archive_desc</v>
      </c>
      <c r="G1233" s="0" t="s">
        <v>422</v>
      </c>
      <c r="H1233" s="0">
        <v>4</v>
      </c>
      <c r="I1233" s="0" t="s">
        <v>27</v>
      </c>
      <c r="J1233" s="0" t="s">
        <v>1215</v>
      </c>
      <c r="K1233" s="0">
        <v>3020</v>
      </c>
      <c r="L1233" s="13">
        <v>3</v>
      </c>
      <c r="M1233" s="0">
        <v>78</v>
      </c>
      <c r="N1233" s="0">
        <v>6</v>
      </c>
      <c r="P1233" s="0" t="s">
        <v>1217</v>
      </c>
      <c r="T1233" s="0" t="str">
        <f>_xlfn.TEXTJOIN("_",TRUE,C1233,"node_eff",D1233,M1233,N1233)</f>
        <v>s1_node_eff_archive_78_6</v>
      </c>
    </row>
    <row r="1234" spans="1:20" x14ac:dyDescent="0.45">
      <c r="A1234" s="0" t="str">
        <f>_xlfn.TEXTJOIN("_",TRUE,C1234,"node",D1234,M1234,N1234)</f>
        <v>s1_node_archive_79_2</v>
      </c>
      <c r="B1234" s="0" t="s">
        <v>0</v>
      </c>
      <c r="C1234" s="0" t="s">
        <v>26</v>
      </c>
      <c r="D1234" s="0" t="s">
        <v>107</v>
      </c>
      <c r="E1234" s="0" t="str">
        <f>"s1_node_"&amp;D1234&amp;"_name"</f>
        <v>s1_node_archive_name</v>
      </c>
      <c r="F1234" s="13" t="str">
        <f>"s1_node_"&amp;D1234&amp;"_desc"</f>
        <v>s1_node_archive_desc</v>
      </c>
      <c r="G1234" s="0" t="s">
        <v>615</v>
      </c>
      <c r="H1234" s="0">
        <v>4</v>
      </c>
      <c r="I1234" s="0" t="s">
        <v>27</v>
      </c>
      <c r="J1234" s="0" t="s">
        <v>748</v>
      </c>
      <c r="K1234" s="0">
        <v>3060</v>
      </c>
      <c r="L1234" s="13">
        <v>3</v>
      </c>
      <c r="M1234" s="0">
        <v>79</v>
      </c>
      <c r="N1234" s="0">
        <v>2</v>
      </c>
      <c r="T1234" s="0" t="str">
        <f>_xlfn.TEXTJOIN("_",TRUE,C1234,"node_eff",D1234,M1234,N1234)</f>
        <v>s1_node_eff_archive_79_2</v>
      </c>
    </row>
    <row r="1235" spans="1:20" x14ac:dyDescent="0.45">
      <c r="A1235" s="0" t="str">
        <f>_xlfn.TEXTJOIN("_",TRUE,C1235,"node",D1235,M1235,N1235)</f>
        <v>s1_node_archive_79_4</v>
      </c>
      <c r="B1235" s="0" t="s">
        <v>0</v>
      </c>
      <c r="C1235" s="0" t="s">
        <v>26</v>
      </c>
      <c r="D1235" s="0" t="s">
        <v>107</v>
      </c>
      <c r="E1235" s="0" t="str">
        <f>"s1_node_"&amp;D1235&amp;"_name"</f>
        <v>s1_node_archive_name</v>
      </c>
      <c r="F1235" s="13" t="str">
        <f>"s1_node_"&amp;D1235&amp;"_desc"</f>
        <v>s1_node_archive_desc</v>
      </c>
      <c r="G1235" s="0" t="s">
        <v>788</v>
      </c>
      <c r="H1235" s="0">
        <v>4</v>
      </c>
      <c r="I1235" s="0" t="s">
        <v>27</v>
      </c>
      <c r="J1235" s="0" t="s">
        <v>748</v>
      </c>
      <c r="K1235" s="0">
        <v>3060</v>
      </c>
      <c r="L1235" s="13">
        <v>3</v>
      </c>
      <c r="M1235" s="0">
        <v>79</v>
      </c>
      <c r="N1235" s="0">
        <v>4</v>
      </c>
      <c r="P1235" s="0" t="s">
        <v>1218</v>
      </c>
      <c r="T1235" s="0" t="str">
        <f>_xlfn.TEXTJOIN("_",TRUE,C1235,"node_eff",D1235,M1235,N1235)</f>
        <v>s1_node_eff_archive_79_4</v>
      </c>
    </row>
    <row r="1236" spans="1:20" x14ac:dyDescent="0.45">
      <c r="A1236" s="0" t="str">
        <f>_xlfn.TEXTJOIN("_",TRUE,C1236,"node",D1236,M1236,N1236)</f>
        <v>s1_node_archive_79_6</v>
      </c>
      <c r="B1236" s="0" t="s">
        <v>0</v>
      </c>
      <c r="C1236" s="0" t="s">
        <v>26</v>
      </c>
      <c r="D1236" s="0" t="s">
        <v>107</v>
      </c>
      <c r="E1236" s="0" t="str">
        <f>"s1_node_"&amp;D1236&amp;"_name"</f>
        <v>s1_node_archive_name</v>
      </c>
      <c r="F1236" s="13" t="str">
        <f>"s1_node_"&amp;D1236&amp;"_desc"</f>
        <v>s1_node_archive_desc</v>
      </c>
      <c r="G1236" s="0" t="s">
        <v>149</v>
      </c>
      <c r="H1236" s="0">
        <v>4</v>
      </c>
      <c r="I1236" s="0" t="s">
        <v>27</v>
      </c>
      <c r="J1236" s="0" t="s">
        <v>748</v>
      </c>
      <c r="K1236" s="0">
        <v>3060</v>
      </c>
      <c r="L1236" s="13">
        <v>3</v>
      </c>
      <c r="M1236" s="0">
        <v>79</v>
      </c>
      <c r="N1236" s="0">
        <v>6</v>
      </c>
      <c r="T1236" s="0" t="str">
        <f>_xlfn.TEXTJOIN("_",TRUE,C1236,"node_eff",D1236,M1236,N1236)</f>
        <v>s1_node_eff_archive_79_6</v>
      </c>
    </row>
    <row r="1237" spans="1:20" x14ac:dyDescent="0.45">
      <c r="A1237" s="0" t="str">
        <f>_xlfn.TEXTJOIN("_",TRUE,C1237,"node",D1237,M1237,N1237)</f>
        <v>s1_node_archive_80_2</v>
      </c>
      <c r="B1237" s="0" t="s">
        <v>0</v>
      </c>
      <c r="C1237" s="0" t="s">
        <v>26</v>
      </c>
      <c r="D1237" s="0" t="s">
        <v>107</v>
      </c>
      <c r="E1237" s="0" t="str">
        <f>"s1_node_"&amp;D1237&amp;"_name"</f>
        <v>s1_node_archive_name</v>
      </c>
      <c r="F1237" s="13" t="str">
        <f>"s1_node_"&amp;D1237&amp;"_desc"</f>
        <v>s1_node_archive_desc</v>
      </c>
      <c r="G1237" s="0" t="s">
        <v>149</v>
      </c>
      <c r="H1237" s="0">
        <v>4</v>
      </c>
      <c r="I1237" s="0" t="s">
        <v>27</v>
      </c>
      <c r="J1237" s="0" t="s">
        <v>1219</v>
      </c>
      <c r="K1237" s="0">
        <v>3090</v>
      </c>
      <c r="L1237" s="13">
        <v>3</v>
      </c>
      <c r="M1237" s="0">
        <v>80</v>
      </c>
      <c r="N1237" s="0">
        <v>2</v>
      </c>
      <c r="P1237" s="0" t="s">
        <v>1220</v>
      </c>
      <c r="T1237" s="0" t="str">
        <f>_xlfn.TEXTJOIN("_",TRUE,C1237,"node_eff",D1237,M1237,N1237)</f>
        <v>s1_node_eff_archive_80_2</v>
      </c>
    </row>
    <row r="1238" spans="1:20" x14ac:dyDescent="0.45">
      <c r="A1238" s="0" t="str">
        <f>_xlfn.TEXTJOIN("_",TRUE,C1238,"node",D1238,M1238,N1238)</f>
        <v>s1_node_archive_80_6</v>
      </c>
      <c r="B1238" s="0" t="s">
        <v>0</v>
      </c>
      <c r="C1238" s="0" t="s">
        <v>26</v>
      </c>
      <c r="D1238" s="0" t="s">
        <v>107</v>
      </c>
      <c r="E1238" s="0" t="str">
        <f>"s1_node_"&amp;D1238&amp;"_name"</f>
        <v>s1_node_archive_name</v>
      </c>
      <c r="F1238" s="13" t="str">
        <f>"s1_node_"&amp;D1238&amp;"_desc"</f>
        <v>s1_node_archive_desc</v>
      </c>
      <c r="G1238" s="0" t="s">
        <v>795</v>
      </c>
      <c r="H1238" s="0">
        <v>4</v>
      </c>
      <c r="I1238" s="0" t="s">
        <v>27</v>
      </c>
      <c r="J1238" s="0" t="s">
        <v>1219</v>
      </c>
      <c r="K1238" s="0">
        <v>3090</v>
      </c>
      <c r="L1238" s="13">
        <v>3</v>
      </c>
      <c r="M1238" s="0">
        <v>80</v>
      </c>
      <c r="N1238" s="0">
        <v>6</v>
      </c>
      <c r="P1238" s="0" t="s">
        <v>1221</v>
      </c>
      <c r="T1238" s="0" t="str">
        <f>_xlfn.TEXTJOIN("_",TRUE,C1238,"node_eff",D1238,M1238,N1238)</f>
        <v>s1_node_eff_archive_80_6</v>
      </c>
    </row>
    <row r="1239" spans="1:20" x14ac:dyDescent="0.45">
      <c r="A1239" s="0" t="str">
        <f>_xlfn.TEXTJOIN("_",TRUE,C1239,"node",D1239,M1239,N1239)</f>
        <v>s1_node_archive_81_4</v>
      </c>
      <c r="B1239" s="0" t="s">
        <v>0</v>
      </c>
      <c r="C1239" s="0" t="s">
        <v>26</v>
      </c>
      <c r="D1239" s="0" t="s">
        <v>107</v>
      </c>
      <c r="E1239" s="0" t="str">
        <f>"s1_node_"&amp;D1239&amp;"_name"</f>
        <v>s1_node_archive_name</v>
      </c>
      <c r="F1239" s="13" t="str">
        <f>"s1_node_"&amp;D1239&amp;"_desc"</f>
        <v>s1_node_archive_desc</v>
      </c>
      <c r="G1239" s="0" t="s">
        <v>149</v>
      </c>
      <c r="H1239" s="0">
        <v>5</v>
      </c>
      <c r="I1239" s="0" t="s">
        <v>27</v>
      </c>
      <c r="J1239" s="0" t="s">
        <v>1222</v>
      </c>
      <c r="K1239" s="0">
        <v>3130</v>
      </c>
      <c r="L1239" s="13">
        <v>3</v>
      </c>
      <c r="M1239" s="0">
        <v>81</v>
      </c>
      <c r="N1239" s="0">
        <v>4</v>
      </c>
      <c r="P1239" s="0" t="s">
        <v>1223</v>
      </c>
      <c r="T1239" s="0" t="str">
        <f>_xlfn.TEXTJOIN("_",TRUE,C1239,"node_eff",D1239,M1239,N1239)</f>
        <v>s1_node_eff_archive_81_4</v>
      </c>
    </row>
    <row r="1240" spans="1:20" x14ac:dyDescent="0.45">
      <c r="A1240" s="0" t="str">
        <f>_xlfn.TEXTJOIN("_",TRUE,C1240,"node",D1240,M1240,N1240)</f>
        <v>s1_node_archive_82_2</v>
      </c>
      <c r="B1240" s="0" t="s">
        <v>0</v>
      </c>
      <c r="C1240" s="0" t="s">
        <v>26</v>
      </c>
      <c r="D1240" s="0" t="s">
        <v>107</v>
      </c>
      <c r="E1240" s="0" t="str">
        <f>"s1_node_"&amp;D1240&amp;"_name"</f>
        <v>s1_node_archive_name</v>
      </c>
      <c r="F1240" s="13" t="str">
        <f>"s1_node_"&amp;D1240&amp;"_desc"</f>
        <v>s1_node_archive_desc</v>
      </c>
      <c r="G1240" s="0" t="s">
        <v>149</v>
      </c>
      <c r="H1240" s="0">
        <v>5</v>
      </c>
      <c r="I1240" s="0" t="s">
        <v>27</v>
      </c>
      <c r="J1240" s="0" t="s">
        <v>388</v>
      </c>
      <c r="K1240" s="0">
        <v>3170</v>
      </c>
      <c r="L1240" s="13">
        <v>3</v>
      </c>
      <c r="M1240" s="0">
        <v>82</v>
      </c>
      <c r="N1240" s="0">
        <v>2</v>
      </c>
      <c r="T1240" s="0" t="str">
        <f>_xlfn.TEXTJOIN("_",TRUE,C1240,"node_eff",D1240,M1240,N1240)</f>
        <v>s1_node_eff_archive_82_2</v>
      </c>
    </row>
    <row r="1241" spans="1:20" x14ac:dyDescent="0.45">
      <c r="A1241" s="0" t="str">
        <f>_xlfn.TEXTJOIN("_",TRUE,C1241,"node",D1241,M1241,N1241)</f>
        <v>s1_node_archive_82_4</v>
      </c>
      <c r="B1241" s="0" t="s">
        <v>0</v>
      </c>
      <c r="C1241" s="0" t="s">
        <v>26</v>
      </c>
      <c r="D1241" s="0" t="s">
        <v>107</v>
      </c>
      <c r="E1241" s="0" t="str">
        <f>"s1_node_"&amp;D1241&amp;"_name"</f>
        <v>s1_node_archive_name</v>
      </c>
      <c r="F1241" s="13" t="str">
        <f>"s1_node_"&amp;D1241&amp;"_desc"</f>
        <v>s1_node_archive_desc</v>
      </c>
      <c r="G1241" s="0" t="s">
        <v>795</v>
      </c>
      <c r="H1241" s="0">
        <v>5</v>
      </c>
      <c r="I1241" s="0" t="s">
        <v>27</v>
      </c>
      <c r="J1241" s="0" t="s">
        <v>388</v>
      </c>
      <c r="K1241" s="0">
        <v>3170</v>
      </c>
      <c r="L1241" s="13">
        <v>3</v>
      </c>
      <c r="M1241" s="0">
        <v>82</v>
      </c>
      <c r="N1241" s="0">
        <v>4</v>
      </c>
      <c r="T1241" s="0" t="str">
        <f>_xlfn.TEXTJOIN("_",TRUE,C1241,"node_eff",D1241,M1241,N1241)</f>
        <v>s1_node_eff_archive_82_4</v>
      </c>
    </row>
    <row r="1242" spans="1:20" x14ac:dyDescent="0.45">
      <c r="A1242" s="0" t="str">
        <f>_xlfn.TEXTJOIN("_",TRUE,C1242,"node",D1242,M1242,N1242)</f>
        <v>s1_node_archive_82_6</v>
      </c>
      <c r="B1242" s="0" t="s">
        <v>0</v>
      </c>
      <c r="C1242" s="0" t="s">
        <v>26</v>
      </c>
      <c r="D1242" s="0" t="s">
        <v>107</v>
      </c>
      <c r="E1242" s="0" t="str">
        <f>"s1_node_"&amp;D1242&amp;"_name"</f>
        <v>s1_node_archive_name</v>
      </c>
      <c r="F1242" s="13" t="str">
        <f>"s1_node_"&amp;D1242&amp;"_desc"</f>
        <v>s1_node_archive_desc</v>
      </c>
      <c r="G1242" s="0" t="s">
        <v>149</v>
      </c>
      <c r="H1242" s="0">
        <v>5</v>
      </c>
      <c r="I1242" s="0" t="s">
        <v>27</v>
      </c>
      <c r="J1242" s="0" t="s">
        <v>388</v>
      </c>
      <c r="K1242" s="0">
        <v>3170</v>
      </c>
      <c r="L1242" s="13">
        <v>3</v>
      </c>
      <c r="M1242" s="0">
        <v>82</v>
      </c>
      <c r="N1242" s="0">
        <v>6</v>
      </c>
      <c r="T1242" s="0" t="str">
        <f>_xlfn.TEXTJOIN("_",TRUE,C1242,"node_eff",D1242,M1242,N1242)</f>
        <v>s1_node_eff_archive_82_6</v>
      </c>
    </row>
    <row r="1243" spans="1:20" x14ac:dyDescent="0.45">
      <c r="A1243" s="0" t="str">
        <f>_xlfn.TEXTJOIN("_",TRUE,C1243,"node",D1243,M1243,N1243)</f>
        <v>s1_node_archive_83_2</v>
      </c>
      <c r="B1243" s="0" t="s">
        <v>0</v>
      </c>
      <c r="C1243" s="0" t="s">
        <v>26</v>
      </c>
      <c r="D1243" s="0" t="s">
        <v>107</v>
      </c>
      <c r="E1243" s="0" t="str">
        <f>"s1_node_"&amp;D1243&amp;"_name"</f>
        <v>s1_node_archive_name</v>
      </c>
      <c r="F1243" s="13" t="str">
        <f>"s1_node_"&amp;D1243&amp;"_desc"</f>
        <v>s1_node_archive_desc</v>
      </c>
      <c r="G1243" s="0" t="s">
        <v>149</v>
      </c>
      <c r="H1243" s="0">
        <v>5</v>
      </c>
      <c r="I1243" s="0" t="s">
        <v>27</v>
      </c>
      <c r="J1243" s="0" t="s">
        <v>916</v>
      </c>
      <c r="K1243" s="0">
        <v>3200</v>
      </c>
      <c r="L1243" s="13">
        <v>3</v>
      </c>
      <c r="M1243" s="0">
        <v>83</v>
      </c>
      <c r="N1243" s="0">
        <v>2</v>
      </c>
      <c r="P1243" s="0" t="s">
        <v>1224</v>
      </c>
      <c r="T1243" s="0" t="str">
        <f>_xlfn.TEXTJOIN("_",TRUE,C1243,"node_eff",D1243,M1243,N1243)</f>
        <v>s1_node_eff_archive_83_2</v>
      </c>
    </row>
    <row r="1244" spans="1:20" x14ac:dyDescent="0.45">
      <c r="A1244" s="0" t="str">
        <f>_xlfn.TEXTJOIN("_",TRUE,C1244,"node",D1244,M1244,N1244)</f>
        <v>s1_node_archive_83_6</v>
      </c>
      <c r="B1244" s="0" t="s">
        <v>0</v>
      </c>
      <c r="C1244" s="0" t="s">
        <v>26</v>
      </c>
      <c r="D1244" s="0" t="s">
        <v>107</v>
      </c>
      <c r="E1244" s="0" t="str">
        <f>"s1_node_"&amp;D1244&amp;"_name"</f>
        <v>s1_node_archive_name</v>
      </c>
      <c r="F1244" s="13" t="str">
        <f>"s1_node_"&amp;D1244&amp;"_desc"</f>
        <v>s1_node_archive_desc</v>
      </c>
      <c r="G1244" s="0" t="s">
        <v>149</v>
      </c>
      <c r="H1244" s="0">
        <v>5</v>
      </c>
      <c r="I1244" s="0" t="s">
        <v>27</v>
      </c>
      <c r="J1244" s="0" t="s">
        <v>916</v>
      </c>
      <c r="K1244" s="0">
        <v>3200</v>
      </c>
      <c r="L1244" s="13">
        <v>3</v>
      </c>
      <c r="M1244" s="0">
        <v>83</v>
      </c>
      <c r="N1244" s="0">
        <v>6</v>
      </c>
      <c r="P1244" s="0" t="s">
        <v>1225</v>
      </c>
      <c r="T1244" s="0" t="str">
        <f>_xlfn.TEXTJOIN("_",TRUE,C1244,"node_eff",D1244,M1244,N1244)</f>
        <v>s1_node_eff_archive_83_6</v>
      </c>
    </row>
    <row r="1245" spans="1:20" x14ac:dyDescent="0.45">
      <c r="A1245" s="0" t="str">
        <f>_xlfn.TEXTJOIN("_",TRUE,C1245,"node",D1245,M1245,N1245)</f>
        <v>s1_node_archive_84_2</v>
      </c>
      <c r="B1245" s="0" t="s">
        <v>0</v>
      </c>
      <c r="C1245" s="0" t="s">
        <v>26</v>
      </c>
      <c r="D1245" s="0" t="s">
        <v>107</v>
      </c>
      <c r="E1245" s="0" t="str">
        <f>"s1_node_"&amp;D1245&amp;"_name"</f>
        <v>s1_node_archive_name</v>
      </c>
      <c r="F1245" s="13" t="str">
        <f>"s1_node_"&amp;D1245&amp;"_desc"</f>
        <v>s1_node_archive_desc</v>
      </c>
      <c r="G1245" s="0" t="s">
        <v>422</v>
      </c>
      <c r="H1245" s="0">
        <v>5</v>
      </c>
      <c r="I1245" s="0" t="s">
        <v>27</v>
      </c>
      <c r="J1245" s="0" t="s">
        <v>394</v>
      </c>
      <c r="K1245" s="0">
        <v>3240</v>
      </c>
      <c r="L1245" s="13">
        <v>3</v>
      </c>
      <c r="M1245" s="0">
        <v>84</v>
      </c>
      <c r="N1245" s="0">
        <v>2</v>
      </c>
      <c r="T1245" s="0" t="str">
        <f>_xlfn.TEXTJOIN("_",TRUE,C1245,"node_eff",D1245,M1245,N1245)</f>
        <v>s1_node_eff_archive_84_2</v>
      </c>
    </row>
    <row r="1246" spans="1:20" x14ac:dyDescent="0.45">
      <c r="A1246" s="0" t="str">
        <f>_xlfn.TEXTJOIN("_",TRUE,C1246,"node",D1246,M1246,N1246)</f>
        <v>s1_node_archive_84_4</v>
      </c>
      <c r="B1246" s="0" t="s">
        <v>0</v>
      </c>
      <c r="C1246" s="0" t="s">
        <v>26</v>
      </c>
      <c r="D1246" s="0" t="s">
        <v>107</v>
      </c>
      <c r="E1246" s="0" t="str">
        <f>"s1_node_"&amp;D1246&amp;"_name"</f>
        <v>s1_node_archive_name</v>
      </c>
      <c r="F1246" s="13" t="str">
        <f>"s1_node_"&amp;D1246&amp;"_desc"</f>
        <v>s1_node_archive_desc</v>
      </c>
      <c r="G1246" s="0" t="s">
        <v>422</v>
      </c>
      <c r="H1246" s="0">
        <v>5</v>
      </c>
      <c r="I1246" s="0" t="s">
        <v>27</v>
      </c>
      <c r="J1246" s="0" t="s">
        <v>394</v>
      </c>
      <c r="K1246" s="0">
        <v>3240</v>
      </c>
      <c r="L1246" s="13">
        <v>3</v>
      </c>
      <c r="M1246" s="0">
        <v>84</v>
      </c>
      <c r="N1246" s="0">
        <v>4</v>
      </c>
      <c r="P1246" s="0" t="s">
        <v>1226</v>
      </c>
      <c r="T1246" s="0" t="str">
        <f>_xlfn.TEXTJOIN("_",TRUE,C1246,"node_eff",D1246,M1246,N1246)</f>
        <v>s1_node_eff_archive_84_4</v>
      </c>
    </row>
    <row r="1247" spans="1:20" x14ac:dyDescent="0.45">
      <c r="A1247" s="0" t="str">
        <f>_xlfn.TEXTJOIN("_",TRUE,C1247,"node",D1247,M1247,N1247)</f>
        <v>s1_node_archive_84_6</v>
      </c>
      <c r="B1247" s="0" t="s">
        <v>0</v>
      </c>
      <c r="C1247" s="0" t="s">
        <v>26</v>
      </c>
      <c r="D1247" s="0" t="s">
        <v>107</v>
      </c>
      <c r="E1247" s="0" t="str">
        <f>"s1_node_"&amp;D1247&amp;"_name"</f>
        <v>s1_node_archive_name</v>
      </c>
      <c r="F1247" s="13" t="str">
        <f>"s1_node_"&amp;D1247&amp;"_desc"</f>
        <v>s1_node_archive_desc</v>
      </c>
      <c r="G1247" s="0" t="s">
        <v>615</v>
      </c>
      <c r="H1247" s="0">
        <v>5</v>
      </c>
      <c r="I1247" s="0" t="s">
        <v>27</v>
      </c>
      <c r="J1247" s="0" t="s">
        <v>394</v>
      </c>
      <c r="K1247" s="0">
        <v>3240</v>
      </c>
      <c r="L1247" s="13">
        <v>3</v>
      </c>
      <c r="M1247" s="0">
        <v>84</v>
      </c>
      <c r="N1247" s="0">
        <v>6</v>
      </c>
      <c r="T1247" s="0" t="str">
        <f>_xlfn.TEXTJOIN("_",TRUE,C1247,"node_eff",D1247,M1247,N1247)</f>
        <v>s1_node_eff_archive_84_6</v>
      </c>
    </row>
    <row r="1248" spans="1:20" x14ac:dyDescent="0.45">
      <c r="A1248" s="0" t="str">
        <f>_xlfn.TEXTJOIN("_",TRUE,C1248,"node",D1248,M1248,N1248)</f>
        <v>s1_node_archive_85_2</v>
      </c>
      <c r="B1248" s="0" t="s">
        <v>0</v>
      </c>
      <c r="C1248" s="0" t="s">
        <v>26</v>
      </c>
      <c r="D1248" s="0" t="s">
        <v>107</v>
      </c>
      <c r="E1248" s="0" t="str">
        <f>"s1_node_"&amp;D1248&amp;"_name"</f>
        <v>s1_node_archive_name</v>
      </c>
      <c r="F1248" s="13" t="str">
        <f>"s1_node_"&amp;D1248&amp;"_desc"</f>
        <v>s1_node_archive_desc</v>
      </c>
      <c r="G1248" s="0" t="s">
        <v>788</v>
      </c>
      <c r="H1248" s="0">
        <v>5</v>
      </c>
      <c r="I1248" s="0" t="s">
        <v>27</v>
      </c>
      <c r="J1248" s="0" t="s">
        <v>396</v>
      </c>
      <c r="K1248" s="0">
        <v>3280</v>
      </c>
      <c r="L1248" s="13">
        <v>3</v>
      </c>
      <c r="M1248" s="0">
        <v>85</v>
      </c>
      <c r="N1248" s="0">
        <v>2</v>
      </c>
      <c r="P1248" s="0" t="s">
        <v>1227</v>
      </c>
      <c r="T1248" s="0" t="str">
        <f>_xlfn.TEXTJOIN("_",TRUE,C1248,"node_eff",D1248,M1248,N1248)</f>
        <v>s1_node_eff_archive_85_2</v>
      </c>
    </row>
    <row r="1249" spans="1:20" x14ac:dyDescent="0.45">
      <c r="A1249" s="0" t="str">
        <f>_xlfn.TEXTJOIN("_",TRUE,C1249,"node",D1249,M1249,N1249)</f>
        <v>s1_node_archive_85_6</v>
      </c>
      <c r="B1249" s="0" t="s">
        <v>0</v>
      </c>
      <c r="C1249" s="0" t="s">
        <v>26</v>
      </c>
      <c r="D1249" s="0" t="s">
        <v>107</v>
      </c>
      <c r="E1249" s="0" t="str">
        <f>"s1_node_"&amp;D1249&amp;"_name"</f>
        <v>s1_node_archive_name</v>
      </c>
      <c r="F1249" s="13" t="str">
        <f>"s1_node_"&amp;D1249&amp;"_desc"</f>
        <v>s1_node_archive_desc</v>
      </c>
      <c r="G1249" s="0" t="s">
        <v>149</v>
      </c>
      <c r="H1249" s="0">
        <v>5</v>
      </c>
      <c r="I1249" s="0" t="s">
        <v>27</v>
      </c>
      <c r="J1249" s="0" t="s">
        <v>396</v>
      </c>
      <c r="K1249" s="0">
        <v>3280</v>
      </c>
      <c r="L1249" s="13">
        <v>3</v>
      </c>
      <c r="M1249" s="0">
        <v>85</v>
      </c>
      <c r="N1249" s="0">
        <v>6</v>
      </c>
      <c r="P1249" s="0" t="s">
        <v>1228</v>
      </c>
      <c r="T1249" s="0" t="str">
        <f>_xlfn.TEXTJOIN("_",TRUE,C1249,"node_eff",D1249,M1249,N1249)</f>
        <v>s1_node_eff_archive_85_6</v>
      </c>
    </row>
    <row r="1250" spans="1:20" x14ac:dyDescent="0.45">
      <c r="A1250" s="0" t="str">
        <f>_xlfn.TEXTJOIN("_",TRUE,C1250,"node",D1250,M1250,N1250)</f>
        <v>s1_node_archive_86_4</v>
      </c>
      <c r="B1250" s="0" t="s">
        <v>0</v>
      </c>
      <c r="C1250" s="0" t="s">
        <v>26</v>
      </c>
      <c r="D1250" s="0" t="s">
        <v>107</v>
      </c>
      <c r="E1250" s="0" t="str">
        <f>"s1_node_"&amp;D1250&amp;"_name"</f>
        <v>s1_node_archive_name</v>
      </c>
      <c r="F1250" s="13" t="str">
        <f>"s1_node_"&amp;D1250&amp;"_desc"</f>
        <v>s1_node_archive_desc</v>
      </c>
      <c r="G1250" s="0" t="s">
        <v>149</v>
      </c>
      <c r="H1250" s="0">
        <v>5</v>
      </c>
      <c r="I1250" s="0" t="s">
        <v>27</v>
      </c>
      <c r="J1250" s="0" t="s">
        <v>399</v>
      </c>
      <c r="K1250" s="0">
        <v>3310</v>
      </c>
      <c r="L1250" s="13">
        <v>3</v>
      </c>
      <c r="M1250" s="0">
        <v>86</v>
      </c>
      <c r="N1250" s="0">
        <v>4</v>
      </c>
      <c r="P1250" s="0" t="s">
        <v>1229</v>
      </c>
      <c r="T1250" s="0" t="str">
        <f>_xlfn.TEXTJOIN("_",TRUE,C1250,"node_eff",D1250,M1250,N1250)</f>
        <v>s1_node_eff_archive_86_4</v>
      </c>
    </row>
    <row r="1251" spans="1:20" x14ac:dyDescent="0.45">
      <c r="A1251" s="0" t="str">
        <f>_xlfn.TEXTJOIN("_",TRUE,C1251,"node",D1251,M1251,N1251)</f>
        <v>s1_node_archive_87_2</v>
      </c>
      <c r="B1251" s="0" t="s">
        <v>0</v>
      </c>
      <c r="C1251" s="0" t="s">
        <v>26</v>
      </c>
      <c r="D1251" s="0" t="s">
        <v>107</v>
      </c>
      <c r="E1251" s="0" t="str">
        <f>"s1_node_"&amp;D1251&amp;"_name"</f>
        <v>s1_node_archive_name</v>
      </c>
      <c r="F1251" s="13" t="str">
        <f>"s1_node_"&amp;D1251&amp;"_desc"</f>
        <v>s1_node_archive_desc</v>
      </c>
      <c r="G1251" s="0" t="s">
        <v>795</v>
      </c>
      <c r="H1251" s="0">
        <v>5</v>
      </c>
      <c r="I1251" s="0" t="s">
        <v>27</v>
      </c>
      <c r="J1251" s="0" t="s">
        <v>402</v>
      </c>
      <c r="K1251" s="0">
        <v>3350</v>
      </c>
      <c r="L1251" s="13">
        <v>3</v>
      </c>
      <c r="M1251" s="0">
        <v>87</v>
      </c>
      <c r="N1251" s="0">
        <v>2</v>
      </c>
      <c r="T1251" s="0" t="str">
        <f>_xlfn.TEXTJOIN("_",TRUE,C1251,"node_eff",D1251,M1251,N1251)</f>
        <v>s1_node_eff_archive_87_2</v>
      </c>
    </row>
    <row r="1252" spans="1:20" x14ac:dyDescent="0.45">
      <c r="A1252" s="0" t="str">
        <f>_xlfn.TEXTJOIN("_",TRUE,C1252,"node",D1252,M1252,N1252)</f>
        <v>s1_node_archive_87_4</v>
      </c>
      <c r="B1252" s="0" t="s">
        <v>0</v>
      </c>
      <c r="C1252" s="0" t="s">
        <v>26</v>
      </c>
      <c r="D1252" s="0" t="s">
        <v>107</v>
      </c>
      <c r="E1252" s="0" t="str">
        <f>"s1_node_"&amp;D1252&amp;"_name"</f>
        <v>s1_node_archive_name</v>
      </c>
      <c r="F1252" s="13" t="str">
        <f>"s1_node_"&amp;D1252&amp;"_desc"</f>
        <v>s1_node_archive_desc</v>
      </c>
      <c r="G1252" s="0" t="s">
        <v>149</v>
      </c>
      <c r="H1252" s="0">
        <v>5</v>
      </c>
      <c r="I1252" s="0" t="s">
        <v>27</v>
      </c>
      <c r="J1252" s="0" t="s">
        <v>402</v>
      </c>
      <c r="K1252" s="0">
        <v>3350</v>
      </c>
      <c r="L1252" s="13">
        <v>3</v>
      </c>
      <c r="M1252" s="0">
        <v>87</v>
      </c>
      <c r="N1252" s="0">
        <v>4</v>
      </c>
      <c r="T1252" s="0" t="str">
        <f>_xlfn.TEXTJOIN("_",TRUE,C1252,"node_eff",D1252,M1252,N1252)</f>
        <v>s1_node_eff_archive_87_4</v>
      </c>
    </row>
    <row r="1253" spans="1:20" x14ac:dyDescent="0.45">
      <c r="A1253" s="0" t="str">
        <f>_xlfn.TEXTJOIN("_",TRUE,C1253,"node",D1253,M1253,N1253)</f>
        <v>s1_node_archive_87_6</v>
      </c>
      <c r="B1253" s="0" t="s">
        <v>0</v>
      </c>
      <c r="C1253" s="0" t="s">
        <v>26</v>
      </c>
      <c r="D1253" s="0" t="s">
        <v>107</v>
      </c>
      <c r="E1253" s="0" t="str">
        <f>"s1_node_"&amp;D1253&amp;"_name"</f>
        <v>s1_node_archive_name</v>
      </c>
      <c r="F1253" s="13" t="str">
        <f>"s1_node_"&amp;D1253&amp;"_desc"</f>
        <v>s1_node_archive_desc</v>
      </c>
      <c r="G1253" s="0" t="s">
        <v>149</v>
      </c>
      <c r="H1253" s="0">
        <v>5</v>
      </c>
      <c r="I1253" s="0" t="s">
        <v>27</v>
      </c>
      <c r="J1253" s="0" t="s">
        <v>402</v>
      </c>
      <c r="K1253" s="0">
        <v>3350</v>
      </c>
      <c r="L1253" s="13">
        <v>3</v>
      </c>
      <c r="M1253" s="0">
        <v>87</v>
      </c>
      <c r="N1253" s="0">
        <v>6</v>
      </c>
      <c r="T1253" s="0" t="str">
        <f>_xlfn.TEXTJOIN("_",TRUE,C1253,"node_eff",D1253,M1253,N1253)</f>
        <v>s1_node_eff_archive_87_6</v>
      </c>
    </row>
    <row r="1254" spans="1:20" x14ac:dyDescent="0.45">
      <c r="A1254" s="0" t="str">
        <f>_xlfn.TEXTJOIN("_",TRUE,C1254,"node",D1254,M1254,N1254)</f>
        <v>s1_node_archive_88_2</v>
      </c>
      <c r="B1254" s="0" t="s">
        <v>0</v>
      </c>
      <c r="C1254" s="0" t="s">
        <v>26</v>
      </c>
      <c r="D1254" s="0" t="s">
        <v>107</v>
      </c>
      <c r="E1254" s="0" t="str">
        <f>"s1_node_"&amp;D1254&amp;"_name"</f>
        <v>s1_node_archive_name</v>
      </c>
      <c r="F1254" s="13" t="str">
        <f>"s1_node_"&amp;D1254&amp;"_desc"</f>
        <v>s1_node_archive_desc</v>
      </c>
      <c r="G1254" s="0" t="s">
        <v>795</v>
      </c>
      <c r="H1254" s="0">
        <v>5</v>
      </c>
      <c r="I1254" s="0" t="s">
        <v>27</v>
      </c>
      <c r="J1254" s="0" t="s">
        <v>924</v>
      </c>
      <c r="K1254" s="0">
        <v>3390</v>
      </c>
      <c r="L1254" s="13">
        <v>3</v>
      </c>
      <c r="M1254" s="0">
        <v>88</v>
      </c>
      <c r="N1254" s="0">
        <v>2</v>
      </c>
      <c r="P1254" s="0" t="s">
        <v>1230</v>
      </c>
      <c r="T1254" s="0" t="str">
        <f>_xlfn.TEXTJOIN("_",TRUE,C1254,"node_eff",D1254,M1254,N1254)</f>
        <v>s1_node_eff_archive_88_2</v>
      </c>
    </row>
    <row r="1255" spans="1:20" x14ac:dyDescent="0.45">
      <c r="A1255" s="0" t="str">
        <f>_xlfn.TEXTJOIN("_",TRUE,C1255,"node",D1255,M1255,N1255)</f>
        <v>s1_node_archive_88_6</v>
      </c>
      <c r="B1255" s="0" t="s">
        <v>0</v>
      </c>
      <c r="C1255" s="0" t="s">
        <v>26</v>
      </c>
      <c r="D1255" s="0" t="s">
        <v>107</v>
      </c>
      <c r="E1255" s="0" t="str">
        <f>"s1_node_"&amp;D1255&amp;"_name"</f>
        <v>s1_node_archive_name</v>
      </c>
      <c r="F1255" s="13" t="str">
        <f>"s1_node_"&amp;D1255&amp;"_desc"</f>
        <v>s1_node_archive_desc</v>
      </c>
      <c r="G1255" s="0" t="s">
        <v>149</v>
      </c>
      <c r="H1255" s="0">
        <v>5</v>
      </c>
      <c r="I1255" s="0" t="s">
        <v>27</v>
      </c>
      <c r="J1255" s="0" t="s">
        <v>924</v>
      </c>
      <c r="K1255" s="0">
        <v>3390</v>
      </c>
      <c r="L1255" s="13">
        <v>3</v>
      </c>
      <c r="M1255" s="0">
        <v>88</v>
      </c>
      <c r="N1255" s="0">
        <v>6</v>
      </c>
      <c r="P1255" s="0" t="s">
        <v>1231</v>
      </c>
      <c r="T1255" s="0" t="str">
        <f>_xlfn.TEXTJOIN("_",TRUE,C1255,"node_eff",D1255,M1255,N1255)</f>
        <v>s1_node_eff_archive_88_6</v>
      </c>
    </row>
    <row r="1256" spans="1:20" x14ac:dyDescent="0.45">
      <c r="A1256" s="0" t="str">
        <f>_xlfn.TEXTJOIN("_",TRUE,C1256,"node",D1256,M1256,N1256)</f>
        <v>s1_node_archive_89_2</v>
      </c>
      <c r="B1256" s="0" t="s">
        <v>0</v>
      </c>
      <c r="C1256" s="0" t="s">
        <v>26</v>
      </c>
      <c r="D1256" s="0" t="s">
        <v>107</v>
      </c>
      <c r="E1256" s="0" t="str">
        <f>"s1_node_"&amp;D1256&amp;"_name"</f>
        <v>s1_node_archive_name</v>
      </c>
      <c r="F1256" s="13" t="str">
        <f>"s1_node_"&amp;D1256&amp;"_desc"</f>
        <v>s1_node_archive_desc</v>
      </c>
      <c r="G1256" s="0" t="s">
        <v>149</v>
      </c>
      <c r="H1256" s="0">
        <v>5</v>
      </c>
      <c r="I1256" s="0" t="s">
        <v>27</v>
      </c>
      <c r="J1256" s="0" t="s">
        <v>408</v>
      </c>
      <c r="K1256" s="0">
        <v>3420</v>
      </c>
      <c r="L1256" s="13">
        <v>3</v>
      </c>
      <c r="M1256" s="0">
        <v>89</v>
      </c>
      <c r="N1256" s="0">
        <v>2</v>
      </c>
      <c r="T1256" s="0" t="str">
        <f>_xlfn.TEXTJOIN("_",TRUE,C1256,"node_eff",D1256,M1256,N1256)</f>
        <v>s1_node_eff_archive_89_2</v>
      </c>
    </row>
    <row r="1257" spans="1:20" x14ac:dyDescent="0.45">
      <c r="A1257" s="0" t="str">
        <f>_xlfn.TEXTJOIN("_",TRUE,C1257,"node",D1257,M1257,N1257)</f>
        <v>s1_node_archive_89_4</v>
      </c>
      <c r="B1257" s="0" t="s">
        <v>0</v>
      </c>
      <c r="C1257" s="0" t="s">
        <v>26</v>
      </c>
      <c r="D1257" s="0" t="s">
        <v>107</v>
      </c>
      <c r="E1257" s="0" t="str">
        <f>"s1_node_"&amp;D1257&amp;"_name"</f>
        <v>s1_node_archive_name</v>
      </c>
      <c r="F1257" s="13" t="str">
        <f>"s1_node_"&amp;D1257&amp;"_desc"</f>
        <v>s1_node_archive_desc</v>
      </c>
      <c r="G1257" s="0" t="s">
        <v>149</v>
      </c>
      <c r="H1257" s="0">
        <v>5</v>
      </c>
      <c r="I1257" s="0" t="s">
        <v>27</v>
      </c>
      <c r="J1257" s="0" t="s">
        <v>408</v>
      </c>
      <c r="K1257" s="0">
        <v>3420</v>
      </c>
      <c r="L1257" s="13">
        <v>3</v>
      </c>
      <c r="M1257" s="0">
        <v>89</v>
      </c>
      <c r="N1257" s="0">
        <v>4</v>
      </c>
      <c r="P1257" s="0" t="s">
        <v>1232</v>
      </c>
      <c r="T1257" s="0" t="str">
        <f>_xlfn.TEXTJOIN("_",TRUE,C1257,"node_eff",D1257,M1257,N1257)</f>
        <v>s1_node_eff_archive_89_4</v>
      </c>
    </row>
    <row r="1258" spans="1:20" x14ac:dyDescent="0.45">
      <c r="A1258" s="0" t="str">
        <f>_xlfn.TEXTJOIN("_",TRUE,C1258,"node",D1258,M1258,N1258)</f>
        <v>s1_node_archive_89_6</v>
      </c>
      <c r="B1258" s="0" t="s">
        <v>0</v>
      </c>
      <c r="C1258" s="0" t="s">
        <v>26</v>
      </c>
      <c r="D1258" s="0" t="s">
        <v>107</v>
      </c>
      <c r="E1258" s="0" t="str">
        <f>"s1_node_"&amp;D1258&amp;"_name"</f>
        <v>s1_node_archive_name</v>
      </c>
      <c r="F1258" s="13" t="str">
        <f>"s1_node_"&amp;D1258&amp;"_desc"</f>
        <v>s1_node_archive_desc</v>
      </c>
      <c r="G1258" s="0" t="s">
        <v>422</v>
      </c>
      <c r="H1258" s="0">
        <v>5</v>
      </c>
      <c r="I1258" s="0" t="s">
        <v>27</v>
      </c>
      <c r="J1258" s="0" t="s">
        <v>408</v>
      </c>
      <c r="K1258" s="0">
        <v>3420</v>
      </c>
      <c r="L1258" s="13">
        <v>3</v>
      </c>
      <c r="M1258" s="0">
        <v>89</v>
      </c>
      <c r="N1258" s="0">
        <v>6</v>
      </c>
      <c r="T1258" s="0" t="str">
        <f>_xlfn.TEXTJOIN("_",TRUE,C1258,"node_eff",D1258,M1258,N1258)</f>
        <v>s1_node_eff_archive_89_6</v>
      </c>
    </row>
    <row r="1259" spans="1:20" x14ac:dyDescent="0.45">
      <c r="A1259" s="0" t="str">
        <f>_xlfn.TEXTJOIN("_",TRUE,C1259,"node",D1259,M1259,N1259)</f>
        <v>s1_node_archive_90_2</v>
      </c>
      <c r="B1259" s="0" t="s">
        <v>0</v>
      </c>
      <c r="C1259" s="0" t="s">
        <v>26</v>
      </c>
      <c r="D1259" s="0" t="s">
        <v>107</v>
      </c>
      <c r="E1259" s="0" t="str">
        <f>"s1_node_"&amp;D1259&amp;"_name"</f>
        <v>s1_node_archive_name</v>
      </c>
      <c r="F1259" s="13" t="str">
        <f>"s1_node_"&amp;D1259&amp;"_desc"</f>
        <v>s1_node_archive_desc</v>
      </c>
      <c r="G1259" s="0" t="s">
        <v>422</v>
      </c>
      <c r="H1259" s="0">
        <v>5</v>
      </c>
      <c r="I1259" s="0" t="s">
        <v>27</v>
      </c>
      <c r="J1259" s="0" t="s">
        <v>927</v>
      </c>
      <c r="K1259" s="0">
        <v>3460</v>
      </c>
      <c r="L1259" s="13">
        <v>3</v>
      </c>
      <c r="M1259" s="0">
        <v>90</v>
      </c>
      <c r="N1259" s="0">
        <v>2</v>
      </c>
      <c r="P1259" s="0" t="s">
        <v>1233</v>
      </c>
      <c r="T1259" s="0" t="str">
        <f>_xlfn.TEXTJOIN("_",TRUE,C1259,"node_eff",D1259,M1259,N1259)</f>
        <v>s1_node_eff_archive_90_2</v>
      </c>
    </row>
    <row r="1260" spans="1:20" x14ac:dyDescent="0.45">
      <c r="A1260" s="0" t="str">
        <f>_xlfn.TEXTJOIN("_",TRUE,C1260,"node",D1260,M1260,N1260)</f>
        <v>s1_node_archive_90_6</v>
      </c>
      <c r="B1260" s="0" t="s">
        <v>0</v>
      </c>
      <c r="C1260" s="0" t="s">
        <v>26</v>
      </c>
      <c r="D1260" s="0" t="s">
        <v>107</v>
      </c>
      <c r="E1260" s="0" t="str">
        <f>"s1_node_"&amp;D1260&amp;"_name"</f>
        <v>s1_node_archive_name</v>
      </c>
      <c r="F1260" s="13" t="str">
        <f>"s1_node_"&amp;D1260&amp;"_desc"</f>
        <v>s1_node_archive_desc</v>
      </c>
      <c r="G1260" s="0" t="s">
        <v>615</v>
      </c>
      <c r="H1260" s="0">
        <v>5</v>
      </c>
      <c r="I1260" s="0" t="s">
        <v>27</v>
      </c>
      <c r="J1260" s="0" t="s">
        <v>927</v>
      </c>
      <c r="K1260" s="0">
        <v>3460</v>
      </c>
      <c r="L1260" s="13">
        <v>3</v>
      </c>
      <c r="M1260" s="0">
        <v>90</v>
      </c>
      <c r="N1260" s="0">
        <v>6</v>
      </c>
      <c r="P1260" s="0" t="s">
        <v>1234</v>
      </c>
      <c r="T1260" s="0" t="str">
        <f>_xlfn.TEXTJOIN("_",TRUE,C1260,"node_eff",D1260,M1260,N1260)</f>
        <v>s1_node_eff_archive_90_6</v>
      </c>
    </row>
    <row r="1261" spans="1:20" x14ac:dyDescent="0.45">
      <c r="A1261" s="0" t="str">
        <f>_xlfn.TEXTJOIN("_",TRUE,C1261,"node",D1261,M1261,N1261)</f>
        <v>s1_node_archive_91_4</v>
      </c>
      <c r="B1261" s="0" t="s">
        <v>0</v>
      </c>
      <c r="C1261" s="0" t="s">
        <v>26</v>
      </c>
      <c r="D1261" s="0" t="s">
        <v>107</v>
      </c>
      <c r="E1261" s="0" t="str">
        <f>"s1_node_"&amp;D1261&amp;"_name"</f>
        <v>s1_node_archive_name</v>
      </c>
      <c r="F1261" s="13" t="str">
        <f>"s1_node_"&amp;D1261&amp;"_desc"</f>
        <v>s1_node_archive_desc</v>
      </c>
      <c r="G1261" s="0" t="s">
        <v>788</v>
      </c>
      <c r="H1261" s="0">
        <v>5</v>
      </c>
      <c r="I1261" s="0" t="s">
        <v>27</v>
      </c>
      <c r="J1261" s="0" t="s">
        <v>930</v>
      </c>
      <c r="K1261" s="0">
        <v>3500</v>
      </c>
      <c r="L1261" s="13">
        <v>3</v>
      </c>
      <c r="M1261" s="0">
        <v>91</v>
      </c>
      <c r="N1261" s="0">
        <v>4</v>
      </c>
      <c r="P1261" s="0" t="s">
        <v>1235</v>
      </c>
      <c r="T1261" s="0" t="str">
        <f>_xlfn.TEXTJOIN("_",TRUE,C1261,"node_eff",D1261,M1261,N1261)</f>
        <v>s1_node_eff_archive_91_4</v>
      </c>
    </row>
    <row r="1262" spans="1:20" x14ac:dyDescent="0.45">
      <c r="A1262" s="0" t="str">
        <f>_xlfn.TEXTJOIN("_",TRUE,C1262,"node",D1262,M1262,N1262)</f>
        <v>s1_node_archive_92_2</v>
      </c>
      <c r="B1262" s="0" t="s">
        <v>0</v>
      </c>
      <c r="C1262" s="0" t="s">
        <v>26</v>
      </c>
      <c r="D1262" s="0" t="s">
        <v>107</v>
      </c>
      <c r="E1262" s="0" t="str">
        <f>"s1_node_"&amp;D1262&amp;"_name"</f>
        <v>s1_node_archive_name</v>
      </c>
      <c r="F1262" s="13" t="str">
        <f>"s1_node_"&amp;D1262&amp;"_desc"</f>
        <v>s1_node_archive_desc</v>
      </c>
      <c r="G1262" s="0" t="s">
        <v>149</v>
      </c>
      <c r="H1262" s="0">
        <v>5</v>
      </c>
      <c r="I1262" s="0" t="s">
        <v>27</v>
      </c>
      <c r="J1262" s="0" t="s">
        <v>606</v>
      </c>
      <c r="K1262" s="0">
        <v>3540</v>
      </c>
      <c r="L1262" s="13">
        <v>3</v>
      </c>
      <c r="M1262" s="0">
        <v>92</v>
      </c>
      <c r="N1262" s="0">
        <v>2</v>
      </c>
      <c r="T1262" s="0" t="str">
        <f>_xlfn.TEXTJOIN("_",TRUE,C1262,"node_eff",D1262,M1262,N1262)</f>
        <v>s1_node_eff_archive_92_2</v>
      </c>
    </row>
    <row r="1263" spans="1:20" x14ac:dyDescent="0.45">
      <c r="A1263" s="0" t="str">
        <f>_xlfn.TEXTJOIN("_",TRUE,C1263,"node",D1263,M1263,N1263)</f>
        <v>s1_node_archive_92_4</v>
      </c>
      <c r="B1263" s="0" t="s">
        <v>0</v>
      </c>
      <c r="C1263" s="0" t="s">
        <v>26</v>
      </c>
      <c r="D1263" s="0" t="s">
        <v>107</v>
      </c>
      <c r="E1263" s="0" t="str">
        <f>"s1_node_"&amp;D1263&amp;"_name"</f>
        <v>s1_node_archive_name</v>
      </c>
      <c r="F1263" s="13" t="str">
        <f>"s1_node_"&amp;D1263&amp;"_desc"</f>
        <v>s1_node_archive_desc</v>
      </c>
      <c r="G1263" s="0" t="s">
        <v>149</v>
      </c>
      <c r="H1263" s="0">
        <v>5</v>
      </c>
      <c r="I1263" s="0" t="s">
        <v>27</v>
      </c>
      <c r="J1263" s="0" t="s">
        <v>606</v>
      </c>
      <c r="K1263" s="0">
        <v>3540</v>
      </c>
      <c r="L1263" s="13">
        <v>3</v>
      </c>
      <c r="M1263" s="0">
        <v>92</v>
      </c>
      <c r="N1263" s="0">
        <v>4</v>
      </c>
      <c r="T1263" s="0" t="str">
        <f>_xlfn.TEXTJOIN("_",TRUE,C1263,"node_eff",D1263,M1263,N1263)</f>
        <v>s1_node_eff_archive_92_4</v>
      </c>
    </row>
    <row r="1264" spans="1:20" x14ac:dyDescent="0.45">
      <c r="A1264" s="0" t="str">
        <f>_xlfn.TEXTJOIN("_",TRUE,C1264,"node",D1264,M1264,N1264)</f>
        <v>s1_node_archive_92_6</v>
      </c>
      <c r="B1264" s="0" t="s">
        <v>0</v>
      </c>
      <c r="C1264" s="0" t="s">
        <v>26</v>
      </c>
      <c r="D1264" s="0" t="s">
        <v>107</v>
      </c>
      <c r="E1264" s="0" t="str">
        <f>"s1_node_"&amp;D1264&amp;"_name"</f>
        <v>s1_node_archive_name</v>
      </c>
      <c r="F1264" s="13" t="str">
        <f>"s1_node_"&amp;D1264&amp;"_desc"</f>
        <v>s1_node_archive_desc</v>
      </c>
      <c r="G1264" s="0" t="s">
        <v>795</v>
      </c>
      <c r="H1264" s="0">
        <v>5</v>
      </c>
      <c r="I1264" s="0" t="s">
        <v>27</v>
      </c>
      <c r="J1264" s="0" t="s">
        <v>606</v>
      </c>
      <c r="K1264" s="0">
        <v>3540</v>
      </c>
      <c r="L1264" s="13">
        <v>3</v>
      </c>
      <c r="M1264" s="0">
        <v>92</v>
      </c>
      <c r="N1264" s="0">
        <v>6</v>
      </c>
      <c r="T1264" s="0" t="str">
        <f>_xlfn.TEXTJOIN("_",TRUE,C1264,"node_eff",D1264,M1264,N1264)</f>
        <v>s1_node_eff_archive_92_6</v>
      </c>
    </row>
    <row r="1265" spans="1:20" x14ac:dyDescent="0.45">
      <c r="A1265" s="0" t="str">
        <f>_xlfn.TEXTJOIN("_",TRUE,C1265,"node",D1265,M1265,N1265)</f>
        <v>s1_node_archive_93_2</v>
      </c>
      <c r="B1265" s="0" t="s">
        <v>0</v>
      </c>
      <c r="C1265" s="0" t="s">
        <v>26</v>
      </c>
      <c r="D1265" s="0" t="s">
        <v>107</v>
      </c>
      <c r="E1265" s="0" t="str">
        <f>"s1_node_"&amp;D1265&amp;"_name"</f>
        <v>s1_node_archive_name</v>
      </c>
      <c r="F1265" s="13" t="str">
        <f>"s1_node_"&amp;D1265&amp;"_desc"</f>
        <v>s1_node_archive_desc</v>
      </c>
      <c r="G1265" s="0" t="s">
        <v>149</v>
      </c>
      <c r="H1265" s="0">
        <v>5</v>
      </c>
      <c r="I1265" s="0" t="s">
        <v>27</v>
      </c>
      <c r="J1265" s="0" t="s">
        <v>1236</v>
      </c>
      <c r="K1265" s="0">
        <v>3570</v>
      </c>
      <c r="L1265" s="13">
        <v>3</v>
      </c>
      <c r="M1265" s="0">
        <v>93</v>
      </c>
      <c r="N1265" s="0">
        <v>2</v>
      </c>
      <c r="P1265" s="0" t="s">
        <v>1237</v>
      </c>
      <c r="T1265" s="0" t="str">
        <f>_xlfn.TEXTJOIN("_",TRUE,C1265,"node_eff",D1265,M1265,N1265)</f>
        <v>s1_node_eff_archive_93_2</v>
      </c>
    </row>
    <row r="1266" spans="1:20" x14ac:dyDescent="0.45">
      <c r="A1266" s="0" t="str">
        <f>_xlfn.TEXTJOIN("_",TRUE,C1266,"node",D1266,M1266,N1266)</f>
        <v>s1_node_archive_93_6</v>
      </c>
      <c r="B1266" s="0" t="s">
        <v>0</v>
      </c>
      <c r="C1266" s="0" t="s">
        <v>26</v>
      </c>
      <c r="D1266" s="0" t="s">
        <v>107</v>
      </c>
      <c r="E1266" s="0" t="str">
        <f>"s1_node_"&amp;D1266&amp;"_name"</f>
        <v>s1_node_archive_name</v>
      </c>
      <c r="F1266" s="13" t="str">
        <f>"s1_node_"&amp;D1266&amp;"_desc"</f>
        <v>s1_node_archive_desc</v>
      </c>
      <c r="G1266" s="0" t="s">
        <v>149</v>
      </c>
      <c r="H1266" s="0">
        <v>5</v>
      </c>
      <c r="I1266" s="0" t="s">
        <v>27</v>
      </c>
      <c r="J1266" s="0" t="s">
        <v>1236</v>
      </c>
      <c r="K1266" s="0">
        <v>3570</v>
      </c>
      <c r="L1266" s="13">
        <v>3</v>
      </c>
      <c r="M1266" s="0">
        <v>93</v>
      </c>
      <c r="N1266" s="0">
        <v>6</v>
      </c>
      <c r="P1266" s="0" t="s">
        <v>1238</v>
      </c>
      <c r="T1266" s="0" t="str">
        <f>_xlfn.TEXTJOIN("_",TRUE,C1266,"node_eff",D1266,M1266,N1266)</f>
        <v>s1_node_eff_archive_93_6</v>
      </c>
    </row>
    <row r="1267" spans="1:20" x14ac:dyDescent="0.45">
      <c r="A1267" s="0" t="str">
        <f>_xlfn.TEXTJOIN("_",TRUE,C1267,"node",D1267,M1267,N1267)</f>
        <v>s1_node_archive_94_2</v>
      </c>
      <c r="B1267" s="0" t="s">
        <v>0</v>
      </c>
      <c r="C1267" s="0" t="s">
        <v>26</v>
      </c>
      <c r="D1267" s="0" t="s">
        <v>107</v>
      </c>
      <c r="E1267" s="0" t="str">
        <f>"s1_node_"&amp;D1267&amp;"_name"</f>
        <v>s1_node_archive_name</v>
      </c>
      <c r="F1267" s="13" t="str">
        <f>"s1_node_"&amp;D1267&amp;"_desc"</f>
        <v>s1_node_archive_desc</v>
      </c>
      <c r="G1267" s="0" t="s">
        <v>795</v>
      </c>
      <c r="H1267" s="0">
        <v>5</v>
      </c>
      <c r="I1267" s="0" t="s">
        <v>27</v>
      </c>
      <c r="J1267" s="0" t="s">
        <v>610</v>
      </c>
      <c r="K1267" s="0">
        <v>3610</v>
      </c>
      <c r="L1267" s="13">
        <v>3</v>
      </c>
      <c r="M1267" s="0">
        <v>94</v>
      </c>
      <c r="N1267" s="0">
        <v>2</v>
      </c>
      <c r="T1267" s="0" t="str">
        <f>_xlfn.TEXTJOIN("_",TRUE,C1267,"node_eff",D1267,M1267,N1267)</f>
        <v>s1_node_eff_archive_94_2</v>
      </c>
    </row>
    <row r="1268" spans="1:20" x14ac:dyDescent="0.45">
      <c r="A1268" s="0" t="str">
        <f>_xlfn.TEXTJOIN("_",TRUE,C1268,"node",D1268,M1268,N1268)</f>
        <v>s1_node_archive_94_4</v>
      </c>
      <c r="B1268" s="0" t="s">
        <v>0</v>
      </c>
      <c r="C1268" s="0" t="s">
        <v>26</v>
      </c>
      <c r="D1268" s="0" t="s">
        <v>107</v>
      </c>
      <c r="E1268" s="0" t="str">
        <f>"s1_node_"&amp;D1268&amp;"_name"</f>
        <v>s1_node_archive_name</v>
      </c>
      <c r="F1268" s="13" t="str">
        <f>"s1_node_"&amp;D1268&amp;"_desc"</f>
        <v>s1_node_archive_desc</v>
      </c>
      <c r="G1268" s="0" t="s">
        <v>149</v>
      </c>
      <c r="H1268" s="0">
        <v>5</v>
      </c>
      <c r="I1268" s="0" t="s">
        <v>27</v>
      </c>
      <c r="J1268" s="0" t="s">
        <v>610</v>
      </c>
      <c r="K1268" s="0">
        <v>3610</v>
      </c>
      <c r="L1268" s="13">
        <v>3</v>
      </c>
      <c r="M1268" s="0">
        <v>94</v>
      </c>
      <c r="N1268" s="0">
        <v>4</v>
      </c>
      <c r="P1268" s="0" t="s">
        <v>1239</v>
      </c>
      <c r="T1268" s="0" t="str">
        <f>_xlfn.TEXTJOIN("_",TRUE,C1268,"node_eff",D1268,M1268,N1268)</f>
        <v>s1_node_eff_archive_94_4</v>
      </c>
    </row>
    <row r="1269" spans="1:20" x14ac:dyDescent="0.45">
      <c r="A1269" s="0" t="str">
        <f>_xlfn.TEXTJOIN("_",TRUE,C1269,"node",D1269,M1269,N1269)</f>
        <v>s1_node_archive_94_6</v>
      </c>
      <c r="B1269" s="0" t="s">
        <v>0</v>
      </c>
      <c r="C1269" s="0" t="s">
        <v>26</v>
      </c>
      <c r="D1269" s="0" t="s">
        <v>107</v>
      </c>
      <c r="E1269" s="0" t="str">
        <f>"s1_node_"&amp;D1269&amp;"_name"</f>
        <v>s1_node_archive_name</v>
      </c>
      <c r="F1269" s="13" t="str">
        <f>"s1_node_"&amp;D1269&amp;"_desc"</f>
        <v>s1_node_archive_desc</v>
      </c>
      <c r="G1269" s="0" t="s">
        <v>149</v>
      </c>
      <c r="H1269" s="0">
        <v>5</v>
      </c>
      <c r="I1269" s="0" t="s">
        <v>27</v>
      </c>
      <c r="J1269" s="0" t="s">
        <v>610</v>
      </c>
      <c r="K1269" s="0">
        <v>3610</v>
      </c>
      <c r="L1269" s="13">
        <v>3</v>
      </c>
      <c r="M1269" s="0">
        <v>94</v>
      </c>
      <c r="N1269" s="0">
        <v>6</v>
      </c>
      <c r="T1269" s="0" t="str">
        <f>_xlfn.TEXTJOIN("_",TRUE,C1269,"node_eff",D1269,M1269,N1269)</f>
        <v>s1_node_eff_archive_94_6</v>
      </c>
    </row>
    <row r="1270" spans="1:20" x14ac:dyDescent="0.45">
      <c r="A1270" s="0" t="str">
        <f>_xlfn.TEXTJOIN("_",TRUE,C1270,"node",D1270,M1270,N1270)</f>
        <v>s1_node_archive_95_2</v>
      </c>
      <c r="B1270" s="0" t="s">
        <v>0</v>
      </c>
      <c r="C1270" s="0" t="s">
        <v>26</v>
      </c>
      <c r="D1270" s="0" t="s">
        <v>107</v>
      </c>
      <c r="E1270" s="0" t="str">
        <f>"s1_node_"&amp;D1270&amp;"_name"</f>
        <v>s1_node_archive_name</v>
      </c>
      <c r="F1270" s="13" t="str">
        <f>"s1_node_"&amp;D1270&amp;"_desc"</f>
        <v>s1_node_archive_desc</v>
      </c>
      <c r="G1270" s="0" t="s">
        <v>149</v>
      </c>
      <c r="H1270" s="0">
        <v>5</v>
      </c>
      <c r="I1270" s="0" t="s">
        <v>27</v>
      </c>
      <c r="J1270" s="0" t="s">
        <v>612</v>
      </c>
      <c r="K1270" s="0">
        <v>3650</v>
      </c>
      <c r="L1270" s="13">
        <v>3</v>
      </c>
      <c r="M1270" s="0">
        <v>95</v>
      </c>
      <c r="N1270" s="0">
        <v>2</v>
      </c>
      <c r="P1270" s="0" t="s">
        <v>1240</v>
      </c>
      <c r="T1270" s="0" t="str">
        <f>_xlfn.TEXTJOIN("_",TRUE,C1270,"node_eff",D1270,M1270,N1270)</f>
        <v>s1_node_eff_archive_95_2</v>
      </c>
    </row>
    <row r="1271" spans="1:20" x14ac:dyDescent="0.45">
      <c r="A1271" s="0" t="str">
        <f>_xlfn.TEXTJOIN("_",TRUE,C1271,"node",D1271,M1271,N1271)</f>
        <v>s1_node_archive_95_6</v>
      </c>
      <c r="B1271" s="0" t="s">
        <v>0</v>
      </c>
      <c r="C1271" s="0" t="s">
        <v>26</v>
      </c>
      <c r="D1271" s="0" t="s">
        <v>107</v>
      </c>
      <c r="E1271" s="0" t="str">
        <f>"s1_node_"&amp;D1271&amp;"_name"</f>
        <v>s1_node_archive_name</v>
      </c>
      <c r="F1271" s="13" t="str">
        <f>"s1_node_"&amp;D1271&amp;"_desc"</f>
        <v>s1_node_archive_desc</v>
      </c>
      <c r="G1271" s="0" t="s">
        <v>422</v>
      </c>
      <c r="H1271" s="0">
        <v>5</v>
      </c>
      <c r="I1271" s="0" t="s">
        <v>27</v>
      </c>
      <c r="J1271" s="0" t="s">
        <v>612</v>
      </c>
      <c r="K1271" s="0">
        <v>3650</v>
      </c>
      <c r="L1271" s="13">
        <v>3</v>
      </c>
      <c r="M1271" s="0">
        <v>95</v>
      </c>
      <c r="N1271" s="0">
        <v>6</v>
      </c>
      <c r="P1271" s="0" t="s">
        <v>1241</v>
      </c>
      <c r="T1271" s="0" t="str">
        <f>_xlfn.TEXTJOIN("_",TRUE,C1271,"node_eff",D1271,M1271,N1271)</f>
        <v>s1_node_eff_archive_95_6</v>
      </c>
    </row>
    <row r="1272" spans="1:20" x14ac:dyDescent="0.45">
      <c r="A1272" s="0" t="str">
        <f>_xlfn.TEXTJOIN("_",TRUE,C1272,"node",D1272,M1272,N1272)</f>
        <v>s1_node_archive_96_4</v>
      </c>
      <c r="B1272" s="0" t="s">
        <v>0</v>
      </c>
      <c r="C1272" s="0" t="s">
        <v>26</v>
      </c>
      <c r="D1272" s="0" t="s">
        <v>107</v>
      </c>
      <c r="E1272" s="0" t="str">
        <f>"s1_node_"&amp;D1272&amp;"_name"</f>
        <v>s1_node_archive_name</v>
      </c>
      <c r="F1272" s="13" t="str">
        <f>"s1_node_"&amp;D1272&amp;"_desc"</f>
        <v>s1_node_archive_desc</v>
      </c>
      <c r="G1272" s="0" t="s">
        <v>422</v>
      </c>
      <c r="H1272" s="0">
        <v>5</v>
      </c>
      <c r="I1272" s="0" t="s">
        <v>27</v>
      </c>
      <c r="J1272" s="0" t="s">
        <v>1242</v>
      </c>
      <c r="K1272" s="0">
        <v>3680</v>
      </c>
      <c r="L1272" s="13">
        <v>3</v>
      </c>
      <c r="M1272" s="0">
        <v>96</v>
      </c>
      <c r="N1272" s="0">
        <v>4</v>
      </c>
      <c r="P1272" s="0" t="s">
        <v>1243</v>
      </c>
      <c r="T1272" s="0" t="str">
        <f>_xlfn.TEXTJOIN("_",TRUE,C1272,"node_eff",D1272,M1272,N1272)</f>
        <v>s1_node_eff_archive_96_4</v>
      </c>
    </row>
    <row r="1273" spans="1:20" x14ac:dyDescent="0.45">
      <c r="A1273" s="0" t="str">
        <f>_xlfn.TEXTJOIN("_",TRUE,C1273,"node",D1273,M1273,N1273)</f>
        <v>s1_node_archive_97_2</v>
      </c>
      <c r="B1273" s="0" t="s">
        <v>0</v>
      </c>
      <c r="C1273" s="0" t="s">
        <v>26</v>
      </c>
      <c r="D1273" s="0" t="s">
        <v>107</v>
      </c>
      <c r="E1273" s="0" t="str">
        <f>"s1_node_"&amp;D1273&amp;"_name"</f>
        <v>s1_node_archive_name</v>
      </c>
      <c r="F1273" s="13" t="str">
        <f>"s1_node_"&amp;D1273&amp;"_desc"</f>
        <v>s1_node_archive_desc</v>
      </c>
      <c r="G1273" s="0" t="s">
        <v>615</v>
      </c>
      <c r="H1273" s="0">
        <v>5</v>
      </c>
      <c r="I1273" s="0" t="s">
        <v>27</v>
      </c>
      <c r="J1273" s="0" t="s">
        <v>1244</v>
      </c>
      <c r="K1273" s="0">
        <v>3720</v>
      </c>
      <c r="L1273" s="13">
        <v>3</v>
      </c>
      <c r="M1273" s="0">
        <v>97</v>
      </c>
      <c r="N1273" s="0">
        <v>2</v>
      </c>
      <c r="T1273" s="0" t="str">
        <f>_xlfn.TEXTJOIN("_",TRUE,C1273,"node_eff",D1273,M1273,N1273)</f>
        <v>s1_node_eff_archive_97_2</v>
      </c>
    </row>
    <row r="1274" spans="1:20" x14ac:dyDescent="0.45">
      <c r="A1274" s="0" t="str">
        <f>_xlfn.TEXTJOIN("_",TRUE,C1274,"node",D1274,M1274,N1274)</f>
        <v>s1_node_archive_97_4</v>
      </c>
      <c r="B1274" s="0" t="s">
        <v>0</v>
      </c>
      <c r="C1274" s="0" t="s">
        <v>26</v>
      </c>
      <c r="D1274" s="0" t="s">
        <v>107</v>
      </c>
      <c r="E1274" s="0" t="str">
        <f>"s1_node_"&amp;D1274&amp;"_name"</f>
        <v>s1_node_archive_name</v>
      </c>
      <c r="F1274" s="13" t="str">
        <f>"s1_node_"&amp;D1274&amp;"_desc"</f>
        <v>s1_node_archive_desc</v>
      </c>
      <c r="G1274" s="0" t="s">
        <v>788</v>
      </c>
      <c r="H1274" s="0">
        <v>5</v>
      </c>
      <c r="I1274" s="0" t="s">
        <v>27</v>
      </c>
      <c r="J1274" s="0" t="s">
        <v>1244</v>
      </c>
      <c r="K1274" s="0">
        <v>3720</v>
      </c>
      <c r="L1274" s="13">
        <v>3</v>
      </c>
      <c r="M1274" s="0">
        <v>97</v>
      </c>
      <c r="N1274" s="0">
        <v>4</v>
      </c>
      <c r="T1274" s="0" t="str">
        <f>_xlfn.TEXTJOIN("_",TRUE,C1274,"node_eff",D1274,M1274,N1274)</f>
        <v>s1_node_eff_archive_97_4</v>
      </c>
    </row>
    <row r="1275" spans="1:20" x14ac:dyDescent="0.45">
      <c r="A1275" s="0" t="str">
        <f>_xlfn.TEXTJOIN("_",TRUE,C1275,"node",D1275,M1275,N1275)</f>
        <v>s1_node_archive_97_6</v>
      </c>
      <c r="B1275" s="0" t="s">
        <v>0</v>
      </c>
      <c r="C1275" s="0" t="s">
        <v>26</v>
      </c>
      <c r="D1275" s="0" t="s">
        <v>107</v>
      </c>
      <c r="E1275" s="0" t="str">
        <f>"s1_node_"&amp;D1275&amp;"_name"</f>
        <v>s1_node_archive_name</v>
      </c>
      <c r="F1275" s="13" t="str">
        <f>"s1_node_"&amp;D1275&amp;"_desc"</f>
        <v>s1_node_archive_desc</v>
      </c>
      <c r="G1275" s="0" t="s">
        <v>149</v>
      </c>
      <c r="H1275" s="0">
        <v>5</v>
      </c>
      <c r="I1275" s="0" t="s">
        <v>27</v>
      </c>
      <c r="J1275" s="0" t="s">
        <v>1244</v>
      </c>
      <c r="K1275" s="0">
        <v>3720</v>
      </c>
      <c r="L1275" s="13">
        <v>3</v>
      </c>
      <c r="M1275" s="0">
        <v>97</v>
      </c>
      <c r="N1275" s="0">
        <v>6</v>
      </c>
      <c r="T1275" s="0" t="str">
        <f>_xlfn.TEXTJOIN("_",TRUE,C1275,"node_eff",D1275,M1275,N1275)</f>
        <v>s1_node_eff_archive_97_6</v>
      </c>
    </row>
    <row r="1276" spans="1:20" x14ac:dyDescent="0.45">
      <c r="A1276" s="0" t="str">
        <f>_xlfn.TEXTJOIN("_",TRUE,C1276,"node",D1276,M1276,N1276)</f>
        <v>s1_node_archive_98_2</v>
      </c>
      <c r="B1276" s="0" t="s">
        <v>0</v>
      </c>
      <c r="C1276" s="0" t="s">
        <v>26</v>
      </c>
      <c r="D1276" s="0" t="s">
        <v>107</v>
      </c>
      <c r="E1276" s="0" t="str">
        <f>"s1_node_"&amp;D1276&amp;"_name"</f>
        <v>s1_node_archive_name</v>
      </c>
      <c r="F1276" s="13" t="str">
        <f>"s1_node_"&amp;D1276&amp;"_desc"</f>
        <v>s1_node_archive_desc</v>
      </c>
      <c r="G1276" s="0" t="s">
        <v>149</v>
      </c>
      <c r="H1276" s="0">
        <v>5</v>
      </c>
      <c r="I1276" s="0" t="s">
        <v>27</v>
      </c>
      <c r="J1276" s="0" t="s">
        <v>1245</v>
      </c>
      <c r="K1276" s="0">
        <v>3760</v>
      </c>
      <c r="L1276" s="13">
        <v>3</v>
      </c>
      <c r="M1276" s="0">
        <v>98</v>
      </c>
      <c r="N1276" s="0">
        <v>2</v>
      </c>
      <c r="P1276" s="0" t="s">
        <v>1246</v>
      </c>
      <c r="T1276" s="0" t="str">
        <f>_xlfn.TEXTJOIN("_",TRUE,C1276,"node_eff",D1276,M1276,N1276)</f>
        <v>s1_node_eff_archive_98_2</v>
      </c>
    </row>
    <row r="1277" spans="1:20" x14ac:dyDescent="0.45">
      <c r="A1277" s="0" t="str">
        <f>_xlfn.TEXTJOIN("_",TRUE,C1277,"node",D1277,M1277,N1277)</f>
        <v>s1_node_archive_98_6</v>
      </c>
      <c r="B1277" s="0" t="s">
        <v>0</v>
      </c>
      <c r="C1277" s="0" t="s">
        <v>26</v>
      </c>
      <c r="D1277" s="0" t="s">
        <v>107</v>
      </c>
      <c r="E1277" s="0" t="str">
        <f>"s1_node_"&amp;D1277&amp;"_name"</f>
        <v>s1_node_archive_name</v>
      </c>
      <c r="F1277" s="13" t="str">
        <f>"s1_node_"&amp;D1277&amp;"_desc"</f>
        <v>s1_node_archive_desc</v>
      </c>
      <c r="G1277" s="0" t="s">
        <v>795</v>
      </c>
      <c r="H1277" s="0">
        <v>5</v>
      </c>
      <c r="I1277" s="0" t="s">
        <v>27</v>
      </c>
      <c r="J1277" s="0" t="s">
        <v>1245</v>
      </c>
      <c r="K1277" s="0">
        <v>3760</v>
      </c>
      <c r="L1277" s="13">
        <v>3</v>
      </c>
      <c r="M1277" s="0">
        <v>98</v>
      </c>
      <c r="N1277" s="0">
        <v>6</v>
      </c>
      <c r="P1277" s="0" t="s">
        <v>1247</v>
      </c>
      <c r="T1277" s="0" t="str">
        <f>_xlfn.TEXTJOIN("_",TRUE,C1277,"node_eff",D1277,M1277,N1277)</f>
        <v>s1_node_eff_archive_98_6</v>
      </c>
    </row>
    <row r="1278" spans="1:20" x14ac:dyDescent="0.45">
      <c r="A1278" s="0" t="str">
        <f>_xlfn.TEXTJOIN("_",TRUE,C1278,"node",D1278,M1278,N1278)</f>
        <v>s1_node_archive_99_2</v>
      </c>
      <c r="B1278" s="0" t="s">
        <v>0</v>
      </c>
      <c r="C1278" s="0" t="s">
        <v>26</v>
      </c>
      <c r="D1278" s="0" t="s">
        <v>107</v>
      </c>
      <c r="E1278" s="0" t="str">
        <f>"s1_node_"&amp;D1278&amp;"_name"</f>
        <v>s1_node_archive_name</v>
      </c>
      <c r="F1278" s="13" t="str">
        <f>"s1_node_"&amp;D1278&amp;"_desc"</f>
        <v>s1_node_archive_desc</v>
      </c>
      <c r="G1278" s="0" t="s">
        <v>149</v>
      </c>
      <c r="H1278" s="0">
        <v>5</v>
      </c>
      <c r="I1278" s="0" t="s">
        <v>27</v>
      </c>
      <c r="J1278" s="0" t="s">
        <v>1089</v>
      </c>
      <c r="K1278" s="0">
        <v>3790</v>
      </c>
      <c r="L1278" s="13">
        <v>3</v>
      </c>
      <c r="M1278" s="0">
        <v>99</v>
      </c>
      <c r="N1278" s="0">
        <v>2</v>
      </c>
      <c r="T1278" s="0" t="str">
        <f>_xlfn.TEXTJOIN("_",TRUE,C1278,"node_eff",D1278,M1278,N1278)</f>
        <v>s1_node_eff_archive_99_2</v>
      </c>
    </row>
    <row r="1279" spans="1:20" x14ac:dyDescent="0.45">
      <c r="A1279" s="0" t="str">
        <f>_xlfn.TEXTJOIN("_",TRUE,C1279,"node",D1279,M1279,N1279)</f>
        <v>s1_node_archive_99_4</v>
      </c>
      <c r="B1279" s="0" t="s">
        <v>0</v>
      </c>
      <c r="C1279" s="0" t="s">
        <v>26</v>
      </c>
      <c r="D1279" s="0" t="s">
        <v>107</v>
      </c>
      <c r="E1279" s="0" t="str">
        <f>"s1_node_"&amp;D1279&amp;"_name"</f>
        <v>s1_node_archive_name</v>
      </c>
      <c r="F1279" s="13" t="str">
        <f>"s1_node_"&amp;D1279&amp;"_desc"</f>
        <v>s1_node_archive_desc</v>
      </c>
      <c r="G1279" s="0" t="s">
        <v>149</v>
      </c>
      <c r="H1279" s="0">
        <v>5</v>
      </c>
      <c r="I1279" s="0" t="s">
        <v>27</v>
      </c>
      <c r="J1279" s="0" t="s">
        <v>1089</v>
      </c>
      <c r="K1279" s="0">
        <v>3790</v>
      </c>
      <c r="L1279" s="13">
        <v>3</v>
      </c>
      <c r="M1279" s="0">
        <v>99</v>
      </c>
      <c r="N1279" s="0">
        <v>4</v>
      </c>
      <c r="P1279" s="0" t="s">
        <v>1248</v>
      </c>
      <c r="T1279" s="0" t="str">
        <f>_xlfn.TEXTJOIN("_",TRUE,C1279,"node_eff",D1279,M1279,N1279)</f>
        <v>s1_node_eff_archive_99_4</v>
      </c>
    </row>
    <row r="1280" spans="1:20" x14ac:dyDescent="0.45">
      <c r="A1280" s="0" t="str">
        <f>_xlfn.TEXTJOIN("_",TRUE,C1280,"node",D1280,M1280,N1280)</f>
        <v>s1_node_archive_99_6</v>
      </c>
      <c r="B1280" s="0" t="s">
        <v>0</v>
      </c>
      <c r="C1280" s="0" t="s">
        <v>26</v>
      </c>
      <c r="D1280" s="0" t="s">
        <v>107</v>
      </c>
      <c r="E1280" s="0" t="str">
        <f>"s1_node_"&amp;D1280&amp;"_name"</f>
        <v>s1_node_archive_name</v>
      </c>
      <c r="F1280" s="13" t="str">
        <f>"s1_node_"&amp;D1280&amp;"_desc"</f>
        <v>s1_node_archive_desc</v>
      </c>
      <c r="G1280" s="0" t="s">
        <v>795</v>
      </c>
      <c r="H1280" s="0">
        <v>5</v>
      </c>
      <c r="I1280" s="0" t="s">
        <v>27</v>
      </c>
      <c r="J1280" s="0" t="s">
        <v>1089</v>
      </c>
      <c r="K1280" s="0">
        <v>3790</v>
      </c>
      <c r="L1280" s="13">
        <v>3</v>
      </c>
      <c r="M1280" s="0">
        <v>99</v>
      </c>
      <c r="N1280" s="0">
        <v>6</v>
      </c>
      <c r="T1280" s="0" t="str">
        <f>_xlfn.TEXTJOIN("_",TRUE,C1280,"node_eff",D1280,M1280,N1280)</f>
        <v>s1_node_eff_archive_99_6</v>
      </c>
    </row>
    <row r="1281" spans="1:20" x14ac:dyDescent="0.45">
      <c r="A1281" s="0" t="str">
        <f>_xlfn.TEXTJOIN("_",TRUE,C1281,"node",D1281,M1281,N1281)</f>
        <v>s1_node_archive_100_2</v>
      </c>
      <c r="B1281" s="0" t="s">
        <v>0</v>
      </c>
      <c r="C1281" s="0" t="s">
        <v>26</v>
      </c>
      <c r="D1281" s="0" t="s">
        <v>107</v>
      </c>
      <c r="E1281" s="0" t="str">
        <f>"s1_node_"&amp;D1281&amp;"_name"</f>
        <v>s1_node_archive_name</v>
      </c>
      <c r="F1281" s="13" t="str">
        <f>"s1_node_"&amp;D1281&amp;"_desc"</f>
        <v>s1_node_archive_desc</v>
      </c>
      <c r="G1281" s="0" t="s">
        <v>149</v>
      </c>
      <c r="H1281" s="0">
        <v>5</v>
      </c>
      <c r="I1281" s="0" t="s">
        <v>27</v>
      </c>
      <c r="J1281" s="0" t="s">
        <v>1092</v>
      </c>
      <c r="K1281" s="0">
        <v>3830</v>
      </c>
      <c r="L1281" s="13">
        <v>3</v>
      </c>
      <c r="M1281" s="0">
        <v>100</v>
      </c>
      <c r="N1281" s="0">
        <v>2</v>
      </c>
      <c r="P1281" s="0" t="s">
        <v>1249</v>
      </c>
      <c r="T1281" s="0" t="str">
        <f>_xlfn.TEXTJOIN("_",TRUE,C1281,"node_eff",D1281,M1281,N1281)</f>
        <v>s1_node_eff_archive_100_2</v>
      </c>
    </row>
    <row r="1282" spans="1:20" x14ac:dyDescent="0.45">
      <c r="A1282" s="0" t="str">
        <f>_xlfn.TEXTJOIN("_",TRUE,C1282,"node",D1282,M1282,N1282)</f>
        <v>s1_node_archive_100_6</v>
      </c>
      <c r="B1282" s="0" t="s">
        <v>0</v>
      </c>
      <c r="C1282" s="0" t="s">
        <v>26</v>
      </c>
      <c r="D1282" s="0" t="s">
        <v>107</v>
      </c>
      <c r="E1282" s="0" t="str">
        <f>"s1_node_"&amp;D1282&amp;"_name"</f>
        <v>s1_node_archive_name</v>
      </c>
      <c r="F1282" s="13" t="str">
        <f>"s1_node_"&amp;D1282&amp;"_desc"</f>
        <v>s1_node_archive_desc</v>
      </c>
      <c r="G1282" s="0" t="s">
        <v>149</v>
      </c>
      <c r="H1282" s="0">
        <v>5</v>
      </c>
      <c r="I1282" s="0" t="s">
        <v>27</v>
      </c>
      <c r="J1282" s="0" t="s">
        <v>1092</v>
      </c>
      <c r="K1282" s="0">
        <v>3830</v>
      </c>
      <c r="L1282" s="13">
        <v>3</v>
      </c>
      <c r="M1282" s="0">
        <v>100</v>
      </c>
      <c r="N1282" s="0">
        <v>6</v>
      </c>
      <c r="P1282" s="0" t="s">
        <v>1250</v>
      </c>
      <c r="T1282" s="0" t="str">
        <f>_xlfn.TEXTJOIN("_",TRUE,C1282,"node_eff",D1282,M1282,N1282)</f>
        <v>s1_node_eff_archive_100_6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outlinePr summaryBelow="1" summaryRight="1"/>
  </sheetPr>
  <dimension ref="A1:E18"/>
  <sheetViews>
    <sheetView workbookViewId="0"/>
  </sheetViews>
  <sheetFormatPr defaultRowHeight="17" x14ac:dyDescent="0.45"/>
  <cols>
    <col min="1" max="1" width="17.082031" style="0" customWidth="1"/>
    <col min="2" max="2" width="10.332031" style="0" customWidth="1"/>
    <col min="3" max="3" width="14.582031" style="0" customWidth="1"/>
    <col min="4" max="4" width="11.082031" style="0" customWidth="1"/>
    <col min="5" max="5" width="16" style="0" customWidth="1"/>
    <col min="6" max="6" width="13.332031" style="0" customWidth="1"/>
  </cols>
  <sheetData>
    <row r="1" spans="1:6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</row>
    <row r="2" spans="1:6" x14ac:dyDescent="0.45">
      <c r="A2" s="0" t="s">
        <v>1</v>
      </c>
      <c r="C2" s="0" t="s">
        <v>2</v>
      </c>
      <c r="D2" s="0" t="s">
        <v>1251</v>
      </c>
      <c r="E2" s="0" t="s">
        <v>1252</v>
      </c>
    </row>
    <row r="3" spans="1:6" s="1" customFormat="1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1253</v>
      </c>
    </row>
    <row r="4" spans="1:6" x14ac:dyDescent="0.45">
      <c r="A4" s="0" t="str">
        <f t="shared" ref="A4:A18" si="0">_xlfn.TEXTJOIN("_",TRUE,C4,"dic_story",D4)</f>
        <v>s1_dic_story_1</v>
      </c>
      <c r="B4" s="0" t="s">
        <v>0</v>
      </c>
      <c r="C4" s="0" t="s">
        <v>26</v>
      </c>
      <c r="D4" s="0">
        <v>1</v>
      </c>
      <c r="E4" s="0" t="s">
        <v>1254</v>
      </c>
    </row>
    <row r="5" spans="1:6" x14ac:dyDescent="0.45">
      <c r="A5" s="0" t="str">
        <f t="shared" si="0"/>
        <v>s1_dic_story_2</v>
      </c>
      <c r="B5" s="0" t="s">
        <v>0</v>
      </c>
      <c r="C5" s="0" t="s">
        <v>26</v>
      </c>
      <c r="D5" s="0">
        <v>2</v>
      </c>
      <c r="E5" s="0" t="s">
        <v>1255</v>
      </c>
    </row>
    <row r="6" spans="1:6" x14ac:dyDescent="0.45">
      <c r="A6" s="0" t="str">
        <f t="shared" si="0"/>
        <v>s1_dic_story_3</v>
      </c>
      <c r="B6" s="0" t="s">
        <v>0</v>
      </c>
      <c r="C6" s="0" t="s">
        <v>26</v>
      </c>
      <c r="D6" s="0">
        <v>3</v>
      </c>
      <c r="E6" s="0" t="s">
        <v>1256</v>
      </c>
    </row>
    <row r="7" spans="1:6" x14ac:dyDescent="0.45">
      <c r="A7" s="0" t="str">
        <f t="shared" si="0"/>
        <v>s1_dic_story_4</v>
      </c>
      <c r="B7" s="0" t="s">
        <v>0</v>
      </c>
      <c r="C7" s="0" t="s">
        <v>26</v>
      </c>
      <c r="D7" s="0">
        <v>4</v>
      </c>
      <c r="E7" s="0" t="s">
        <v>1257</v>
      </c>
    </row>
    <row r="8" spans="1:6" x14ac:dyDescent="0.45">
      <c r="A8" s="0" t="str">
        <f t="shared" si="0"/>
        <v>s1_dic_story_5</v>
      </c>
      <c r="B8" s="0" t="s">
        <v>0</v>
      </c>
      <c r="C8" s="0" t="s">
        <v>26</v>
      </c>
      <c r="D8" s="0">
        <v>5</v>
      </c>
      <c r="E8" s="0" t="s">
        <v>1258</v>
      </c>
    </row>
    <row r="9" spans="1:6" x14ac:dyDescent="0.45">
      <c r="A9" s="0" t="str">
        <f t="shared" si="0"/>
        <v>s1_dic_story_6</v>
      </c>
      <c r="B9" s="0" t="s">
        <v>0</v>
      </c>
      <c r="C9" s="0" t="s">
        <v>26</v>
      </c>
      <c r="D9" s="0">
        <v>6</v>
      </c>
      <c r="E9" s="0" t="s">
        <v>1259</v>
      </c>
    </row>
    <row r="10" spans="1:6" x14ac:dyDescent="0.45">
      <c r="A10" s="0" t="str">
        <f t="shared" si="0"/>
        <v>s1_dic_story_7</v>
      </c>
      <c r="B10" s="0" t="s">
        <v>0</v>
      </c>
      <c r="C10" s="0" t="s">
        <v>26</v>
      </c>
      <c r="D10" s="0">
        <v>7</v>
      </c>
      <c r="E10" s="0" t="s">
        <v>1260</v>
      </c>
    </row>
    <row r="11" spans="1:6" x14ac:dyDescent="0.45">
      <c r="A11" s="0" t="str">
        <f t="shared" si="0"/>
        <v>s1_dic_story_8</v>
      </c>
      <c r="B11" s="0" t="s">
        <v>0</v>
      </c>
      <c r="C11" s="0" t="s">
        <v>26</v>
      </c>
      <c r="D11" s="0">
        <v>8</v>
      </c>
      <c r="E11" s="0" t="s">
        <v>1261</v>
      </c>
    </row>
    <row r="12" spans="1:6" x14ac:dyDescent="0.45">
      <c r="A12" s="0" t="str">
        <f t="shared" si="0"/>
        <v>s1_dic_story_9</v>
      </c>
      <c r="B12" s="0" t="s">
        <v>0</v>
      </c>
      <c r="C12" s="0" t="s">
        <v>26</v>
      </c>
      <c r="D12" s="0">
        <v>9</v>
      </c>
      <c r="E12" s="0" t="s">
        <v>1262</v>
      </c>
    </row>
    <row r="13" spans="1:6" x14ac:dyDescent="0.45">
      <c r="A13" s="0" t="str">
        <f t="shared" si="0"/>
        <v>s1_dic_story_10</v>
      </c>
      <c r="B13" s="0" t="s">
        <v>0</v>
      </c>
      <c r="C13" s="0" t="s">
        <v>26</v>
      </c>
      <c r="D13" s="0">
        <v>10</v>
      </c>
      <c r="E13" s="0" t="s">
        <v>1263</v>
      </c>
    </row>
    <row r="14" spans="1:6" x14ac:dyDescent="0.45">
      <c r="A14" s="0" t="str">
        <f t="shared" si="0"/>
        <v>s1_dic_story_11</v>
      </c>
      <c r="B14" s="0" t="s">
        <v>0</v>
      </c>
      <c r="C14" s="0" t="s">
        <v>26</v>
      </c>
      <c r="D14" s="0">
        <v>11</v>
      </c>
      <c r="E14" s="0" t="s">
        <v>1264</v>
      </c>
    </row>
    <row r="15" spans="1:6" x14ac:dyDescent="0.45">
      <c r="A15" s="0" t="str">
        <f t="shared" si="0"/>
        <v>s1_dic_story_12</v>
      </c>
      <c r="B15" s="0" t="s">
        <v>0</v>
      </c>
      <c r="C15" s="0" t="s">
        <v>26</v>
      </c>
      <c r="D15" s="0">
        <v>12</v>
      </c>
      <c r="E15" s="0" t="s">
        <v>1265</v>
      </c>
    </row>
    <row r="16" spans="1:6" x14ac:dyDescent="0.45">
      <c r="A16" s="0" t="str">
        <f t="shared" si="0"/>
        <v>s1_dic_story_13</v>
      </c>
      <c r="B16" s="0" t="s">
        <v>0</v>
      </c>
      <c r="C16" s="0" t="s">
        <v>26</v>
      </c>
      <c r="D16" s="0">
        <v>13</v>
      </c>
      <c r="E16" s="0" t="s">
        <v>1266</v>
      </c>
    </row>
    <row r="17" spans="1:6" x14ac:dyDescent="0.45">
      <c r="A17" s="0" t="str">
        <f t="shared" si="0"/>
        <v>s1_dic_story_14</v>
      </c>
      <c r="B17" s="0" t="s">
        <v>0</v>
      </c>
      <c r="C17" s="0" t="s">
        <v>26</v>
      </c>
      <c r="D17" s="0">
        <v>14</v>
      </c>
      <c r="E17" s="0" t="s">
        <v>1267</v>
      </c>
    </row>
    <row r="18" spans="1:6" x14ac:dyDescent="0.45">
      <c r="A18" s="0" t="str">
        <f t="shared" si="0"/>
        <v>s1_dic_story_15</v>
      </c>
      <c r="B18" s="0" t="s">
        <v>0</v>
      </c>
      <c r="C18" s="0" t="s">
        <v>26</v>
      </c>
      <c r="D18" s="0">
        <v>15</v>
      </c>
      <c r="E18" s="0" t="s">
        <v>1268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G17"/>
  <sheetViews>
    <sheetView workbookViewId="0"/>
  </sheetViews>
  <sheetFormatPr defaultRowHeight="17" x14ac:dyDescent="0.45"/>
  <cols>
    <col min="1" max="1" width="18.5" style="0" customWidth="1"/>
    <col min="2" max="2" width="10.332031" style="0" customWidth="1"/>
    <col min="3" max="3" width="12.582031" style="0" customWidth="1"/>
    <col min="4" max="5" width="9.090625" style="0" customWidth="1"/>
    <col min="6" max="6" width="10.082031" style="0" customWidth="1"/>
    <col min="7" max="7" width="10.832031" style="0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C2" s="0" t="s">
        <v>2</v>
      </c>
      <c r="D2" s="0" t="s">
        <v>1269</v>
      </c>
      <c r="E2" s="0" t="s">
        <v>1251</v>
      </c>
      <c r="F2" s="0" t="s">
        <v>1270</v>
      </c>
      <c r="G2" s="0" t="s">
        <v>1271</v>
      </c>
    </row>
    <row r="3" spans="1:7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1272</v>
      </c>
      <c r="G3" s="1" t="s">
        <v>1273</v>
      </c>
    </row>
    <row r="4" spans="1:7" x14ac:dyDescent="0.45">
      <c r="A4" s="0" t="str">
        <f t="shared" ref="A4:A17" si="0">_xlfn.TEXTJOIN("_",TRUE,C4,"dic",D4,E4)</f>
        <v>s1_dic_event_1_1</v>
      </c>
      <c r="B4" s="0" t="s">
        <v>0</v>
      </c>
      <c r="C4" s="0" t="s">
        <v>26</v>
      </c>
      <c r="D4" s="0" t="s">
        <v>1274</v>
      </c>
      <c r="E4" s="0">
        <v>1</v>
      </c>
      <c r="F4" s="0" t="s">
        <v>1275</v>
      </c>
      <c r="G4" s="0" t="s">
        <v>1276</v>
      </c>
    </row>
    <row r="5" spans="1:7" x14ac:dyDescent="0.45">
      <c r="A5" s="0" t="str">
        <f t="shared" si="0"/>
        <v>s1_dic_event_1_2</v>
      </c>
      <c r="B5" s="0" t="s">
        <v>0</v>
      </c>
      <c r="C5" s="0" t="s">
        <v>26</v>
      </c>
      <c r="D5" s="0" t="s">
        <v>1274</v>
      </c>
      <c r="E5" s="0">
        <v>2</v>
      </c>
      <c r="F5" s="0" t="s">
        <v>1277</v>
      </c>
      <c r="G5" s="0" t="s">
        <v>1278</v>
      </c>
    </row>
    <row r="6" spans="1:7" x14ac:dyDescent="0.45">
      <c r="A6" s="0" t="str">
        <f t="shared" si="0"/>
        <v>s1_dic_event_1_3</v>
      </c>
      <c r="B6" s="0" t="s">
        <v>0</v>
      </c>
      <c r="C6" s="0" t="s">
        <v>26</v>
      </c>
      <c r="D6" s="0" t="s">
        <v>1274</v>
      </c>
      <c r="E6" s="0">
        <v>3</v>
      </c>
      <c r="F6" s="0" t="s">
        <v>1279</v>
      </c>
      <c r="G6" s="0" t="s">
        <v>1280</v>
      </c>
    </row>
    <row r="7" spans="1:7" x14ac:dyDescent="0.45">
      <c r="A7" s="0" t="str">
        <f t="shared" si="0"/>
        <v>s1_dic_event_1_4</v>
      </c>
      <c r="B7" s="0" t="s">
        <v>0</v>
      </c>
      <c r="C7" s="0" t="s">
        <v>26</v>
      </c>
      <c r="D7" s="0" t="s">
        <v>1274</v>
      </c>
      <c r="E7" s="0">
        <v>4</v>
      </c>
      <c r="F7" s="0" t="s">
        <v>1281</v>
      </c>
      <c r="G7" s="0" t="s">
        <v>1282</v>
      </c>
    </row>
    <row r="8" spans="1:7" x14ac:dyDescent="0.45">
      <c r="A8" s="0" t="str">
        <f t="shared" si="0"/>
        <v>s1_dic_event_1_5</v>
      </c>
      <c r="B8" s="0" t="s">
        <v>0</v>
      </c>
      <c r="C8" s="0" t="s">
        <v>26</v>
      </c>
      <c r="D8" s="0" t="s">
        <v>1274</v>
      </c>
      <c r="E8" s="0">
        <v>5</v>
      </c>
      <c r="F8" s="0" t="s">
        <v>1283</v>
      </c>
      <c r="G8" s="0" t="s">
        <v>1284</v>
      </c>
    </row>
    <row r="9" spans="1:7" x14ac:dyDescent="0.45">
      <c r="A9" s="0" t="str">
        <f t="shared" si="0"/>
        <v>s1_dic_event_1_6</v>
      </c>
      <c r="B9" s="0" t="s">
        <v>0</v>
      </c>
      <c r="C9" s="0" t="s">
        <v>26</v>
      </c>
      <c r="D9" s="0" t="s">
        <v>1274</v>
      </c>
      <c r="E9" s="0">
        <v>6</v>
      </c>
      <c r="F9" s="0" t="s">
        <v>1285</v>
      </c>
      <c r="G9" s="0" t="s">
        <v>1286</v>
      </c>
    </row>
    <row r="10" spans="1:7" x14ac:dyDescent="0.45">
      <c r="A10" s="0" t="str">
        <f t="shared" si="0"/>
        <v>s1_dic_event_1_7</v>
      </c>
      <c r="B10" s="0" t="s">
        <v>0</v>
      </c>
      <c r="C10" s="0" t="s">
        <v>26</v>
      </c>
      <c r="D10" s="0" t="s">
        <v>1274</v>
      </c>
      <c r="E10" s="0">
        <v>7</v>
      </c>
      <c r="F10" s="0" t="s">
        <v>1287</v>
      </c>
      <c r="G10" s="0" t="s">
        <v>1288</v>
      </c>
    </row>
    <row r="11" spans="1:7" x14ac:dyDescent="0.45">
      <c r="A11" s="0" t="str">
        <f t="shared" si="0"/>
        <v>s1_dic_event_2_1</v>
      </c>
      <c r="B11" s="0" t="s">
        <v>0</v>
      </c>
      <c r="C11" s="0" t="s">
        <v>26</v>
      </c>
      <c r="D11" s="0" t="s">
        <v>1289</v>
      </c>
      <c r="E11" s="0">
        <v>1</v>
      </c>
      <c r="F11" s="0" t="s">
        <v>1290</v>
      </c>
      <c r="G11" s="0" t="s">
        <v>1291</v>
      </c>
    </row>
    <row r="12" spans="1:7" x14ac:dyDescent="0.45">
      <c r="A12" s="0" t="str">
        <f t="shared" si="0"/>
        <v>s1_dic_event_2_2</v>
      </c>
      <c r="B12" s="0" t="s">
        <v>0</v>
      </c>
      <c r="C12" s="0" t="s">
        <v>26</v>
      </c>
      <c r="D12" s="0" t="s">
        <v>1289</v>
      </c>
      <c r="E12" s="0">
        <v>2</v>
      </c>
      <c r="F12" s="0" t="s">
        <v>1292</v>
      </c>
      <c r="G12" s="0" t="s">
        <v>1293</v>
      </c>
    </row>
    <row r="13" spans="1:7" x14ac:dyDescent="0.45">
      <c r="A13" s="0" t="str">
        <f t="shared" si="0"/>
        <v>s1_dic_event_2_3</v>
      </c>
      <c r="B13" s="0" t="s">
        <v>0</v>
      </c>
      <c r="C13" s="0" t="s">
        <v>26</v>
      </c>
      <c r="D13" s="0" t="s">
        <v>1289</v>
      </c>
      <c r="E13" s="0">
        <v>3</v>
      </c>
      <c r="F13" s="0" t="s">
        <v>1294</v>
      </c>
      <c r="G13" s="0" t="s">
        <v>1295</v>
      </c>
    </row>
    <row r="14" spans="1:7" x14ac:dyDescent="0.45">
      <c r="A14" s="0" t="str">
        <f t="shared" si="0"/>
        <v>s1_dic_event_2_4</v>
      </c>
      <c r="B14" s="0" t="s">
        <v>0</v>
      </c>
      <c r="C14" s="0" t="s">
        <v>26</v>
      </c>
      <c r="D14" s="0" t="s">
        <v>1289</v>
      </c>
      <c r="E14" s="0">
        <v>4</v>
      </c>
      <c r="F14" s="0" t="s">
        <v>1296</v>
      </c>
      <c r="G14" s="0" t="s">
        <v>1297</v>
      </c>
    </row>
    <row r="15" spans="1:7" x14ac:dyDescent="0.45">
      <c r="A15" s="0" t="str">
        <f t="shared" si="0"/>
        <v>s1_dic_event_2_5</v>
      </c>
      <c r="B15" s="0" t="s">
        <v>0</v>
      </c>
      <c r="C15" s="0" t="s">
        <v>26</v>
      </c>
      <c r="D15" s="0" t="s">
        <v>1289</v>
      </c>
      <c r="E15" s="0">
        <v>5</v>
      </c>
      <c r="F15" s="0" t="s">
        <v>1298</v>
      </c>
      <c r="G15" s="0" t="s">
        <v>1299</v>
      </c>
    </row>
    <row r="16" spans="1:7" x14ac:dyDescent="0.45">
      <c r="A16" s="0" t="str">
        <f t="shared" si="0"/>
        <v>s1_dic_event_2_6</v>
      </c>
      <c r="B16" s="0" t="s">
        <v>0</v>
      </c>
      <c r="C16" s="0" t="s">
        <v>26</v>
      </c>
      <c r="D16" s="0" t="s">
        <v>1289</v>
      </c>
      <c r="E16" s="0">
        <v>6</v>
      </c>
      <c r="F16" s="0" t="s">
        <v>1300</v>
      </c>
      <c r="G16" s="0" t="s">
        <v>1301</v>
      </c>
    </row>
    <row r="17" spans="1:7" x14ac:dyDescent="0.45">
      <c r="A17" s="0" t="str">
        <f t="shared" si="0"/>
        <v>s1_dic_event_2_7</v>
      </c>
      <c r="B17" s="0" t="s">
        <v>0</v>
      </c>
      <c r="C17" s="0" t="s">
        <v>26</v>
      </c>
      <c r="D17" s="0" t="s">
        <v>1289</v>
      </c>
      <c r="E17" s="0">
        <v>7</v>
      </c>
      <c r="F17" s="0" t="s">
        <v>1302</v>
      </c>
      <c r="G17" s="0" t="s">
        <v>1303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H103"/>
  <sheetViews>
    <sheetView workbookViewId="0"/>
  </sheetViews>
  <sheetFormatPr defaultRowHeight="17" x14ac:dyDescent="0.45"/>
  <cols>
    <col min="1" max="1" width="17.5" style="0" customWidth="1"/>
    <col min="2" max="2" width="10.332031" style="0" customWidth="1"/>
    <col min="3" max="3" width="12.582031" style="0" customWidth="1"/>
    <col min="4" max="4" width="25" style="0" customWidth="1"/>
    <col min="5" max="5" width="9.082031" style="0" customWidth="1"/>
    <col min="6" max="6" width="15.75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1304</v>
      </c>
      <c r="E2" s="0" t="s">
        <v>1251</v>
      </c>
      <c r="F2" s="0" t="s">
        <v>1305</v>
      </c>
      <c r="G2" s="0" t="s">
        <v>1306</v>
      </c>
      <c r="H2" s="0" t="s">
        <v>1271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1307</v>
      </c>
      <c r="G3" s="1" t="s">
        <v>1308</v>
      </c>
      <c r="H3" s="1" t="s">
        <v>1309</v>
      </c>
    </row>
    <row r="4" spans="1:8" x14ac:dyDescent="0.45">
      <c r="A4" s="0" t="s">
        <v>1310</v>
      </c>
      <c r="B4" s="0" t="s">
        <v>0</v>
      </c>
      <c r="C4" s="0" t="s">
        <v>26</v>
      </c>
      <c r="D4" s="0" t="s">
        <v>105</v>
      </c>
      <c r="E4" s="0">
        <v>1</v>
      </c>
      <c r="G4" s="0" t="s">
        <v>1311</v>
      </c>
      <c r="H4" s="0" t="s">
        <v>1312</v>
      </c>
    </row>
    <row r="5" spans="1:8" x14ac:dyDescent="0.45">
      <c r="A5" s="0" t="s">
        <v>1313</v>
      </c>
      <c r="B5" s="0" t="s">
        <v>0</v>
      </c>
      <c r="C5" s="0" t="s">
        <v>26</v>
      </c>
      <c r="D5" s="0" t="s">
        <v>105</v>
      </c>
      <c r="E5" s="0">
        <v>2</v>
      </c>
      <c r="G5" s="0" t="s">
        <v>1314</v>
      </c>
      <c r="H5" s="0" t="s">
        <v>1315</v>
      </c>
    </row>
    <row r="6" spans="1:8" x14ac:dyDescent="0.45">
      <c r="A6" s="0" t="s">
        <v>1316</v>
      </c>
      <c r="B6" s="0" t="s">
        <v>0</v>
      </c>
      <c r="C6" s="0" t="s">
        <v>26</v>
      </c>
      <c r="D6" s="0" t="s">
        <v>105</v>
      </c>
      <c r="E6" s="0">
        <v>3</v>
      </c>
      <c r="G6" s="0" t="s">
        <v>1317</v>
      </c>
      <c r="H6" s="0" t="s">
        <v>1318</v>
      </c>
    </row>
    <row r="7" spans="1:8" x14ac:dyDescent="0.45">
      <c r="A7" s="0" t="s">
        <v>1319</v>
      </c>
      <c r="B7" s="0" t="s">
        <v>0</v>
      </c>
      <c r="C7" s="0" t="s">
        <v>26</v>
      </c>
      <c r="D7" s="0" t="s">
        <v>105</v>
      </c>
      <c r="E7" s="0">
        <v>4</v>
      </c>
      <c r="G7" s="0" t="s">
        <v>1320</v>
      </c>
      <c r="H7" s="0" t="s">
        <v>1321</v>
      </c>
    </row>
    <row r="8" spans="1:8" x14ac:dyDescent="0.45">
      <c r="A8" s="0" t="s">
        <v>1322</v>
      </c>
      <c r="B8" s="0" t="s">
        <v>0</v>
      </c>
      <c r="C8" s="0" t="s">
        <v>26</v>
      </c>
      <c r="D8" s="0" t="s">
        <v>105</v>
      </c>
      <c r="E8" s="0">
        <v>5</v>
      </c>
      <c r="G8" s="0" t="s">
        <v>1323</v>
      </c>
      <c r="H8" s="0" t="s">
        <v>1324</v>
      </c>
    </row>
    <row r="9" spans="1:8" x14ac:dyDescent="0.45">
      <c r="A9" s="0" t="s">
        <v>1325</v>
      </c>
      <c r="B9" s="0" t="s">
        <v>0</v>
      </c>
      <c r="C9" s="0" t="s">
        <v>26</v>
      </c>
      <c r="D9" s="0" t="s">
        <v>105</v>
      </c>
      <c r="E9" s="0">
        <v>6</v>
      </c>
      <c r="G9" s="0" t="s">
        <v>1326</v>
      </c>
      <c r="H9" s="0" t="s">
        <v>1327</v>
      </c>
    </row>
    <row r="10" spans="1:8" x14ac:dyDescent="0.45">
      <c r="A10" s="0" t="s">
        <v>1328</v>
      </c>
      <c r="B10" s="0" t="s">
        <v>0</v>
      </c>
      <c r="C10" s="0" t="s">
        <v>26</v>
      </c>
      <c r="D10" s="0" t="s">
        <v>105</v>
      </c>
      <c r="E10" s="0">
        <v>7</v>
      </c>
      <c r="G10" s="0" t="s">
        <v>1329</v>
      </c>
      <c r="H10" s="0" t="s">
        <v>1330</v>
      </c>
    </row>
    <row r="11" spans="1:8" x14ac:dyDescent="0.45">
      <c r="A11" s="0" t="s">
        <v>1331</v>
      </c>
      <c r="B11" s="0" t="s">
        <v>0</v>
      </c>
      <c r="C11" s="0" t="s">
        <v>26</v>
      </c>
      <c r="D11" s="0" t="s">
        <v>105</v>
      </c>
      <c r="E11" s="0">
        <v>8</v>
      </c>
      <c r="G11" s="0" t="s">
        <v>1332</v>
      </c>
      <c r="H11" s="0" t="s">
        <v>1333</v>
      </c>
    </row>
    <row r="12" spans="1:8" x14ac:dyDescent="0.45">
      <c r="A12" s="0" t="s">
        <v>1334</v>
      </c>
      <c r="B12" s="0" t="s">
        <v>0</v>
      </c>
      <c r="C12" s="0" t="s">
        <v>26</v>
      </c>
      <c r="D12" s="0" t="s">
        <v>105</v>
      </c>
      <c r="E12" s="0">
        <v>9</v>
      </c>
      <c r="G12" s="0" t="s">
        <v>1335</v>
      </c>
      <c r="H12" s="0" t="s">
        <v>1336</v>
      </c>
    </row>
    <row r="13" spans="1:8" x14ac:dyDescent="0.45">
      <c r="A13" s="0" t="s">
        <v>1337</v>
      </c>
      <c r="B13" s="0" t="s">
        <v>0</v>
      </c>
      <c r="C13" s="0" t="s">
        <v>26</v>
      </c>
      <c r="D13" s="0" t="s">
        <v>105</v>
      </c>
      <c r="E13" s="0">
        <v>10</v>
      </c>
      <c r="G13" s="0" t="s">
        <v>1338</v>
      </c>
      <c r="H13" s="0" t="s">
        <v>1339</v>
      </c>
    </row>
    <row r="14" spans="1:8" x14ac:dyDescent="0.45">
      <c r="A14" s="0" t="s">
        <v>1340</v>
      </c>
      <c r="B14" s="0" t="s">
        <v>0</v>
      </c>
      <c r="C14" s="0" t="s">
        <v>26</v>
      </c>
      <c r="D14" s="0" t="s">
        <v>105</v>
      </c>
      <c r="E14" s="0">
        <v>11</v>
      </c>
      <c r="G14" s="0" t="s">
        <v>1341</v>
      </c>
      <c r="H14" s="0" t="s">
        <v>1342</v>
      </c>
    </row>
    <row r="15" spans="1:8" x14ac:dyDescent="0.45">
      <c r="A15" s="0" t="s">
        <v>1343</v>
      </c>
      <c r="B15" s="0" t="s">
        <v>0</v>
      </c>
      <c r="C15" s="0" t="s">
        <v>26</v>
      </c>
      <c r="D15" s="0" t="s">
        <v>105</v>
      </c>
      <c r="E15" s="0">
        <v>12</v>
      </c>
      <c r="G15" s="0" t="s">
        <v>1344</v>
      </c>
      <c r="H15" s="0" t="s">
        <v>1345</v>
      </c>
    </row>
    <row r="16" spans="1:8" x14ac:dyDescent="0.45">
      <c r="A16" s="0" t="s">
        <v>1346</v>
      </c>
      <c r="B16" s="0" t="s">
        <v>0</v>
      </c>
      <c r="C16" s="0" t="s">
        <v>26</v>
      </c>
      <c r="D16" s="0" t="s">
        <v>105</v>
      </c>
      <c r="E16" s="0">
        <v>13</v>
      </c>
      <c r="G16" s="0" t="s">
        <v>1347</v>
      </c>
      <c r="H16" s="0" t="s">
        <v>1348</v>
      </c>
    </row>
    <row r="17" spans="1:8" x14ac:dyDescent="0.45">
      <c r="A17" s="0" t="s">
        <v>1349</v>
      </c>
      <c r="B17" s="0" t="s">
        <v>0</v>
      </c>
      <c r="C17" s="0" t="s">
        <v>26</v>
      </c>
      <c r="D17" s="0" t="s">
        <v>105</v>
      </c>
      <c r="E17" s="0">
        <v>14</v>
      </c>
      <c r="G17" s="0" t="s">
        <v>1350</v>
      </c>
      <c r="H17" s="0" t="s">
        <v>1351</v>
      </c>
    </row>
    <row r="18" spans="1:8" x14ac:dyDescent="0.45">
      <c r="A18" s="0" t="s">
        <v>1352</v>
      </c>
      <c r="B18" s="0" t="s">
        <v>0</v>
      </c>
      <c r="C18" s="0" t="s">
        <v>26</v>
      </c>
      <c r="D18" s="0" t="s">
        <v>105</v>
      </c>
      <c r="E18" s="0">
        <v>15</v>
      </c>
      <c r="G18" s="0" t="s">
        <v>1353</v>
      </c>
      <c r="H18" s="0" t="s">
        <v>1354</v>
      </c>
    </row>
    <row r="19" spans="1:8" x14ac:dyDescent="0.45">
      <c r="A19" s="0" t="s">
        <v>1355</v>
      </c>
      <c r="B19" s="0" t="s">
        <v>0</v>
      </c>
      <c r="C19" s="0" t="s">
        <v>26</v>
      </c>
      <c r="D19" s="0" t="s">
        <v>105</v>
      </c>
      <c r="E19" s="0">
        <v>16</v>
      </c>
      <c r="G19" s="0" t="s">
        <v>1356</v>
      </c>
      <c r="H19" s="0" t="s">
        <v>1357</v>
      </c>
    </row>
    <row r="20" spans="1:8" x14ac:dyDescent="0.45">
      <c r="A20" s="0" t="s">
        <v>1358</v>
      </c>
      <c r="B20" s="0" t="s">
        <v>0</v>
      </c>
      <c r="C20" s="0" t="s">
        <v>26</v>
      </c>
      <c r="D20" s="0" t="s">
        <v>105</v>
      </c>
      <c r="E20" s="0">
        <v>17</v>
      </c>
      <c r="G20" s="0" t="s">
        <v>1359</v>
      </c>
      <c r="H20" s="0" t="s">
        <v>1360</v>
      </c>
    </row>
    <row r="21" spans="1:8" x14ac:dyDescent="0.45">
      <c r="A21" s="0" t="s">
        <v>1361</v>
      </c>
      <c r="B21" s="0" t="s">
        <v>0</v>
      </c>
      <c r="C21" s="0" t="s">
        <v>26</v>
      </c>
      <c r="D21" s="0" t="s">
        <v>105</v>
      </c>
      <c r="E21" s="0">
        <v>18</v>
      </c>
      <c r="G21" s="0" t="s">
        <v>1362</v>
      </c>
      <c r="H21" s="0" t="s">
        <v>1363</v>
      </c>
    </row>
    <row r="22" spans="1:8" x14ac:dyDescent="0.45">
      <c r="A22" s="0" t="s">
        <v>1364</v>
      </c>
      <c r="B22" s="0" t="s">
        <v>0</v>
      </c>
      <c r="C22" s="0" t="s">
        <v>26</v>
      </c>
      <c r="D22" s="0" t="s">
        <v>105</v>
      </c>
      <c r="E22" s="0">
        <v>19</v>
      </c>
      <c r="G22" s="0" t="s">
        <v>1365</v>
      </c>
      <c r="H22" s="0" t="s">
        <v>1366</v>
      </c>
    </row>
    <row r="23" spans="1:8" x14ac:dyDescent="0.45">
      <c r="A23" s="0" t="s">
        <v>1367</v>
      </c>
      <c r="B23" s="0" t="s">
        <v>0</v>
      </c>
      <c r="C23" s="0" t="s">
        <v>26</v>
      </c>
      <c r="D23" s="0" t="s">
        <v>105</v>
      </c>
      <c r="E23" s="0">
        <v>20</v>
      </c>
      <c r="G23" s="0" t="s">
        <v>1368</v>
      </c>
      <c r="H23" s="0" t="s">
        <v>1369</v>
      </c>
    </row>
    <row r="24" spans="1:8" x14ac:dyDescent="0.45">
      <c r="A24" s="0" t="s">
        <v>1370</v>
      </c>
      <c r="B24" s="0" t="s">
        <v>0</v>
      </c>
      <c r="C24" s="0" t="s">
        <v>26</v>
      </c>
      <c r="D24" s="0" t="s">
        <v>105</v>
      </c>
      <c r="E24" s="0">
        <v>21</v>
      </c>
      <c r="G24" s="0" t="s">
        <v>1371</v>
      </c>
      <c r="H24" s="0" t="s">
        <v>1372</v>
      </c>
    </row>
    <row r="25" spans="1:8" x14ac:dyDescent="0.45">
      <c r="A25" s="0" t="s">
        <v>1373</v>
      </c>
      <c r="B25" s="0" t="s">
        <v>0</v>
      </c>
      <c r="C25" s="0" t="s">
        <v>26</v>
      </c>
      <c r="D25" s="0" t="s">
        <v>105</v>
      </c>
      <c r="E25" s="0">
        <v>22</v>
      </c>
      <c r="G25" s="0" t="s">
        <v>1374</v>
      </c>
      <c r="H25" s="0" t="s">
        <v>1375</v>
      </c>
    </row>
    <row r="26" spans="1:8" x14ac:dyDescent="0.45">
      <c r="A26" s="0" t="s">
        <v>1376</v>
      </c>
      <c r="B26" s="0" t="s">
        <v>0</v>
      </c>
      <c r="C26" s="0" t="s">
        <v>26</v>
      </c>
      <c r="D26" s="0" t="s">
        <v>105</v>
      </c>
      <c r="E26" s="0">
        <v>23</v>
      </c>
      <c r="G26" s="0" t="s">
        <v>1377</v>
      </c>
      <c r="H26" s="0" t="s">
        <v>1378</v>
      </c>
    </row>
    <row r="27" spans="1:8" x14ac:dyDescent="0.45">
      <c r="A27" s="0" t="s">
        <v>1379</v>
      </c>
      <c r="B27" s="0" t="s">
        <v>0</v>
      </c>
      <c r="C27" s="0" t="s">
        <v>26</v>
      </c>
      <c r="D27" s="0" t="s">
        <v>105</v>
      </c>
      <c r="E27" s="0">
        <v>24</v>
      </c>
      <c r="G27" s="0" t="s">
        <v>1380</v>
      </c>
      <c r="H27" s="0" t="s">
        <v>1381</v>
      </c>
    </row>
    <row r="28" spans="1:8" x14ac:dyDescent="0.45">
      <c r="A28" s="0" t="s">
        <v>1382</v>
      </c>
      <c r="B28" s="0" t="s">
        <v>0</v>
      </c>
      <c r="C28" s="0" t="s">
        <v>26</v>
      </c>
      <c r="D28" s="0" t="s">
        <v>105</v>
      </c>
      <c r="E28" s="0">
        <v>25</v>
      </c>
      <c r="G28" s="0" t="s">
        <v>1383</v>
      </c>
      <c r="H28" s="0" t="s">
        <v>1384</v>
      </c>
    </row>
    <row r="29" spans="1:8" x14ac:dyDescent="0.45">
      <c r="A29" s="0" t="s">
        <v>1385</v>
      </c>
      <c r="B29" s="0" t="s">
        <v>0</v>
      </c>
      <c r="C29" s="0" t="s">
        <v>26</v>
      </c>
      <c r="D29" s="0" t="s">
        <v>105</v>
      </c>
      <c r="E29" s="0">
        <v>26</v>
      </c>
      <c r="G29" s="0" t="s">
        <v>1386</v>
      </c>
      <c r="H29" s="0" t="s">
        <v>1387</v>
      </c>
    </row>
    <row r="30" spans="1:8" x14ac:dyDescent="0.45">
      <c r="A30" s="0" t="s">
        <v>1388</v>
      </c>
      <c r="B30" s="0" t="s">
        <v>0</v>
      </c>
      <c r="C30" s="0" t="s">
        <v>26</v>
      </c>
      <c r="D30" s="0" t="s">
        <v>105</v>
      </c>
      <c r="E30" s="0">
        <v>27</v>
      </c>
      <c r="G30" s="0" t="s">
        <v>1389</v>
      </c>
      <c r="H30" s="0" t="s">
        <v>1390</v>
      </c>
    </row>
    <row r="31" spans="1:8" x14ac:dyDescent="0.45">
      <c r="A31" s="0" t="s">
        <v>1391</v>
      </c>
      <c r="B31" s="0" t="s">
        <v>0</v>
      </c>
      <c r="C31" s="0" t="s">
        <v>26</v>
      </c>
      <c r="D31" s="0" t="s">
        <v>105</v>
      </c>
      <c r="E31" s="0">
        <v>28</v>
      </c>
      <c r="G31" s="0" t="s">
        <v>1392</v>
      </c>
      <c r="H31" s="0" t="s">
        <v>1393</v>
      </c>
    </row>
    <row r="32" spans="1:8" x14ac:dyDescent="0.45">
      <c r="A32" s="0" t="s">
        <v>1394</v>
      </c>
      <c r="B32" s="0" t="s">
        <v>0</v>
      </c>
      <c r="C32" s="0" t="s">
        <v>26</v>
      </c>
      <c r="D32" s="0" t="s">
        <v>105</v>
      </c>
      <c r="E32" s="0">
        <v>29</v>
      </c>
      <c r="G32" s="0" t="s">
        <v>1395</v>
      </c>
      <c r="H32" s="0" t="s">
        <v>1396</v>
      </c>
    </row>
    <row r="33" spans="1:8" x14ac:dyDescent="0.45">
      <c r="A33" s="0" t="s">
        <v>1397</v>
      </c>
      <c r="B33" s="0" t="s">
        <v>0</v>
      </c>
      <c r="C33" s="0" t="s">
        <v>26</v>
      </c>
      <c r="D33" s="0" t="s">
        <v>105</v>
      </c>
      <c r="E33" s="0">
        <v>30</v>
      </c>
      <c r="G33" s="0" t="s">
        <v>1398</v>
      </c>
      <c r="H33" s="0" t="s">
        <v>1399</v>
      </c>
    </row>
    <row r="34" spans="1:8" x14ac:dyDescent="0.45">
      <c r="A34" s="0" t="s">
        <v>1400</v>
      </c>
      <c r="B34" s="0" t="s">
        <v>0</v>
      </c>
      <c r="C34" s="0" t="s">
        <v>26</v>
      </c>
      <c r="D34" s="0" t="s">
        <v>105</v>
      </c>
      <c r="E34" s="0">
        <v>31</v>
      </c>
      <c r="G34" s="0" t="s">
        <v>1401</v>
      </c>
      <c r="H34" s="0" t="s">
        <v>1402</v>
      </c>
    </row>
    <row r="35" spans="1:8" x14ac:dyDescent="0.45">
      <c r="A35" s="0" t="s">
        <v>1403</v>
      </c>
      <c r="B35" s="0" t="s">
        <v>0</v>
      </c>
      <c r="C35" s="0" t="s">
        <v>26</v>
      </c>
      <c r="D35" s="0" t="s">
        <v>105</v>
      </c>
      <c r="E35" s="0">
        <v>32</v>
      </c>
      <c r="G35" s="0" t="s">
        <v>1404</v>
      </c>
      <c r="H35" s="0" t="s">
        <v>1405</v>
      </c>
    </row>
    <row r="36" spans="1:8" x14ac:dyDescent="0.45">
      <c r="A36" s="0" t="s">
        <v>1406</v>
      </c>
      <c r="B36" s="0" t="s">
        <v>0</v>
      </c>
      <c r="C36" s="0" t="s">
        <v>26</v>
      </c>
      <c r="D36" s="0" t="s">
        <v>105</v>
      </c>
      <c r="E36" s="0">
        <v>33</v>
      </c>
      <c r="G36" s="0" t="s">
        <v>1407</v>
      </c>
      <c r="H36" s="0" t="s">
        <v>1408</v>
      </c>
    </row>
    <row r="37" spans="1:8" x14ac:dyDescent="0.45">
      <c r="A37" s="0" t="s">
        <v>1409</v>
      </c>
      <c r="B37" s="0" t="s">
        <v>0</v>
      </c>
      <c r="C37" s="0" t="s">
        <v>26</v>
      </c>
      <c r="D37" s="0" t="s">
        <v>105</v>
      </c>
      <c r="E37" s="0">
        <v>34</v>
      </c>
      <c r="G37" s="0" t="s">
        <v>1410</v>
      </c>
      <c r="H37" s="0" t="s">
        <v>1411</v>
      </c>
    </row>
    <row r="38" spans="1:8" x14ac:dyDescent="0.45">
      <c r="A38" s="0" t="s">
        <v>1412</v>
      </c>
      <c r="B38" s="0" t="s">
        <v>0</v>
      </c>
      <c r="C38" s="0" t="s">
        <v>26</v>
      </c>
      <c r="D38" s="0" t="s">
        <v>105</v>
      </c>
      <c r="E38" s="0">
        <v>35</v>
      </c>
      <c r="G38" s="0" t="s">
        <v>1413</v>
      </c>
      <c r="H38" s="0" t="s">
        <v>1414</v>
      </c>
    </row>
    <row r="39" spans="1:8" x14ac:dyDescent="0.45">
      <c r="A39" s="0" t="s">
        <v>1415</v>
      </c>
      <c r="B39" s="0" t="s">
        <v>0</v>
      </c>
      <c r="C39" s="0" t="s">
        <v>26</v>
      </c>
      <c r="D39" s="0" t="s">
        <v>105</v>
      </c>
      <c r="E39" s="0">
        <v>36</v>
      </c>
      <c r="G39" s="0" t="s">
        <v>1416</v>
      </c>
      <c r="H39" s="0" t="s">
        <v>1417</v>
      </c>
    </row>
    <row r="40" spans="1:8" x14ac:dyDescent="0.45">
      <c r="A40" s="0" t="s">
        <v>1418</v>
      </c>
      <c r="B40" s="0" t="s">
        <v>0</v>
      </c>
      <c r="C40" s="0" t="s">
        <v>26</v>
      </c>
      <c r="D40" s="0" t="s">
        <v>105</v>
      </c>
      <c r="E40" s="0">
        <v>37</v>
      </c>
      <c r="G40" s="0" t="s">
        <v>1419</v>
      </c>
      <c r="H40" s="0" t="s">
        <v>1420</v>
      </c>
    </row>
    <row r="41" spans="1:8" x14ac:dyDescent="0.45">
      <c r="A41" s="0" t="s">
        <v>1421</v>
      </c>
      <c r="B41" s="0" t="s">
        <v>0</v>
      </c>
      <c r="C41" s="0" t="s">
        <v>26</v>
      </c>
      <c r="D41" s="0" t="s">
        <v>105</v>
      </c>
      <c r="E41" s="0">
        <v>38</v>
      </c>
      <c r="G41" s="0" t="s">
        <v>1422</v>
      </c>
      <c r="H41" s="0" t="s">
        <v>1423</v>
      </c>
    </row>
    <row r="42" spans="1:8" x14ac:dyDescent="0.45">
      <c r="A42" s="0" t="s">
        <v>1424</v>
      </c>
      <c r="B42" s="0" t="s">
        <v>0</v>
      </c>
      <c r="C42" s="0" t="s">
        <v>26</v>
      </c>
      <c r="D42" s="0" t="s">
        <v>105</v>
      </c>
      <c r="E42" s="0">
        <v>39</v>
      </c>
      <c r="G42" s="0" t="s">
        <v>1425</v>
      </c>
      <c r="H42" s="0" t="s">
        <v>1426</v>
      </c>
    </row>
    <row r="43" spans="1:8" x14ac:dyDescent="0.45">
      <c r="A43" s="0" t="s">
        <v>1427</v>
      </c>
      <c r="B43" s="0" t="s">
        <v>0</v>
      </c>
      <c r="C43" s="0" t="s">
        <v>26</v>
      </c>
      <c r="D43" s="0" t="s">
        <v>105</v>
      </c>
      <c r="E43" s="0">
        <v>40</v>
      </c>
      <c r="G43" s="0" t="s">
        <v>1428</v>
      </c>
      <c r="H43" s="0" t="s">
        <v>1429</v>
      </c>
    </row>
    <row r="44" spans="1:8" x14ac:dyDescent="0.45">
      <c r="A44" s="0" t="s">
        <v>1430</v>
      </c>
      <c r="B44" s="0" t="s">
        <v>0</v>
      </c>
      <c r="C44" s="0" t="s">
        <v>26</v>
      </c>
      <c r="D44" s="0" t="s">
        <v>105</v>
      </c>
      <c r="E44" s="0">
        <v>41</v>
      </c>
      <c r="G44" s="0" t="s">
        <v>1431</v>
      </c>
      <c r="H44" s="0" t="s">
        <v>1432</v>
      </c>
    </row>
    <row r="45" spans="1:8" x14ac:dyDescent="0.45">
      <c r="A45" s="0" t="s">
        <v>1433</v>
      </c>
      <c r="B45" s="0" t="s">
        <v>0</v>
      </c>
      <c r="C45" s="0" t="s">
        <v>26</v>
      </c>
      <c r="D45" s="0" t="s">
        <v>105</v>
      </c>
      <c r="E45" s="0">
        <v>42</v>
      </c>
      <c r="G45" s="0" t="s">
        <v>1434</v>
      </c>
      <c r="H45" s="0" t="s">
        <v>1435</v>
      </c>
    </row>
    <row r="46" spans="1:8" x14ac:dyDescent="0.45">
      <c r="A46" s="0" t="s">
        <v>1436</v>
      </c>
      <c r="B46" s="0" t="s">
        <v>0</v>
      </c>
      <c r="C46" s="0" t="s">
        <v>26</v>
      </c>
      <c r="D46" s="0" t="s">
        <v>105</v>
      </c>
      <c r="E46" s="0">
        <v>43</v>
      </c>
      <c r="G46" s="0" t="s">
        <v>1437</v>
      </c>
      <c r="H46" s="0" t="s">
        <v>1438</v>
      </c>
    </row>
    <row r="47" spans="1:8" x14ac:dyDescent="0.45">
      <c r="A47" s="0" t="s">
        <v>1439</v>
      </c>
      <c r="B47" s="0" t="s">
        <v>0</v>
      </c>
      <c r="C47" s="0" t="s">
        <v>26</v>
      </c>
      <c r="D47" s="0" t="s">
        <v>105</v>
      </c>
      <c r="E47" s="0">
        <v>44</v>
      </c>
      <c r="G47" s="0" t="s">
        <v>1440</v>
      </c>
      <c r="H47" s="0" t="s">
        <v>1441</v>
      </c>
    </row>
    <row r="48" spans="1:8" x14ac:dyDescent="0.45">
      <c r="A48" s="0" t="s">
        <v>1442</v>
      </c>
      <c r="B48" s="0" t="s">
        <v>0</v>
      </c>
      <c r="C48" s="0" t="s">
        <v>26</v>
      </c>
      <c r="D48" s="0" t="s">
        <v>105</v>
      </c>
      <c r="E48" s="0">
        <v>45</v>
      </c>
      <c r="G48" s="0" t="s">
        <v>1443</v>
      </c>
      <c r="H48" s="0" t="s">
        <v>1444</v>
      </c>
    </row>
    <row r="49" spans="1:8" x14ac:dyDescent="0.45">
      <c r="A49" s="0" t="s">
        <v>1445</v>
      </c>
      <c r="B49" s="0" t="s">
        <v>0</v>
      </c>
      <c r="C49" s="0" t="s">
        <v>26</v>
      </c>
      <c r="D49" s="0" t="s">
        <v>105</v>
      </c>
      <c r="E49" s="0">
        <v>46</v>
      </c>
      <c r="G49" s="0" t="s">
        <v>1446</v>
      </c>
      <c r="H49" s="0" t="s">
        <v>1447</v>
      </c>
    </row>
    <row r="50" spans="1:8" x14ac:dyDescent="0.45">
      <c r="A50" s="0" t="s">
        <v>1448</v>
      </c>
      <c r="B50" s="0" t="s">
        <v>0</v>
      </c>
      <c r="C50" s="0" t="s">
        <v>26</v>
      </c>
      <c r="D50" s="0" t="s">
        <v>105</v>
      </c>
      <c r="E50" s="0">
        <v>47</v>
      </c>
      <c r="G50" s="0" t="s">
        <v>1449</v>
      </c>
      <c r="H50" s="0" t="s">
        <v>1450</v>
      </c>
    </row>
    <row r="51" spans="1:8" x14ac:dyDescent="0.45">
      <c r="A51" s="0" t="s">
        <v>1451</v>
      </c>
      <c r="B51" s="0" t="s">
        <v>0</v>
      </c>
      <c r="C51" s="0" t="s">
        <v>26</v>
      </c>
      <c r="D51" s="0" t="s">
        <v>105</v>
      </c>
      <c r="E51" s="0">
        <v>48</v>
      </c>
      <c r="G51" s="0" t="s">
        <v>1452</v>
      </c>
      <c r="H51" s="0" t="s">
        <v>1453</v>
      </c>
    </row>
    <row r="52" spans="1:8" x14ac:dyDescent="0.45">
      <c r="A52" s="0" t="s">
        <v>1454</v>
      </c>
      <c r="B52" s="0" t="s">
        <v>0</v>
      </c>
      <c r="C52" s="0" t="s">
        <v>26</v>
      </c>
      <c r="D52" s="0" t="s">
        <v>105</v>
      </c>
      <c r="E52" s="0">
        <v>49</v>
      </c>
      <c r="G52" s="0" t="s">
        <v>1455</v>
      </c>
      <c r="H52" s="0" t="s">
        <v>1456</v>
      </c>
    </row>
    <row r="53" spans="1:8" x14ac:dyDescent="0.45">
      <c r="A53" s="0" t="s">
        <v>1457</v>
      </c>
      <c r="B53" s="0" t="s">
        <v>0</v>
      </c>
      <c r="C53" s="0" t="s">
        <v>26</v>
      </c>
      <c r="D53" s="0" t="s">
        <v>105</v>
      </c>
      <c r="E53" s="0">
        <v>50</v>
      </c>
      <c r="G53" s="0" t="s">
        <v>1458</v>
      </c>
      <c r="H53" s="0" t="s">
        <v>1459</v>
      </c>
    </row>
    <row r="54" spans="1:8" x14ac:dyDescent="0.45">
      <c r="A54" s="0" t="s">
        <v>1460</v>
      </c>
      <c r="B54" s="0" t="s">
        <v>0</v>
      </c>
      <c r="C54" s="0" t="s">
        <v>26</v>
      </c>
      <c r="D54" s="0" t="s">
        <v>105</v>
      </c>
      <c r="E54" s="0">
        <v>51</v>
      </c>
      <c r="G54" s="0" t="s">
        <v>1461</v>
      </c>
      <c r="H54" s="0" t="s">
        <v>1462</v>
      </c>
    </row>
    <row r="55" spans="1:8" x14ac:dyDescent="0.45">
      <c r="A55" s="0" t="s">
        <v>1463</v>
      </c>
      <c r="B55" s="0" t="s">
        <v>0</v>
      </c>
      <c r="C55" s="0" t="s">
        <v>26</v>
      </c>
      <c r="D55" s="0" t="s">
        <v>105</v>
      </c>
      <c r="E55" s="0">
        <v>52</v>
      </c>
      <c r="G55" s="0" t="s">
        <v>1464</v>
      </c>
      <c r="H55" s="0" t="s">
        <v>1465</v>
      </c>
    </row>
    <row r="56" spans="1:8" x14ac:dyDescent="0.45">
      <c r="A56" s="0" t="s">
        <v>1466</v>
      </c>
      <c r="B56" s="0" t="s">
        <v>0</v>
      </c>
      <c r="C56" s="0" t="s">
        <v>26</v>
      </c>
      <c r="D56" s="0" t="s">
        <v>105</v>
      </c>
      <c r="E56" s="0">
        <v>53</v>
      </c>
      <c r="G56" s="0" t="s">
        <v>1467</v>
      </c>
      <c r="H56" s="0" t="s">
        <v>1468</v>
      </c>
    </row>
    <row r="57" spans="1:8" x14ac:dyDescent="0.45">
      <c r="A57" s="0" t="s">
        <v>1469</v>
      </c>
      <c r="B57" s="0" t="s">
        <v>0</v>
      </c>
      <c r="C57" s="0" t="s">
        <v>26</v>
      </c>
      <c r="D57" s="0" t="s">
        <v>105</v>
      </c>
      <c r="E57" s="0">
        <v>54</v>
      </c>
      <c r="G57" s="0" t="s">
        <v>1470</v>
      </c>
      <c r="H57" s="0" t="s">
        <v>1471</v>
      </c>
    </row>
    <row r="58" spans="1:8" x14ac:dyDescent="0.45">
      <c r="A58" s="0" t="s">
        <v>1472</v>
      </c>
      <c r="B58" s="0" t="s">
        <v>0</v>
      </c>
      <c r="C58" s="0" t="s">
        <v>26</v>
      </c>
      <c r="D58" s="0" t="s">
        <v>105</v>
      </c>
      <c r="E58" s="0">
        <v>55</v>
      </c>
      <c r="G58" s="0" t="s">
        <v>1473</v>
      </c>
      <c r="H58" s="0" t="s">
        <v>1474</v>
      </c>
    </row>
    <row r="59" spans="1:8" x14ac:dyDescent="0.45">
      <c r="A59" s="0" t="s">
        <v>1475</v>
      </c>
      <c r="B59" s="0" t="s">
        <v>0</v>
      </c>
      <c r="C59" s="0" t="s">
        <v>26</v>
      </c>
      <c r="D59" s="0" t="s">
        <v>105</v>
      </c>
      <c r="E59" s="0">
        <v>56</v>
      </c>
      <c r="G59" s="0" t="s">
        <v>1476</v>
      </c>
      <c r="H59" s="0" t="s">
        <v>1477</v>
      </c>
    </row>
    <row r="60" spans="1:8" x14ac:dyDescent="0.45">
      <c r="A60" s="0" t="s">
        <v>1478</v>
      </c>
      <c r="B60" s="0" t="s">
        <v>0</v>
      </c>
      <c r="C60" s="0" t="s">
        <v>26</v>
      </c>
      <c r="D60" s="0" t="s">
        <v>105</v>
      </c>
      <c r="E60" s="0">
        <v>57</v>
      </c>
      <c r="G60" s="0" t="s">
        <v>1479</v>
      </c>
      <c r="H60" s="0" t="s">
        <v>1480</v>
      </c>
    </row>
    <row r="61" spans="1:8" x14ac:dyDescent="0.45">
      <c r="A61" s="0" t="s">
        <v>1481</v>
      </c>
      <c r="B61" s="0" t="s">
        <v>0</v>
      </c>
      <c r="C61" s="0" t="s">
        <v>26</v>
      </c>
      <c r="D61" s="0" t="s">
        <v>105</v>
      </c>
      <c r="E61" s="0">
        <v>58</v>
      </c>
      <c r="G61" s="0" t="s">
        <v>1482</v>
      </c>
      <c r="H61" s="0" t="s">
        <v>1483</v>
      </c>
    </row>
    <row r="62" spans="1:8" x14ac:dyDescent="0.45">
      <c r="A62" s="0" t="s">
        <v>1484</v>
      </c>
      <c r="B62" s="0" t="s">
        <v>0</v>
      </c>
      <c r="C62" s="0" t="s">
        <v>26</v>
      </c>
      <c r="D62" s="0" t="s">
        <v>105</v>
      </c>
      <c r="E62" s="0">
        <v>59</v>
      </c>
      <c r="G62" s="0" t="s">
        <v>1485</v>
      </c>
      <c r="H62" s="0" t="s">
        <v>1486</v>
      </c>
    </row>
    <row r="63" spans="1:8" x14ac:dyDescent="0.45">
      <c r="A63" s="0" t="s">
        <v>1487</v>
      </c>
      <c r="B63" s="0" t="s">
        <v>0</v>
      </c>
      <c r="C63" s="0" t="s">
        <v>26</v>
      </c>
      <c r="D63" s="0" t="s">
        <v>105</v>
      </c>
      <c r="E63" s="0">
        <v>60</v>
      </c>
      <c r="G63" s="0" t="s">
        <v>1488</v>
      </c>
      <c r="H63" s="0" t="s">
        <v>1489</v>
      </c>
    </row>
    <row r="64" spans="1:8" x14ac:dyDescent="0.45">
      <c r="A64" s="0" t="s">
        <v>1490</v>
      </c>
      <c r="B64" s="0" t="s">
        <v>0</v>
      </c>
      <c r="C64" s="0" t="s">
        <v>26</v>
      </c>
      <c r="D64" s="0" t="s">
        <v>105</v>
      </c>
      <c r="E64" s="0">
        <v>61</v>
      </c>
      <c r="G64" s="0" t="s">
        <v>1491</v>
      </c>
      <c r="H64" s="0" t="s">
        <v>1492</v>
      </c>
    </row>
    <row r="65" spans="1:8" x14ac:dyDescent="0.45">
      <c r="A65" s="0" t="s">
        <v>1493</v>
      </c>
      <c r="B65" s="0" t="s">
        <v>0</v>
      </c>
      <c r="C65" s="0" t="s">
        <v>26</v>
      </c>
      <c r="D65" s="0" t="s">
        <v>105</v>
      </c>
      <c r="E65" s="0">
        <v>62</v>
      </c>
      <c r="G65" s="0" t="s">
        <v>1494</v>
      </c>
      <c r="H65" s="0" t="s">
        <v>1495</v>
      </c>
    </row>
    <row r="66" spans="1:8" x14ac:dyDescent="0.45">
      <c r="A66" s="0" t="s">
        <v>1496</v>
      </c>
      <c r="B66" s="0" t="s">
        <v>0</v>
      </c>
      <c r="C66" s="0" t="s">
        <v>26</v>
      </c>
      <c r="D66" s="0" t="s">
        <v>105</v>
      </c>
      <c r="E66" s="0">
        <v>63</v>
      </c>
      <c r="G66" s="0" t="s">
        <v>1497</v>
      </c>
      <c r="H66" s="0" t="s">
        <v>1498</v>
      </c>
    </row>
    <row r="67" spans="1:8" x14ac:dyDescent="0.45">
      <c r="A67" s="0" t="s">
        <v>1499</v>
      </c>
      <c r="B67" s="0" t="s">
        <v>0</v>
      </c>
      <c r="C67" s="0" t="s">
        <v>26</v>
      </c>
      <c r="D67" s="0" t="s">
        <v>105</v>
      </c>
      <c r="E67" s="0">
        <v>64</v>
      </c>
      <c r="G67" s="0" t="s">
        <v>1500</v>
      </c>
      <c r="H67" s="0" t="s">
        <v>1501</v>
      </c>
    </row>
    <row r="68" spans="1:8" x14ac:dyDescent="0.45">
      <c r="A68" s="0" t="s">
        <v>1502</v>
      </c>
      <c r="B68" s="0" t="s">
        <v>0</v>
      </c>
      <c r="C68" s="0" t="s">
        <v>26</v>
      </c>
      <c r="D68" s="0" t="s">
        <v>105</v>
      </c>
      <c r="E68" s="0">
        <v>65</v>
      </c>
      <c r="G68" s="0" t="s">
        <v>1503</v>
      </c>
      <c r="H68" s="0" t="s">
        <v>1504</v>
      </c>
    </row>
    <row r="69" spans="1:8" x14ac:dyDescent="0.45">
      <c r="A69" s="0" t="s">
        <v>1505</v>
      </c>
      <c r="B69" s="0" t="s">
        <v>0</v>
      </c>
      <c r="C69" s="0" t="s">
        <v>26</v>
      </c>
      <c r="D69" s="0" t="s">
        <v>105</v>
      </c>
      <c r="E69" s="0">
        <v>66</v>
      </c>
      <c r="G69" s="0" t="s">
        <v>1506</v>
      </c>
      <c r="H69" s="0" t="s">
        <v>1507</v>
      </c>
    </row>
    <row r="70" spans="1:8" x14ac:dyDescent="0.45">
      <c r="A70" s="0" t="s">
        <v>1508</v>
      </c>
      <c r="B70" s="0" t="s">
        <v>0</v>
      </c>
      <c r="C70" s="0" t="s">
        <v>26</v>
      </c>
      <c r="D70" s="0" t="s">
        <v>105</v>
      </c>
      <c r="E70" s="0">
        <v>67</v>
      </c>
      <c r="G70" s="0" t="s">
        <v>1509</v>
      </c>
      <c r="H70" s="0" t="s">
        <v>1510</v>
      </c>
    </row>
    <row r="71" spans="1:8" x14ac:dyDescent="0.45">
      <c r="A71" s="0" t="s">
        <v>1511</v>
      </c>
      <c r="B71" s="0" t="s">
        <v>0</v>
      </c>
      <c r="C71" s="0" t="s">
        <v>26</v>
      </c>
      <c r="D71" s="0" t="s">
        <v>105</v>
      </c>
      <c r="E71" s="0">
        <v>68</v>
      </c>
      <c r="G71" s="0" t="s">
        <v>1512</v>
      </c>
      <c r="H71" s="0" t="s">
        <v>1513</v>
      </c>
    </row>
    <row r="72" spans="1:8" x14ac:dyDescent="0.45">
      <c r="A72" s="0" t="s">
        <v>1514</v>
      </c>
      <c r="B72" s="0" t="s">
        <v>0</v>
      </c>
      <c r="C72" s="0" t="s">
        <v>26</v>
      </c>
      <c r="D72" s="0" t="s">
        <v>105</v>
      </c>
      <c r="E72" s="0">
        <v>69</v>
      </c>
      <c r="G72" s="0" t="s">
        <v>1515</v>
      </c>
      <c r="H72" s="0" t="s">
        <v>1516</v>
      </c>
    </row>
    <row r="73" spans="1:8" x14ac:dyDescent="0.45">
      <c r="A73" s="0" t="s">
        <v>1517</v>
      </c>
      <c r="B73" s="0" t="s">
        <v>0</v>
      </c>
      <c r="C73" s="0" t="s">
        <v>26</v>
      </c>
      <c r="D73" s="0" t="s">
        <v>105</v>
      </c>
      <c r="E73" s="0">
        <v>70</v>
      </c>
      <c r="G73" s="0" t="s">
        <v>1518</v>
      </c>
      <c r="H73" s="0" t="s">
        <v>1519</v>
      </c>
    </row>
    <row r="74" spans="1:8" x14ac:dyDescent="0.45">
      <c r="A74" s="0" t="s">
        <v>1520</v>
      </c>
      <c r="B74" s="0" t="s">
        <v>0</v>
      </c>
      <c r="C74" s="0" t="s">
        <v>26</v>
      </c>
      <c r="D74" s="0" t="s">
        <v>105</v>
      </c>
      <c r="E74" s="0">
        <v>71</v>
      </c>
      <c r="G74" s="0" t="s">
        <v>1521</v>
      </c>
      <c r="H74" s="0" t="s">
        <v>1522</v>
      </c>
    </row>
    <row r="75" spans="1:8" x14ac:dyDescent="0.45">
      <c r="A75" s="0" t="s">
        <v>1523</v>
      </c>
      <c r="B75" s="0" t="s">
        <v>0</v>
      </c>
      <c r="C75" s="0" t="s">
        <v>26</v>
      </c>
      <c r="D75" s="0" t="s">
        <v>105</v>
      </c>
      <c r="E75" s="0">
        <v>72</v>
      </c>
      <c r="G75" s="0" t="s">
        <v>1524</v>
      </c>
      <c r="H75" s="0" t="s">
        <v>1525</v>
      </c>
    </row>
    <row r="76" spans="1:8" x14ac:dyDescent="0.45">
      <c r="A76" s="0" t="s">
        <v>1526</v>
      </c>
      <c r="B76" s="0" t="s">
        <v>0</v>
      </c>
      <c r="C76" s="0" t="s">
        <v>26</v>
      </c>
      <c r="D76" s="0" t="s">
        <v>105</v>
      </c>
      <c r="E76" s="0">
        <v>73</v>
      </c>
      <c r="G76" s="0" t="s">
        <v>1527</v>
      </c>
      <c r="H76" s="0" t="s">
        <v>1528</v>
      </c>
    </row>
    <row r="77" spans="1:8" x14ac:dyDescent="0.45">
      <c r="A77" s="0" t="s">
        <v>1529</v>
      </c>
      <c r="B77" s="0" t="s">
        <v>0</v>
      </c>
      <c r="C77" s="0" t="s">
        <v>26</v>
      </c>
      <c r="D77" s="0" t="s">
        <v>105</v>
      </c>
      <c r="E77" s="0">
        <v>74</v>
      </c>
      <c r="G77" s="0" t="s">
        <v>1530</v>
      </c>
      <c r="H77" s="0" t="s">
        <v>1531</v>
      </c>
    </row>
    <row r="78" spans="1:8" x14ac:dyDescent="0.45">
      <c r="A78" s="0" t="s">
        <v>1532</v>
      </c>
      <c r="B78" s="0" t="s">
        <v>0</v>
      </c>
      <c r="C78" s="0" t="s">
        <v>26</v>
      </c>
      <c r="D78" s="0" t="s">
        <v>105</v>
      </c>
      <c r="E78" s="0">
        <v>75</v>
      </c>
      <c r="G78" s="0" t="s">
        <v>1533</v>
      </c>
      <c r="H78" s="0" t="s">
        <v>1534</v>
      </c>
    </row>
    <row r="79" spans="1:8" x14ac:dyDescent="0.45">
      <c r="A79" s="0" t="s">
        <v>1535</v>
      </c>
      <c r="B79" s="0" t="s">
        <v>0</v>
      </c>
      <c r="C79" s="0" t="s">
        <v>26</v>
      </c>
      <c r="D79" s="0" t="s">
        <v>105</v>
      </c>
      <c r="E79" s="0">
        <v>76</v>
      </c>
      <c r="G79" s="0" t="s">
        <v>1536</v>
      </c>
      <c r="H79" s="0" t="s">
        <v>1537</v>
      </c>
    </row>
    <row r="80" spans="1:8" x14ac:dyDescent="0.45">
      <c r="A80" s="0" t="s">
        <v>1538</v>
      </c>
      <c r="B80" s="0" t="s">
        <v>0</v>
      </c>
      <c r="C80" s="0" t="s">
        <v>26</v>
      </c>
      <c r="D80" s="0" t="s">
        <v>105</v>
      </c>
      <c r="E80" s="0">
        <v>77</v>
      </c>
      <c r="G80" s="0" t="s">
        <v>1539</v>
      </c>
      <c r="H80" s="0" t="s">
        <v>1540</v>
      </c>
    </row>
    <row r="81" spans="1:8" x14ac:dyDescent="0.45">
      <c r="A81" s="0" t="s">
        <v>1541</v>
      </c>
      <c r="B81" s="0" t="s">
        <v>0</v>
      </c>
      <c r="C81" s="0" t="s">
        <v>26</v>
      </c>
      <c r="D81" s="0" t="s">
        <v>105</v>
      </c>
      <c r="E81" s="0">
        <v>78</v>
      </c>
      <c r="G81" s="0" t="s">
        <v>1542</v>
      </c>
      <c r="H81" s="0" t="s">
        <v>1543</v>
      </c>
    </row>
    <row r="82" spans="1:8" x14ac:dyDescent="0.45">
      <c r="A82" s="0" t="s">
        <v>1544</v>
      </c>
      <c r="B82" s="0" t="s">
        <v>0</v>
      </c>
      <c r="C82" s="0" t="s">
        <v>26</v>
      </c>
      <c r="D82" s="0" t="s">
        <v>105</v>
      </c>
      <c r="E82" s="0">
        <v>79</v>
      </c>
      <c r="G82" s="0" t="s">
        <v>1545</v>
      </c>
      <c r="H82" s="0" t="s">
        <v>1546</v>
      </c>
    </row>
    <row r="83" spans="1:8" x14ac:dyDescent="0.45">
      <c r="A83" s="0" t="s">
        <v>1547</v>
      </c>
      <c r="B83" s="0" t="s">
        <v>0</v>
      </c>
      <c r="C83" s="0" t="s">
        <v>26</v>
      </c>
      <c r="D83" s="0" t="s">
        <v>105</v>
      </c>
      <c r="E83" s="0">
        <v>80</v>
      </c>
      <c r="G83" s="0" t="s">
        <v>1548</v>
      </c>
      <c r="H83" s="0" t="s">
        <v>1549</v>
      </c>
    </row>
    <row r="84" spans="1:8" x14ac:dyDescent="0.45">
      <c r="A84" s="0" t="s">
        <v>1550</v>
      </c>
      <c r="B84" s="0" t="s">
        <v>0</v>
      </c>
      <c r="C84" s="0" t="s">
        <v>26</v>
      </c>
      <c r="D84" s="0" t="s">
        <v>105</v>
      </c>
      <c r="E84" s="0">
        <v>81</v>
      </c>
      <c r="G84" s="0" t="s">
        <v>1551</v>
      </c>
      <c r="H84" s="0" t="s">
        <v>1552</v>
      </c>
    </row>
    <row r="85" spans="1:8" x14ac:dyDescent="0.45">
      <c r="A85" s="0" t="s">
        <v>1553</v>
      </c>
      <c r="B85" s="0" t="s">
        <v>0</v>
      </c>
      <c r="C85" s="0" t="s">
        <v>26</v>
      </c>
      <c r="D85" s="0" t="s">
        <v>105</v>
      </c>
      <c r="E85" s="0">
        <v>82</v>
      </c>
      <c r="G85" s="0" t="s">
        <v>1554</v>
      </c>
      <c r="H85" s="0" t="s">
        <v>1555</v>
      </c>
    </row>
    <row r="86" spans="1:8" x14ac:dyDescent="0.45">
      <c r="A86" s="0" t="s">
        <v>1556</v>
      </c>
      <c r="B86" s="0" t="s">
        <v>0</v>
      </c>
      <c r="C86" s="0" t="s">
        <v>26</v>
      </c>
      <c r="D86" s="0" t="s">
        <v>105</v>
      </c>
      <c r="E86" s="0">
        <v>83</v>
      </c>
      <c r="G86" s="0" t="s">
        <v>1557</v>
      </c>
      <c r="H86" s="0" t="s">
        <v>1558</v>
      </c>
    </row>
    <row r="87" spans="1:8" x14ac:dyDescent="0.45">
      <c r="A87" s="0" t="s">
        <v>1559</v>
      </c>
      <c r="B87" s="0" t="s">
        <v>0</v>
      </c>
      <c r="C87" s="0" t="s">
        <v>26</v>
      </c>
      <c r="D87" s="0" t="s">
        <v>105</v>
      </c>
      <c r="E87" s="0">
        <v>84</v>
      </c>
      <c r="G87" s="0" t="s">
        <v>1560</v>
      </c>
      <c r="H87" s="0" t="s">
        <v>1561</v>
      </c>
    </row>
    <row r="88" spans="1:8" x14ac:dyDescent="0.45">
      <c r="A88" s="0" t="s">
        <v>1562</v>
      </c>
      <c r="B88" s="0" t="s">
        <v>0</v>
      </c>
      <c r="C88" s="0" t="s">
        <v>26</v>
      </c>
      <c r="D88" s="0" t="s">
        <v>105</v>
      </c>
      <c r="E88" s="0">
        <v>85</v>
      </c>
      <c r="G88" s="0" t="s">
        <v>1563</v>
      </c>
      <c r="H88" s="0" t="s">
        <v>1564</v>
      </c>
    </row>
    <row r="89" spans="1:8" x14ac:dyDescent="0.45">
      <c r="A89" s="0" t="s">
        <v>1565</v>
      </c>
      <c r="B89" s="0" t="s">
        <v>0</v>
      </c>
      <c r="C89" s="0" t="s">
        <v>26</v>
      </c>
      <c r="D89" s="0" t="s">
        <v>105</v>
      </c>
      <c r="E89" s="0">
        <v>86</v>
      </c>
      <c r="G89" s="0" t="s">
        <v>1566</v>
      </c>
      <c r="H89" s="0" t="s">
        <v>1567</v>
      </c>
    </row>
    <row r="90" spans="1:8" x14ac:dyDescent="0.45">
      <c r="A90" s="0" t="s">
        <v>1568</v>
      </c>
      <c r="B90" s="0" t="s">
        <v>0</v>
      </c>
      <c r="C90" s="0" t="s">
        <v>26</v>
      </c>
      <c r="D90" s="0" t="s">
        <v>105</v>
      </c>
      <c r="E90" s="0">
        <v>87</v>
      </c>
      <c r="G90" s="0" t="s">
        <v>1569</v>
      </c>
      <c r="H90" s="0" t="s">
        <v>1570</v>
      </c>
    </row>
    <row r="91" spans="1:8" x14ac:dyDescent="0.45">
      <c r="A91" s="0" t="s">
        <v>1571</v>
      </c>
      <c r="B91" s="0" t="s">
        <v>0</v>
      </c>
      <c r="C91" s="0" t="s">
        <v>26</v>
      </c>
      <c r="D91" s="0" t="s">
        <v>105</v>
      </c>
      <c r="E91" s="0">
        <v>88</v>
      </c>
      <c r="G91" s="0" t="s">
        <v>1572</v>
      </c>
      <c r="H91" s="0" t="s">
        <v>1573</v>
      </c>
    </row>
    <row r="92" spans="1:8" x14ac:dyDescent="0.45">
      <c r="A92" s="0" t="s">
        <v>1574</v>
      </c>
      <c r="B92" s="0" t="s">
        <v>0</v>
      </c>
      <c r="C92" s="0" t="s">
        <v>26</v>
      </c>
      <c r="D92" s="0" t="s">
        <v>105</v>
      </c>
      <c r="E92" s="0">
        <v>89</v>
      </c>
      <c r="G92" s="0" t="s">
        <v>1575</v>
      </c>
      <c r="H92" s="0" t="s">
        <v>1576</v>
      </c>
    </row>
    <row r="93" spans="1:8" x14ac:dyDescent="0.45">
      <c r="A93" s="0" t="s">
        <v>1577</v>
      </c>
      <c r="B93" s="0" t="s">
        <v>0</v>
      </c>
      <c r="C93" s="0" t="s">
        <v>26</v>
      </c>
      <c r="D93" s="0" t="s">
        <v>105</v>
      </c>
      <c r="E93" s="0">
        <v>90</v>
      </c>
      <c r="G93" s="0" t="s">
        <v>1578</v>
      </c>
      <c r="H93" s="0" t="s">
        <v>1579</v>
      </c>
    </row>
    <row r="94" spans="1:8" x14ac:dyDescent="0.45">
      <c r="A94" s="0" t="s">
        <v>1580</v>
      </c>
      <c r="B94" s="0" t="s">
        <v>0</v>
      </c>
      <c r="C94" s="0" t="s">
        <v>26</v>
      </c>
      <c r="D94" s="0" t="s">
        <v>105</v>
      </c>
      <c r="E94" s="0">
        <v>91</v>
      </c>
      <c r="G94" s="0" t="s">
        <v>1581</v>
      </c>
      <c r="H94" s="0" t="s">
        <v>1582</v>
      </c>
    </row>
    <row r="95" spans="1:8" x14ac:dyDescent="0.45">
      <c r="A95" s="0" t="s">
        <v>1583</v>
      </c>
      <c r="B95" s="0" t="s">
        <v>0</v>
      </c>
      <c r="C95" s="0" t="s">
        <v>26</v>
      </c>
      <c r="D95" s="0" t="s">
        <v>105</v>
      </c>
      <c r="E95" s="0">
        <v>92</v>
      </c>
      <c r="G95" s="0" t="s">
        <v>1584</v>
      </c>
      <c r="H95" s="0" t="s">
        <v>1585</v>
      </c>
    </row>
    <row r="96" spans="1:8" x14ac:dyDescent="0.45">
      <c r="A96" s="0" t="s">
        <v>1586</v>
      </c>
      <c r="B96" s="0" t="s">
        <v>0</v>
      </c>
      <c r="C96" s="0" t="s">
        <v>26</v>
      </c>
      <c r="D96" s="0" t="s">
        <v>105</v>
      </c>
      <c r="E96" s="0">
        <v>93</v>
      </c>
      <c r="G96" s="0" t="s">
        <v>1587</v>
      </c>
      <c r="H96" s="0" t="s">
        <v>1588</v>
      </c>
    </row>
    <row r="97" spans="1:8" x14ac:dyDescent="0.45">
      <c r="A97" s="0" t="s">
        <v>1589</v>
      </c>
      <c r="B97" s="0" t="s">
        <v>0</v>
      </c>
      <c r="C97" s="0" t="s">
        <v>26</v>
      </c>
      <c r="D97" s="0" t="s">
        <v>105</v>
      </c>
      <c r="E97" s="0">
        <v>94</v>
      </c>
      <c r="G97" s="0" t="s">
        <v>1590</v>
      </c>
      <c r="H97" s="0" t="s">
        <v>1591</v>
      </c>
    </row>
    <row r="98" spans="1:8" x14ac:dyDescent="0.45">
      <c r="A98" s="0" t="s">
        <v>1592</v>
      </c>
      <c r="B98" s="0" t="s">
        <v>0</v>
      </c>
      <c r="C98" s="0" t="s">
        <v>26</v>
      </c>
      <c r="D98" s="0" t="s">
        <v>105</v>
      </c>
      <c r="E98" s="0">
        <v>95</v>
      </c>
      <c r="G98" s="0" t="s">
        <v>1593</v>
      </c>
      <c r="H98" s="0" t="s">
        <v>1594</v>
      </c>
    </row>
    <row r="99" spans="1:8" x14ac:dyDescent="0.45">
      <c r="A99" s="0" t="s">
        <v>1595</v>
      </c>
      <c r="B99" s="0" t="s">
        <v>0</v>
      </c>
      <c r="C99" s="0" t="s">
        <v>26</v>
      </c>
      <c r="D99" s="0" t="s">
        <v>105</v>
      </c>
      <c r="E99" s="0">
        <v>96</v>
      </c>
      <c r="G99" s="0" t="s">
        <v>1596</v>
      </c>
      <c r="H99" s="0" t="s">
        <v>1597</v>
      </c>
    </row>
    <row r="100" spans="1:8" x14ac:dyDescent="0.45">
      <c r="A100" s="0" t="s">
        <v>1598</v>
      </c>
      <c r="B100" s="0" t="s">
        <v>0</v>
      </c>
      <c r="C100" s="0" t="s">
        <v>26</v>
      </c>
      <c r="D100" s="0" t="s">
        <v>105</v>
      </c>
      <c r="E100" s="0">
        <v>97</v>
      </c>
      <c r="G100" s="0" t="s">
        <v>1599</v>
      </c>
      <c r="H100" s="0" t="s">
        <v>1600</v>
      </c>
    </row>
    <row r="101" spans="1:8" x14ac:dyDescent="0.45">
      <c r="A101" s="0" t="s">
        <v>1601</v>
      </c>
      <c r="B101" s="0" t="s">
        <v>0</v>
      </c>
      <c r="C101" s="0" t="s">
        <v>26</v>
      </c>
      <c r="D101" s="0" t="s">
        <v>105</v>
      </c>
      <c r="E101" s="0">
        <v>98</v>
      </c>
      <c r="G101" s="0" t="s">
        <v>1602</v>
      </c>
      <c r="H101" s="0" t="s">
        <v>1603</v>
      </c>
    </row>
    <row r="102" spans="1:8" x14ac:dyDescent="0.45">
      <c r="A102" s="0" t="s">
        <v>1604</v>
      </c>
      <c r="B102" s="0" t="s">
        <v>0</v>
      </c>
      <c r="C102" s="0" t="s">
        <v>26</v>
      </c>
      <c r="D102" s="0" t="s">
        <v>105</v>
      </c>
      <c r="E102" s="0">
        <v>99</v>
      </c>
      <c r="G102" s="0" t="s">
        <v>1605</v>
      </c>
      <c r="H102" s="0" t="s">
        <v>1606</v>
      </c>
    </row>
    <row r="103" spans="1:8" x14ac:dyDescent="0.45">
      <c r="A103" s="0" t="s">
        <v>1607</v>
      </c>
      <c r="B103" s="0" t="s">
        <v>0</v>
      </c>
      <c r="C103" s="0" t="s">
        <v>26</v>
      </c>
      <c r="D103" s="0" t="s">
        <v>105</v>
      </c>
      <c r="E103" s="0">
        <v>100</v>
      </c>
      <c r="G103" s="0" t="s">
        <v>1608</v>
      </c>
      <c r="H103" s="0" t="s">
        <v>1609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H12"/>
  <sheetViews>
    <sheetView workbookViewId="0"/>
  </sheetViews>
  <sheetFormatPr defaultRowHeight="17" x14ac:dyDescent="0.45"/>
  <cols>
    <col min="1" max="1" width="19.082031" style="0" customWidth="1"/>
    <col min="2" max="2" width="10.332031" style="0" customWidth="1"/>
    <col min="3" max="3" width="12.582031" style="0" customWidth="1"/>
    <col min="4" max="4" width="9.082031" style="0" customWidth="1"/>
    <col min="5" max="5" width="15" style="0" customWidth="1"/>
    <col min="6" max="6" width="18.332031" style="0" customWidth="1"/>
    <col min="7" max="8" width="11.082031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1251</v>
      </c>
      <c r="E2" s="0" t="s">
        <v>1610</v>
      </c>
      <c r="F2" s="0" t="s">
        <v>1611</v>
      </c>
      <c r="G2" s="0" t="s">
        <v>1612</v>
      </c>
      <c r="H2" s="0" t="s">
        <v>1613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1614</v>
      </c>
      <c r="F3" s="1" t="s">
        <v>1615</v>
      </c>
      <c r="G3" s="1" t="s">
        <v>1308</v>
      </c>
      <c r="H3" s="1" t="s">
        <v>1309</v>
      </c>
    </row>
    <row r="4" spans="1:8" x14ac:dyDescent="0.45">
      <c r="A4" s="0" t="str">
        <f t="shared" ref="A4:A12" si="0">_xlfn.TEXTJOIN("_",TRUE,C4,"dic_monster",D4)</f>
        <v>s1_dic_monster_1</v>
      </c>
      <c r="B4" s="0" t="s">
        <v>0</v>
      </c>
      <c r="C4" s="0" t="s">
        <v>26</v>
      </c>
      <c r="D4" s="0">
        <v>1</v>
      </c>
      <c r="E4" s="0" t="s">
        <v>1616</v>
      </c>
      <c r="F4" s="0" t="s">
        <v>1617</v>
      </c>
      <c r="G4" s="0" t="s">
        <v>1618</v>
      </c>
      <c r="H4" s="0" t="s">
        <v>1619</v>
      </c>
    </row>
    <row r="5" spans="1:8" x14ac:dyDescent="0.45">
      <c r="A5" s="0" t="str">
        <f t="shared" si="0"/>
        <v>s1_dic_monster_2</v>
      </c>
      <c r="B5" s="0" t="s">
        <v>0</v>
      </c>
      <c r="C5" s="0" t="s">
        <v>26</v>
      </c>
      <c r="D5" s="0">
        <v>2</v>
      </c>
      <c r="E5" s="0" t="s">
        <v>1616</v>
      </c>
      <c r="F5" s="0" t="s">
        <v>1620</v>
      </c>
      <c r="G5" s="0" t="s">
        <v>1621</v>
      </c>
      <c r="H5" s="0" t="s">
        <v>1622</v>
      </c>
    </row>
    <row r="6" spans="1:8" x14ac:dyDescent="0.45">
      <c r="A6" s="0" t="str">
        <f t="shared" si="0"/>
        <v>s1_dic_monster_3</v>
      </c>
      <c r="B6" s="0" t="s">
        <v>0</v>
      </c>
      <c r="C6" s="0" t="s">
        <v>26</v>
      </c>
      <c r="D6" s="0">
        <v>3</v>
      </c>
      <c r="E6" s="0" t="s">
        <v>1616</v>
      </c>
      <c r="F6" s="0" t="s">
        <v>1623</v>
      </c>
      <c r="G6" s="0" t="s">
        <v>1624</v>
      </c>
      <c r="H6" s="0" t="s">
        <v>1625</v>
      </c>
    </row>
    <row r="7" spans="1:8" x14ac:dyDescent="0.45">
      <c r="A7" s="0" t="str">
        <f t="shared" si="0"/>
        <v>s1_dic_monster_4</v>
      </c>
      <c r="B7" s="0" t="s">
        <v>0</v>
      </c>
      <c r="C7" s="0" t="s">
        <v>26</v>
      </c>
      <c r="D7" s="0">
        <v>4</v>
      </c>
      <c r="E7" s="0" t="s">
        <v>1616</v>
      </c>
      <c r="F7" s="0" t="s">
        <v>1626</v>
      </c>
      <c r="G7" s="0" t="s">
        <v>1627</v>
      </c>
      <c r="H7" s="0" t="s">
        <v>1628</v>
      </c>
    </row>
    <row r="8" spans="1:8" x14ac:dyDescent="0.45">
      <c r="A8" s="0" t="str">
        <f t="shared" si="0"/>
        <v>s1_dic_monster_5</v>
      </c>
      <c r="B8" s="0" t="s">
        <v>0</v>
      </c>
      <c r="C8" s="0" t="s">
        <v>26</v>
      </c>
      <c r="D8" s="0">
        <v>5</v>
      </c>
      <c r="E8" s="0" t="s">
        <v>1629</v>
      </c>
      <c r="F8" s="0" t="s">
        <v>1630</v>
      </c>
      <c r="G8" s="0" t="s">
        <v>1631</v>
      </c>
      <c r="H8" s="0" t="s">
        <v>1632</v>
      </c>
    </row>
    <row r="9" spans="1:8" x14ac:dyDescent="0.45">
      <c r="A9" s="0" t="str">
        <f t="shared" si="0"/>
        <v>s1_dic_monster_6</v>
      </c>
      <c r="B9" s="0" t="s">
        <v>0</v>
      </c>
      <c r="C9" s="0" t="s">
        <v>26</v>
      </c>
      <c r="D9" s="0">
        <v>6</v>
      </c>
      <c r="E9" s="0" t="s">
        <v>1629</v>
      </c>
      <c r="F9" s="0" t="s">
        <v>1633</v>
      </c>
      <c r="G9" s="0" t="s">
        <v>1634</v>
      </c>
      <c r="H9" s="0" t="s">
        <v>1635</v>
      </c>
    </row>
    <row r="10" spans="1:8" x14ac:dyDescent="0.45">
      <c r="A10" s="0" t="str">
        <f t="shared" si="0"/>
        <v>s1_dic_monster_7</v>
      </c>
      <c r="B10" s="0" t="s">
        <v>0</v>
      </c>
      <c r="C10" s="0" t="s">
        <v>26</v>
      </c>
      <c r="D10" s="0">
        <v>7</v>
      </c>
      <c r="E10" s="0" t="s">
        <v>1629</v>
      </c>
      <c r="F10" s="0" t="s">
        <v>1636</v>
      </c>
      <c r="G10" s="0" t="s">
        <v>1637</v>
      </c>
      <c r="H10" s="0" t="s">
        <v>1638</v>
      </c>
    </row>
    <row r="11" spans="1:8" x14ac:dyDescent="0.45">
      <c r="A11" s="0" t="str">
        <f t="shared" si="0"/>
        <v>s1_dic_monster_8</v>
      </c>
      <c r="B11" s="0" t="s">
        <v>0</v>
      </c>
      <c r="C11" s="0" t="s">
        <v>26</v>
      </c>
      <c r="D11" s="0">
        <v>8</v>
      </c>
      <c r="E11" s="0" t="s">
        <v>1629</v>
      </c>
      <c r="F11" s="0" t="s">
        <v>1639</v>
      </c>
      <c r="G11" s="0" t="s">
        <v>1640</v>
      </c>
      <c r="H11" s="0" t="s">
        <v>1641</v>
      </c>
    </row>
    <row r="12" spans="1:8" x14ac:dyDescent="0.45">
      <c r="A12" s="0" t="str">
        <f t="shared" si="0"/>
        <v>s1_dic_monster_9</v>
      </c>
      <c r="B12" s="0" t="s">
        <v>0</v>
      </c>
      <c r="C12" s="0" t="s">
        <v>26</v>
      </c>
      <c r="D12" s="0">
        <v>9</v>
      </c>
      <c r="E12" s="0" t="s">
        <v>1642</v>
      </c>
      <c r="F12" s="0" t="s">
        <v>1643</v>
      </c>
      <c r="G12" s="0" t="s">
        <v>1644</v>
      </c>
      <c r="H12" s="0" t="s">
        <v>1645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R8"/>
  <sheetViews>
    <sheetView workbookViewId="0"/>
  </sheetViews>
  <sheetFormatPr defaultRowHeight="17" x14ac:dyDescent="0.45"/>
  <cols>
    <col min="1" max="1" width="24.75" style="0" customWidth="1"/>
    <col min="2" max="2" width="10.332031" style="0" customWidth="1"/>
    <col min="3" max="3" width="12.582031" style="0" customWidth="1"/>
    <col min="4" max="7" width="11.582031" style="0" customWidth="1"/>
    <col min="8" max="8" width="13.5" style="0" customWidth="1"/>
    <col min="9" max="9" width="11.582031" style="0" customWidth="1"/>
    <col min="10" max="10" width="13.75" style="0" customWidth="1"/>
    <col min="11" max="11" width="36" style="0" customWidth="1"/>
    <col min="12" max="12" width="14.082031" style="0" customWidth="1"/>
    <col min="13" max="13" width="11.832031" style="0" customWidth="1"/>
    <col min="14" max="14" width="14.832031" style="0" customWidth="1"/>
    <col min="15" max="15" width="13.5" style="0" customWidth="1"/>
    <col min="16" max="16" width="11.582031" style="0" customWidth="1"/>
    <col min="17" max="17" width="13.75" style="0" customWidth="1"/>
    <col min="18" max="18" width="36" style="0" customWidth="1"/>
  </cols>
  <sheetData>
    <row r="1" spans="1:1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</row>
    <row r="2" spans="1:18" x14ac:dyDescent="0.45">
      <c r="A2" s="0" t="s">
        <v>1</v>
      </c>
      <c r="C2" s="1" t="s">
        <v>2</v>
      </c>
      <c r="D2" s="0" t="s">
        <v>1646</v>
      </c>
      <c r="E2" s="0" t="s">
        <v>60</v>
      </c>
      <c r="F2" s="0" t="s">
        <v>61</v>
      </c>
      <c r="G2" s="0" t="s">
        <v>62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60</v>
      </c>
      <c r="M2" s="0" t="s">
        <v>61</v>
      </c>
      <c r="N2" s="0" t="s">
        <v>62</v>
      </c>
      <c r="O2" s="0" t="s">
        <v>9</v>
      </c>
      <c r="P2" s="0" t="s">
        <v>10</v>
      </c>
      <c r="Q2" s="0" t="s">
        <v>11</v>
      </c>
      <c r="R2" s="0" t="s">
        <v>12</v>
      </c>
    </row>
    <row r="3" spans="1:18" x14ac:dyDescent="0.45">
      <c r="A3" s="1" t="s">
        <v>13</v>
      </c>
      <c r="B3" s="1" t="s">
        <v>14</v>
      </c>
      <c r="C3" s="1" t="s">
        <v>15</v>
      </c>
      <c r="D3" s="1" t="s">
        <v>1647</v>
      </c>
      <c r="E3" s="1" t="s">
        <v>67</v>
      </c>
      <c r="F3" s="1" t="s">
        <v>18</v>
      </c>
      <c r="G3" s="1" t="s">
        <v>69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</row>
    <row r="4" spans="1:18" x14ac:dyDescent="0.45">
      <c r="A4" s="0" t="str">
        <f>_xlfn.TEXTJOIN("_",TRUE,C4,"reward",D4*100)</f>
        <v>s1_reward_20</v>
      </c>
      <c r="B4" s="0" t="s">
        <v>0</v>
      </c>
      <c r="C4" s="0" t="s">
        <v>26</v>
      </c>
      <c r="D4" s="2">
        <v>0.2</v>
      </c>
      <c r="E4" s="2" t="s">
        <v>80</v>
      </c>
      <c r="F4" s="2" t="s">
        <v>27</v>
      </c>
      <c r="G4" s="2">
        <v>100000</v>
      </c>
    </row>
    <row r="5" spans="1:18" x14ac:dyDescent="0.45">
      <c r="A5" s="0" t="str">
        <f>_xlfn.TEXTJOIN("_",TRUE,C5,"reward",D5*100)</f>
        <v>s1_reward_40</v>
      </c>
      <c r="B5" s="0" t="s">
        <v>0</v>
      </c>
      <c r="C5" s="0" t="s">
        <v>26</v>
      </c>
      <c r="D5" s="2">
        <v>0.4</v>
      </c>
      <c r="E5" s="2" t="s">
        <v>80</v>
      </c>
      <c r="F5" s="2" t="s">
        <v>32</v>
      </c>
      <c r="G5" s="2">
        <v>100</v>
      </c>
    </row>
    <row r="6" spans="1:18" x14ac:dyDescent="0.45">
      <c r="A6" s="0" t="str">
        <f>_xlfn.TEXTJOIN("_",TRUE,C6,"reward",D6*100)</f>
        <v>s1_reward_60</v>
      </c>
      <c r="B6" s="0" t="s">
        <v>0</v>
      </c>
      <c r="C6" s="0" t="s">
        <v>26</v>
      </c>
      <c r="D6" s="2">
        <v>0.6</v>
      </c>
      <c r="E6" s="2" t="s">
        <v>80</v>
      </c>
      <c r="F6" s="2" t="s">
        <v>30</v>
      </c>
      <c r="G6" s="2">
        <v>10</v>
      </c>
      <c r="L6" s="0" t="s">
        <v>80</v>
      </c>
      <c r="M6" s="0" t="s">
        <v>29</v>
      </c>
      <c r="N6" s="0">
        <v>500</v>
      </c>
    </row>
    <row r="7" spans="1:18" x14ac:dyDescent="0.45">
      <c r="A7" s="0" t="str">
        <f>_xlfn.TEXTJOIN("_",TRUE,C7,"reward",D7*100)</f>
        <v>s1_reward_80</v>
      </c>
      <c r="B7" s="0" t="s">
        <v>0</v>
      </c>
      <c r="C7" s="0" t="s">
        <v>26</v>
      </c>
      <c r="D7" s="2">
        <v>0.8</v>
      </c>
      <c r="E7" s="2" t="s">
        <v>80</v>
      </c>
      <c r="F7" s="2" t="s">
        <v>34</v>
      </c>
      <c r="G7" s="2">
        <v>80</v>
      </c>
      <c r="L7" s="0" t="s">
        <v>80</v>
      </c>
      <c r="M7" s="0" t="s">
        <v>49</v>
      </c>
      <c r="N7" s="0">
        <v>1</v>
      </c>
    </row>
    <row r="8" spans="1:18" x14ac:dyDescent="0.45">
      <c r="A8" s="0" t="str">
        <f>_xlfn.TEXTJOIN("_",TRUE,C8,"reward",D8*100)</f>
        <v>s1_reward_100</v>
      </c>
      <c r="B8" s="0" t="s">
        <v>0</v>
      </c>
      <c r="C8" s="0" t="s">
        <v>26</v>
      </c>
      <c r="D8" s="2">
        <v>1</v>
      </c>
      <c r="E8" s="2" t="s">
        <v>80</v>
      </c>
      <c r="F8" s="2" t="s">
        <v>1648</v>
      </c>
      <c r="G8" s="2">
        <v>1</v>
      </c>
      <c r="L8" s="0" t="s">
        <v>80</v>
      </c>
      <c r="M8" s="0" t="s">
        <v>52</v>
      </c>
      <c r="N8" s="0">
        <v>5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V8"/>
  <sheetViews>
    <sheetView workbookViewId="0">
      <selection activeCell="F6" sqref="F6"/>
    </sheetView>
  </sheetViews>
  <sheetFormatPr defaultRowHeight="17" x14ac:dyDescent="0.45"/>
  <cols>
    <col min="1" max="1" width="17.832031" style="0" customWidth="1"/>
    <col min="2" max="3" width="14.832031" style="0" customWidth="1"/>
    <col min="4" max="4" width="9.090625" style="0" customWidth="1"/>
    <col min="5" max="5" width="18.414062" style="0" bestFit="1" customWidth="1"/>
    <col min="6" max="6" width="25.332031" style="0" customWidth="1"/>
    <col min="7" max="7" width="14.832031" style="0" customWidth="1"/>
    <col min="8" max="8" width="19.582031" style="0" bestFit="1" customWidth="1"/>
    <col min="9" max="9" width="12.832031" style="0" customWidth="1"/>
    <col min="10" max="10" width="16.25" style="0" bestFit="1" customWidth="1"/>
    <col min="11" max="11" width="13.832031" style="0" customWidth="1"/>
    <col min="12" max="12" width="12.582031" style="0" customWidth="1"/>
    <col min="13" max="13" width="10.832031" style="0" customWidth="1"/>
    <col min="14" max="14" width="13.75" style="0" customWidth="1"/>
    <col min="15" max="15" width="36" style="0" customWidth="1"/>
    <col min="16" max="16" width="12.832031" style="0" customWidth="1"/>
    <col min="17" max="17" width="10.832031" style="0" customWidth="1"/>
    <col min="18" max="18" width="13.832031" style="0" customWidth="1"/>
    <col min="19" max="19" width="12.582031" style="0" customWidth="1"/>
    <col min="20" max="20" width="10.832031" style="0" customWidth="1"/>
    <col min="21" max="21" width="13.75" style="0" customWidth="1"/>
    <col min="22" max="22" width="36" style="0" customWidth="1"/>
  </cols>
  <sheetData>
    <row r="1" spans="1:22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</row>
    <row r="2" spans="1:22" x14ac:dyDescent="0.45">
      <c r="A2" s="0" t="s">
        <v>1</v>
      </c>
      <c r="C2" s="0" t="s">
        <v>2</v>
      </c>
      <c r="D2" s="13" t="s">
        <v>1650</v>
      </c>
      <c r="E2" s="13" t="s">
        <v>1651</v>
      </c>
      <c r="F2" s="0" t="s">
        <v>1649</v>
      </c>
      <c r="G2" s="0" t="s">
        <v>1652</v>
      </c>
      <c r="H2" s="13" t="s">
        <v>1654</v>
      </c>
      <c r="I2" s="0" t="s">
        <v>1653</v>
      </c>
      <c r="J2" s="0" t="s">
        <v>1655</v>
      </c>
      <c r="K2" s="0" t="s">
        <v>1656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1653</v>
      </c>
      <c r="Q2" s="0" t="s">
        <v>1655</v>
      </c>
      <c r="R2" s="0" t="s">
        <v>1656</v>
      </c>
      <c r="S2" s="0" t="s">
        <v>9</v>
      </c>
      <c r="T2" s="0" t="s">
        <v>10</v>
      </c>
      <c r="U2" s="0" t="s">
        <v>11</v>
      </c>
      <c r="V2" s="0" t="s">
        <v>12</v>
      </c>
    </row>
    <row r="3" spans="1:22" s="1" customFormat="1" x14ac:dyDescent="0.45">
      <c r="A3" s="1" t="s">
        <v>13</v>
      </c>
      <c r="B3" s="1" t="s">
        <v>14</v>
      </c>
      <c r="C3" s="1" t="s">
        <v>15</v>
      </c>
      <c r="E3" s="1" t="s">
        <v>1658</v>
      </c>
      <c r="F3" s="1" t="s">
        <v>1657</v>
      </c>
      <c r="G3" s="1" t="s">
        <v>1659</v>
      </c>
      <c r="H3" s="1" t="s">
        <v>1661</v>
      </c>
      <c r="I3" s="1" t="s">
        <v>1660</v>
      </c>
      <c r="J3" s="1" t="s">
        <v>18</v>
      </c>
      <c r="K3" s="1" t="s">
        <v>19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1662</v>
      </c>
      <c r="Q3" s="1" t="s">
        <v>71</v>
      </c>
      <c r="R3" s="1" t="s">
        <v>1663</v>
      </c>
      <c r="S3" s="1" t="s">
        <v>73</v>
      </c>
      <c r="T3" s="1" t="s">
        <v>74</v>
      </c>
      <c r="U3" s="1" t="s">
        <v>75</v>
      </c>
      <c r="V3" s="1" t="s">
        <v>76</v>
      </c>
    </row>
    <row r="4" spans="1:22" x14ac:dyDescent="0.45">
      <c r="A4" s="0" t="str">
        <f>_xlfn.TEXTJOIN("_",TRUE,C4,"mission_normal",D4)</f>
        <v>s1_mission_normal_1</v>
      </c>
      <c r="B4" s="0" t="s">
        <v>0</v>
      </c>
      <c r="C4" s="0" t="s">
        <v>26</v>
      </c>
      <c r="D4" s="0">
        <v>1</v>
      </c>
      <c r="E4" s="0" t="s">
        <v>1664</v>
      </c>
      <c r="F4" s="13" t="s">
        <v>1665</v>
      </c>
      <c r="G4" s="0">
        <v>1</v>
      </c>
      <c r="H4" s="0" t="str">
        <f>VLOOKUP(F4,레퍼런스!$E$143:$I$148,4,FALSE)</f>
        <v>clear_battle_level_text</v>
      </c>
      <c r="I4" s="0" t="s">
        <v>80</v>
      </c>
      <c r="J4" s="0" t="s">
        <v>27</v>
      </c>
      <c r="K4" s="0">
        <v>100000</v>
      </c>
      <c r="P4" s="0" t="s">
        <v>80</v>
      </c>
      <c r="Q4" s="0" t="s">
        <v>29</v>
      </c>
      <c r="R4" s="0">
        <v>300</v>
      </c>
    </row>
    <row r="5" spans="1:22" x14ac:dyDescent="0.45">
      <c r="A5" s="0" t="str">
        <f t="shared" ref="A5:A8" si="0">_xlfn.TEXTJOIN("_",TRUE,C5,"mission_normal",D5)</f>
        <v>s1_mission_normal_2</v>
      </c>
      <c r="B5" s="0" t="s">
        <v>0</v>
      </c>
      <c r="C5" s="0" t="s">
        <v>26</v>
      </c>
      <c r="D5" s="0">
        <v>2</v>
      </c>
      <c r="E5" s="0" t="s">
        <v>1664</v>
      </c>
      <c r="F5" s="13" t="s">
        <v>1666</v>
      </c>
      <c r="G5" s="13" t="s">
        <v>1667</v>
      </c>
      <c r="H5" s="0" t="str">
        <f>VLOOKUP(F5,레퍼런스!$E$143:$I$148,4,FALSE)</f>
        <v>clear_with_hero_text</v>
      </c>
      <c r="I5" s="0" t="s">
        <v>80</v>
      </c>
      <c r="J5" s="0" t="s">
        <v>27</v>
      </c>
      <c r="K5" s="0">
        <v>200000</v>
      </c>
      <c r="P5" s="0" t="s">
        <v>80</v>
      </c>
      <c r="Q5" s="0" t="s">
        <v>29</v>
      </c>
      <c r="R5" s="0">
        <v>300</v>
      </c>
    </row>
    <row r="6" spans="1:22" x14ac:dyDescent="0.45">
      <c r="A6" s="0" t="str">
        <f t="shared" si="0"/>
        <v>s1_mission_normal_3</v>
      </c>
      <c r="B6" s="0" t="s">
        <v>0</v>
      </c>
      <c r="C6" s="0" t="s">
        <v>26</v>
      </c>
      <c r="D6" s="0">
        <v>3</v>
      </c>
      <c r="E6" s="0" t="s">
        <v>1664</v>
      </c>
      <c r="F6" s="0" t="s">
        <v>1668</v>
      </c>
      <c r="G6" s="13" t="s">
        <v>1669</v>
      </c>
      <c r="H6" s="0" t="str">
        <f>VLOOKUP(F6,레퍼런스!$E$143:$I$148,4,FALSE)</f>
        <v>clear_event_text</v>
      </c>
      <c r="I6" s="0" t="s">
        <v>80</v>
      </c>
      <c r="J6" s="0" t="s">
        <v>27</v>
      </c>
      <c r="K6" s="0">
        <v>300000</v>
      </c>
      <c r="P6" s="0" t="s">
        <v>80</v>
      </c>
      <c r="Q6" s="0" t="s">
        <v>29</v>
      </c>
      <c r="R6" s="0">
        <v>300</v>
      </c>
    </row>
    <row r="7" spans="1:22" x14ac:dyDescent="0.45">
      <c r="A7" s="0" t="str">
        <f t="shared" si="0"/>
        <v>s1_mission_normal_4</v>
      </c>
      <c r="B7" s="0" t="s">
        <v>0</v>
      </c>
      <c r="C7" s="0" t="s">
        <v>26</v>
      </c>
      <c r="D7" s="0">
        <v>4</v>
      </c>
      <c r="E7" s="0" t="s">
        <v>1664</v>
      </c>
      <c r="F7" s="0" t="s">
        <v>1670</v>
      </c>
      <c r="G7" s="13" t="s">
        <v>1667</v>
      </c>
      <c r="H7" s="0" t="str">
        <f>VLOOKUP(F7,레퍼런스!$E$143:$I$148,4,FALSE)</f>
        <v>recruit_hero_text</v>
      </c>
      <c r="I7" s="0" t="s">
        <v>80</v>
      </c>
      <c r="J7" s="0" t="s">
        <v>27</v>
      </c>
      <c r="K7" s="0">
        <v>400000</v>
      </c>
      <c r="P7" s="0" t="s">
        <v>80</v>
      </c>
      <c r="Q7" s="0" t="s">
        <v>29</v>
      </c>
      <c r="R7" s="0">
        <v>300</v>
      </c>
    </row>
    <row r="8" spans="1:22" x14ac:dyDescent="0.45">
      <c r="A8" s="0" t="str">
        <f t="shared" si="0"/>
        <v>s1_mission_normal_5</v>
      </c>
      <c r="B8" s="0" t="s">
        <v>0</v>
      </c>
      <c r="C8" s="0" t="s">
        <v>26</v>
      </c>
      <c r="D8" s="0">
        <v>5</v>
      </c>
      <c r="E8" s="0" t="s">
        <v>1664</v>
      </c>
      <c r="F8" s="13" t="s">
        <v>1672</v>
      </c>
      <c r="G8" s="13" t="s">
        <v>1671</v>
      </c>
      <c r="H8" s="0" t="str">
        <f>VLOOKUP(F8,레퍼런스!$E$143:$I$148,4,FALSE)</f>
        <v>collect_relic_text</v>
      </c>
      <c r="I8" s="0" t="s">
        <v>80</v>
      </c>
      <c r="J8" s="0" t="s">
        <v>27</v>
      </c>
      <c r="K8" s="0">
        <v>500000</v>
      </c>
      <c r="P8" s="0" t="s">
        <v>80</v>
      </c>
      <c r="Q8" s="0" t="s">
        <v>29</v>
      </c>
      <c r="R8" s="0">
        <v>300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387C7116-8297-4DF1-B0F2-CFA5D45D0218}" mc:Ignorable="x14ac xr xr2 xr3">
  <sheetPr>
    <outlinePr summaryBelow="1" summaryRight="1"/>
  </sheetPr>
  <dimension ref="A1:Z9"/>
  <sheetViews>
    <sheetView workbookViewId="0">
      <selection activeCell="G18" sqref="G18"/>
    </sheetView>
  </sheetViews>
  <sheetFormatPr defaultRowHeight="17" x14ac:dyDescent="0.45"/>
  <cols>
    <col min="1" max="1" width="18.832031" style="0" bestFit="1" customWidth="1"/>
    <col min="2" max="3" width="14.832031" style="0" customWidth="1"/>
    <col min="4" max="4" width="9.090625" style="0" customWidth="1"/>
    <col min="5" max="5" width="18.164062" style="0" bestFit="1" customWidth="1"/>
    <col min="6" max="6" width="14.832031" style="0" bestFit="1" customWidth="1"/>
    <col min="7" max="7" width="18.414062" style="0" bestFit="1" customWidth="1"/>
    <col min="8" max="8" width="14.832031" style="0" bestFit="1" customWidth="1"/>
    <col min="9" max="9" width="18.414062" style="0" bestFit="1" customWidth="1"/>
    <col min="10" max="10" width="25.332031" style="0" customWidth="1"/>
    <col min="11" max="11" width="14.832031" style="0" customWidth="1"/>
    <col min="12" max="12" width="19.582031" style="0" bestFit="1" customWidth="1"/>
    <col min="13" max="13" width="12.832031" style="0" customWidth="1"/>
    <col min="14" max="14" width="16.25" style="0" bestFit="1" customWidth="1"/>
    <col min="15" max="15" width="13.832031" style="0" customWidth="1"/>
    <col min="16" max="16" width="12.582031" style="0" customWidth="1"/>
    <col min="17" max="17" width="10.832031" style="0" customWidth="1"/>
    <col min="18" max="18" width="13.75" style="0" customWidth="1"/>
    <col min="19" max="19" width="36" style="0" customWidth="1"/>
    <col min="20" max="20" width="12.832031" style="0" customWidth="1"/>
    <col min="21" max="21" width="10.832031" style="0" customWidth="1"/>
    <col min="22" max="22" width="13.832031" style="0" customWidth="1"/>
    <col min="23" max="23" width="12.582031" style="0" customWidth="1"/>
    <col min="24" max="24" width="10.832031" style="0" customWidth="1"/>
    <col min="25" max="25" width="13.75" style="0" customWidth="1"/>
    <col min="26" max="26" width="36" style="0" customWidth="1"/>
  </cols>
  <sheetData>
    <row r="1" spans="1:26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0</v>
      </c>
      <c r="Z1" s="0" t="s">
        <v>0</v>
      </c>
    </row>
    <row r="2" spans="1:26" x14ac:dyDescent="0.45">
      <c r="A2" s="0" t="s">
        <v>1</v>
      </c>
      <c r="C2" s="0" t="s">
        <v>2</v>
      </c>
      <c r="D2" s="13" t="s">
        <v>1650</v>
      </c>
      <c r="E2" s="13" t="s">
        <v>1651</v>
      </c>
      <c r="F2" s="0" t="s">
        <v>1673</v>
      </c>
      <c r="G2" s="0" t="s">
        <v>1674</v>
      </c>
      <c r="H2" s="0" t="s">
        <v>1673</v>
      </c>
      <c r="I2" s="0" t="s">
        <v>1674</v>
      </c>
      <c r="J2" s="0" t="s">
        <v>1649</v>
      </c>
      <c r="K2" s="0" t="s">
        <v>1652</v>
      </c>
      <c r="L2" s="13" t="s">
        <v>1654</v>
      </c>
      <c r="M2" s="0" t="s">
        <v>1653</v>
      </c>
      <c r="N2" s="0" t="s">
        <v>1655</v>
      </c>
      <c r="O2" s="0" t="s">
        <v>1656</v>
      </c>
      <c r="P2" s="0" t="s">
        <v>9</v>
      </c>
      <c r="Q2" s="0" t="s">
        <v>10</v>
      </c>
      <c r="R2" s="0" t="s">
        <v>11</v>
      </c>
      <c r="S2" s="0" t="s">
        <v>12</v>
      </c>
      <c r="T2" s="0" t="s">
        <v>1653</v>
      </c>
      <c r="U2" s="0" t="s">
        <v>1655</v>
      </c>
      <c r="V2" s="0" t="s">
        <v>1656</v>
      </c>
      <c r="W2" s="0" t="s">
        <v>9</v>
      </c>
      <c r="X2" s="0" t="s">
        <v>10</v>
      </c>
      <c r="Y2" s="0" t="s">
        <v>11</v>
      </c>
      <c r="Z2" s="0" t="s">
        <v>12</v>
      </c>
    </row>
    <row r="3" spans="1:26" s="1" customFormat="1" x14ac:dyDescent="0.45">
      <c r="A3" s="1" t="s">
        <v>13</v>
      </c>
      <c r="B3" s="1" t="s">
        <v>14</v>
      </c>
      <c r="C3" s="1" t="s">
        <v>15</v>
      </c>
      <c r="E3" s="1" t="s">
        <v>1658</v>
      </c>
      <c r="F3" s="1" t="s">
        <v>1676</v>
      </c>
      <c r="G3" s="1" t="s">
        <v>1675</v>
      </c>
      <c r="H3" s="1" t="s">
        <v>1677</v>
      </c>
      <c r="I3" s="1" t="s">
        <v>1678</v>
      </c>
      <c r="J3" s="1" t="s">
        <v>1657</v>
      </c>
      <c r="K3" s="1" t="s">
        <v>1659</v>
      </c>
      <c r="L3" s="1" t="s">
        <v>1661</v>
      </c>
      <c r="M3" s="1" t="s">
        <v>1660</v>
      </c>
      <c r="N3" s="1" t="s">
        <v>18</v>
      </c>
      <c r="O3" s="1" t="s">
        <v>19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1662</v>
      </c>
      <c r="U3" s="1" t="s">
        <v>71</v>
      </c>
      <c r="V3" s="1" t="s">
        <v>1663</v>
      </c>
      <c r="W3" s="1" t="s">
        <v>73</v>
      </c>
      <c r="X3" s="1" t="s">
        <v>74</v>
      </c>
      <c r="Y3" s="1" t="s">
        <v>75</v>
      </c>
      <c r="Z3" s="1" t="s">
        <v>76</v>
      </c>
    </row>
    <row r="4" spans="1:26" x14ac:dyDescent="0.45">
      <c r="A4" s="0" t="str">
        <f>_xlfn.TEXTJOIN("_",TRUE,C4,"mission_season",D4)</f>
        <v>s1_mission_season_1</v>
      </c>
      <c r="B4" s="0" t="s">
        <v>0</v>
      </c>
      <c r="C4" s="0" t="s">
        <v>26</v>
      </c>
      <c r="D4" s="0">
        <v>1</v>
      </c>
      <c r="E4" s="13" t="s">
        <v>1679</v>
      </c>
      <c r="F4" s="16">
        <v>46282</v>
      </c>
      <c r="G4" s="16">
        <f>F4+7</f>
        <v>46289</v>
      </c>
      <c r="H4" s="16">
        <f>F4+21</f>
        <v>46303</v>
      </c>
      <c r="I4" s="16">
        <f>H4+7</f>
        <v>46310</v>
      </c>
      <c r="J4" s="13" t="s">
        <v>1665</v>
      </c>
      <c r="K4" s="0">
        <v>2</v>
      </c>
      <c r="L4" s="0" t="str">
        <f>VLOOKUP(J4,레퍼런스!$E$143:$I$148,4,FALSE)</f>
        <v>clear_battle_level_text</v>
      </c>
      <c r="M4" s="0" t="s">
        <v>80</v>
      </c>
      <c r="N4" s="0" t="s">
        <v>35</v>
      </c>
      <c r="O4" s="0">
        <v>5</v>
      </c>
      <c r="T4" s="0" t="s">
        <v>80</v>
      </c>
      <c r="U4" s="0" t="s">
        <v>32</v>
      </c>
      <c r="V4" s="0">
        <v>300</v>
      </c>
    </row>
    <row r="5" spans="1:26" x14ac:dyDescent="0.45">
      <c r="A5" s="0" t="str">
        <f t="shared" ref="A5:A9" si="0">_xlfn.TEXTJOIN("_",TRUE,C5,"mission_season",D5)</f>
        <v>s1_mission_season_2</v>
      </c>
      <c r="B5" s="0" t="s">
        <v>0</v>
      </c>
      <c r="C5" s="0" t="s">
        <v>26</v>
      </c>
      <c r="D5" s="0">
        <v>2</v>
      </c>
      <c r="E5" s="13" t="s">
        <v>1679</v>
      </c>
      <c r="F5" s="16">
        <f>G4</f>
        <v>46289</v>
      </c>
      <c r="G5" s="16">
        <f>F5+7</f>
        <v>46296</v>
      </c>
      <c r="H5" s="16">
        <f>I4</f>
        <v>46310</v>
      </c>
      <c r="I5" s="16">
        <f>H5+7</f>
        <v>46317</v>
      </c>
      <c r="J5" s="13" t="s">
        <v>1666</v>
      </c>
      <c r="K5" s="13" t="s">
        <v>1680</v>
      </c>
      <c r="L5" s="0" t="str">
        <f>VLOOKUP(J5,레퍼런스!$E$143:$I$148,4,FALSE)</f>
        <v>clear_with_hero_text</v>
      </c>
      <c r="M5" s="0" t="s">
        <v>80</v>
      </c>
      <c r="N5" s="0" t="s">
        <v>35</v>
      </c>
      <c r="O5" s="0">
        <v>5</v>
      </c>
      <c r="T5" s="0" t="s">
        <v>80</v>
      </c>
      <c r="U5" s="0" t="s">
        <v>32</v>
      </c>
      <c r="V5" s="0">
        <v>300</v>
      </c>
    </row>
    <row r="6" spans="1:26" x14ac:dyDescent="0.45">
      <c r="A6" s="0" t="str">
        <f t="shared" si="0"/>
        <v>s1_mission_season_3</v>
      </c>
      <c r="B6" s="0" t="s">
        <v>0</v>
      </c>
      <c r="C6" s="0" t="s">
        <v>26</v>
      </c>
      <c r="D6" s="0">
        <v>3</v>
      </c>
      <c r="E6" s="13" t="s">
        <v>1679</v>
      </c>
      <c r="F6" s="16">
        <f t="shared" ref="F6:H9" si="1">G5</f>
        <v>46296</v>
      </c>
      <c r="G6" s="16">
        <f t="shared" ref="G6:I9" si="2">F6+7</f>
        <v>46303</v>
      </c>
      <c r="H6" s="16">
        <f t="shared" si="1"/>
        <v>46317</v>
      </c>
      <c r="I6" s="16">
        <f t="shared" si="2"/>
        <v>46324</v>
      </c>
      <c r="J6" s="0" t="s">
        <v>1668</v>
      </c>
      <c r="K6" s="13" t="s">
        <v>1681</v>
      </c>
      <c r="L6" s="0" t="str">
        <f>VLOOKUP(J6,레퍼런스!$E$143:$I$148,4,FALSE)</f>
        <v>clear_event_text</v>
      </c>
      <c r="M6" s="0" t="s">
        <v>80</v>
      </c>
      <c r="N6" s="0" t="s">
        <v>35</v>
      </c>
      <c r="O6" s="0">
        <v>5</v>
      </c>
      <c r="T6" s="0" t="s">
        <v>80</v>
      </c>
      <c r="U6" s="0" t="s">
        <v>32</v>
      </c>
      <c r="V6" s="0">
        <v>300</v>
      </c>
    </row>
    <row r="7" spans="1:26" x14ac:dyDescent="0.45">
      <c r="A7" s="0" t="str">
        <f t="shared" si="0"/>
        <v>s1_mission_season_4</v>
      </c>
      <c r="B7" s="0" t="s">
        <v>0</v>
      </c>
      <c r="C7" s="0" t="s">
        <v>26</v>
      </c>
      <c r="D7" s="0">
        <v>4</v>
      </c>
      <c r="E7" s="13" t="s">
        <v>1679</v>
      </c>
      <c r="F7" s="16">
        <f t="shared" si="1"/>
        <v>46303</v>
      </c>
      <c r="G7" s="16">
        <f t="shared" si="2"/>
        <v>46310</v>
      </c>
      <c r="H7" s="16">
        <f t="shared" si="1"/>
        <v>46324</v>
      </c>
      <c r="I7" s="16">
        <f t="shared" si="2"/>
        <v>46331</v>
      </c>
      <c r="J7" s="0" t="s">
        <v>1670</v>
      </c>
      <c r="K7" s="13" t="s">
        <v>1680</v>
      </c>
      <c r="L7" s="0" t="str">
        <f>VLOOKUP(J7,레퍼런스!$E$143:$I$148,4,FALSE)</f>
        <v>recruit_hero_text</v>
      </c>
      <c r="M7" s="0" t="s">
        <v>80</v>
      </c>
      <c r="N7" s="0" t="s">
        <v>35</v>
      </c>
      <c r="O7" s="0">
        <v>5</v>
      </c>
      <c r="T7" s="0" t="s">
        <v>80</v>
      </c>
      <c r="U7" s="0" t="s">
        <v>32</v>
      </c>
      <c r="V7" s="0">
        <v>300</v>
      </c>
    </row>
    <row r="8" spans="1:26" x14ac:dyDescent="0.45">
      <c r="A8" s="0" t="str">
        <f t="shared" si="0"/>
        <v>s1_mission_season_5</v>
      </c>
      <c r="B8" s="0" t="s">
        <v>0</v>
      </c>
      <c r="C8" s="0" t="s">
        <v>26</v>
      </c>
      <c r="D8" s="0">
        <v>5</v>
      </c>
      <c r="E8" s="13" t="s">
        <v>1679</v>
      </c>
      <c r="F8" s="16">
        <f t="shared" si="1"/>
        <v>46310</v>
      </c>
      <c r="G8" s="16">
        <f t="shared" si="2"/>
        <v>46317</v>
      </c>
      <c r="H8" s="16">
        <f t="shared" si="1"/>
        <v>46331</v>
      </c>
      <c r="I8" s="16">
        <f t="shared" si="2"/>
        <v>46338</v>
      </c>
      <c r="J8" s="13" t="s">
        <v>1672</v>
      </c>
      <c r="K8" s="13" t="s">
        <v>1682</v>
      </c>
      <c r="L8" s="0" t="str">
        <f>VLOOKUP(J8,레퍼런스!$E$143:$I$148,4,FALSE)</f>
        <v>collect_relic_text</v>
      </c>
      <c r="M8" s="0" t="s">
        <v>80</v>
      </c>
      <c r="N8" s="0" t="s">
        <v>35</v>
      </c>
      <c r="O8" s="0">
        <v>5</v>
      </c>
      <c r="T8" s="0" t="s">
        <v>80</v>
      </c>
      <c r="U8" s="0" t="s">
        <v>32</v>
      </c>
      <c r="V8" s="0">
        <v>300</v>
      </c>
    </row>
    <row r="9" spans="1:26" x14ac:dyDescent="0.45">
      <c r="A9" s="0" t="str">
        <f t="shared" si="0"/>
        <v>s1_mission_season_6</v>
      </c>
      <c r="B9" s="0" t="s">
        <v>0</v>
      </c>
      <c r="C9" s="0" t="s">
        <v>26</v>
      </c>
      <c r="D9" s="0">
        <v>6</v>
      </c>
      <c r="E9" s="13" t="s">
        <v>1679</v>
      </c>
      <c r="F9" s="16">
        <f t="shared" si="1"/>
        <v>46317</v>
      </c>
      <c r="G9" s="16">
        <f>F9+7</f>
        <v>46324</v>
      </c>
      <c r="H9" s="16">
        <f t="shared" si="1"/>
        <v>46338</v>
      </c>
      <c r="I9" s="16">
        <f t="shared" si="2"/>
        <v>46345</v>
      </c>
      <c r="J9" s="13" t="s">
        <v>1665</v>
      </c>
      <c r="K9" s="0">
        <v>3</v>
      </c>
      <c r="L9" s="0" t="str">
        <f>VLOOKUP(J9,레퍼런스!$E$143:$I$148,4,FALSE)</f>
        <v>clear_battle_level_text</v>
      </c>
      <c r="M9" s="0" t="s">
        <v>80</v>
      </c>
      <c r="N9" s="0" t="s">
        <v>35</v>
      </c>
      <c r="O9" s="0">
        <v>5</v>
      </c>
      <c r="T9" s="0" t="s">
        <v>80</v>
      </c>
      <c r="U9" s="0" t="s">
        <v>32</v>
      </c>
      <c r="V9" s="0">
        <v>300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G8"/>
  <sheetViews>
    <sheetView tabSelected="1" workbookViewId="0">
      <selection activeCell="F3" sqref="F3"/>
    </sheetView>
  </sheetViews>
  <sheetFormatPr defaultRowHeight="17" x14ac:dyDescent="0.45"/>
  <cols>
    <col min="1" max="1" width="18" style="0" customWidth="1"/>
    <col min="2" max="5" width="14.832031" style="0" customWidth="1"/>
    <col min="6" max="6" width="19.914062" style="0" bestFit="1" customWidth="1"/>
    <col min="7" max="7" width="15.082031" style="0" bestFit="1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B2" s="0" t="s">
        <v>2</v>
      </c>
      <c r="C2" s="13" t="s">
        <v>1650</v>
      </c>
      <c r="E2" s="0" t="s">
        <v>1684</v>
      </c>
      <c r="F2" s="13" t="s">
        <v>1685</v>
      </c>
      <c r="G2" s="0" t="s">
        <v>1683</v>
      </c>
    </row>
    <row r="3" spans="1:7" x14ac:dyDescent="0.45">
      <c r="A3" s="1" t="s">
        <v>13</v>
      </c>
      <c r="B3" s="1" t="s">
        <v>15</v>
      </c>
      <c r="C3" s="1"/>
      <c r="D3" s="1" t="s">
        <v>14</v>
      </c>
      <c r="E3" s="1" t="s">
        <v>1686</v>
      </c>
      <c r="F3" s="1" t="s">
        <v>1687</v>
      </c>
      <c r="G3" s="1" t="s">
        <v>137</v>
      </c>
    </row>
    <row r="4" spans="1:7" x14ac:dyDescent="0.45">
      <c r="A4" s="0" t="str">
        <f>B4&amp;"_investment_"&amp;C4</f>
        <v>s1_investment_1</v>
      </c>
      <c r="B4" s="0" t="s">
        <v>26</v>
      </c>
      <c r="C4" s="0">
        <v>1</v>
      </c>
      <c r="D4" s="0" t="s">
        <v>0</v>
      </c>
      <c r="E4" s="0">
        <v>25</v>
      </c>
      <c r="F4" s="0" t="str">
        <f>A4&amp;"_desc"</f>
        <v>s1_investment_1_desc</v>
      </c>
      <c r="G4" s="0" t="s">
        <v>1688</v>
      </c>
    </row>
    <row r="5" spans="1:7" x14ac:dyDescent="0.45">
      <c r="A5" s="0" t="str">
        <f t="shared" ref="A5:A8" si="0">B5&amp;"_investment_"&amp;C5</f>
        <v>s1_investment_2</v>
      </c>
      <c r="B5" s="0" t="s">
        <v>26</v>
      </c>
      <c r="C5" s="0">
        <v>2</v>
      </c>
      <c r="D5" s="0" t="s">
        <v>0</v>
      </c>
      <c r="E5" s="0">
        <v>100</v>
      </c>
      <c r="F5" s="0" t="str">
        <f t="shared" ref="F5:F8" si="1">A5&amp;"_desc"</f>
        <v>s1_investment_2_desc</v>
      </c>
      <c r="G5" s="0" t="s">
        <v>1689</v>
      </c>
    </row>
    <row r="6" spans="1:7" x14ac:dyDescent="0.45">
      <c r="A6" s="0" t="str">
        <f t="shared" si="0"/>
        <v>s1_investment_3</v>
      </c>
      <c r="B6" s="0" t="s">
        <v>26</v>
      </c>
      <c r="C6" s="0">
        <v>3</v>
      </c>
      <c r="D6" s="0" t="s">
        <v>0</v>
      </c>
      <c r="E6" s="0">
        <v>200</v>
      </c>
      <c r="F6" s="0" t="str">
        <f t="shared" si="1"/>
        <v>s1_investment_3_desc</v>
      </c>
      <c r="G6" s="0" t="s">
        <v>1690</v>
      </c>
    </row>
    <row r="7" spans="1:7" x14ac:dyDescent="0.45">
      <c r="A7" s="0" t="str">
        <f t="shared" si="0"/>
        <v>s1_investment_4</v>
      </c>
      <c r="B7" s="0" t="s">
        <v>26</v>
      </c>
      <c r="C7" s="0">
        <v>4</v>
      </c>
      <c r="D7" s="0" t="s">
        <v>0</v>
      </c>
      <c r="E7" s="0">
        <v>325</v>
      </c>
      <c r="F7" s="0" t="str">
        <f t="shared" si="1"/>
        <v>s1_investment_4_desc</v>
      </c>
      <c r="G7" s="0" t="s">
        <v>1691</v>
      </c>
    </row>
    <row r="8" spans="1:7" x14ac:dyDescent="0.45">
      <c r="A8" s="0" t="str">
        <f t="shared" si="0"/>
        <v>s1_investment_5</v>
      </c>
      <c r="B8" s="0" t="s">
        <v>26</v>
      </c>
      <c r="C8" s="0">
        <v>5</v>
      </c>
      <c r="D8" s="0" t="s">
        <v>0</v>
      </c>
      <c r="E8" s="0">
        <v>500</v>
      </c>
      <c r="F8" s="0" t="str">
        <f t="shared" si="1"/>
        <v>s1_investment_5_desc</v>
      </c>
      <c r="G8" s="0" t="s">
        <v>1692</v>
      </c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216"/>
  <sheetViews>
    <sheetView topLeftCell="A184" workbookViewId="0">
      <selection activeCell="B213" sqref="B213"/>
    </sheetView>
  </sheetViews>
  <sheetFormatPr defaultRowHeight="17" x14ac:dyDescent="0.45"/>
  <cols>
    <col min="1" max="1" width="28" style="0" customWidth="1"/>
    <col min="2" max="2" width="62.832031" style="0" customWidth="1"/>
    <col min="3" max="3" width="12" style="0" customWidth="1"/>
    <col min="4" max="5" width="16.082031" style="0" customWidth="1"/>
    <col min="6" max="6" width="14.914062" style="0" customWidth="1"/>
    <col min="7" max="7" width="31.832031" style="0" customWidth="1"/>
    <col min="8" max="8" width="19.582031" style="0" bestFit="1" customWidth="1"/>
    <col min="9" max="9" width="33.832031" style="0" bestFit="1" customWidth="1"/>
    <col min="10" max="10" width="25.414062" style="0" bestFit="1" customWidth="1"/>
  </cols>
  <sheetData>
    <row r="1" spans="1:10" ht="21" customHeight="1" x14ac:dyDescent="0.45">
      <c r="A1" s="20" t="s">
        <v>1693</v>
      </c>
      <c r="B1" s="9"/>
    </row>
    <row r="3" spans="1:10" ht="17.5" customHeight="1" x14ac:dyDescent="0.45">
      <c r="A3" s="21" t="s">
        <v>1694</v>
      </c>
    </row>
    <row r="4" spans="1:10" x14ac:dyDescent="0.45">
      <c r="A4" s="12" t="s">
        <v>1695</v>
      </c>
    </row>
    <row r="5" spans="1:10" x14ac:dyDescent="0.45">
      <c r="A5" s="22" t="s">
        <v>1696</v>
      </c>
      <c r="B5" s="23" t="s">
        <v>1697</v>
      </c>
    </row>
    <row r="6" spans="1:10" ht="16" customHeight="1" s="12" customFormat="1" x14ac:dyDescent="0.3">
      <c r="A6" s="5" t="s">
        <v>13</v>
      </c>
      <c r="B6" s="6" t="s">
        <v>1698</v>
      </c>
    </row>
    <row r="7" spans="1:10" x14ac:dyDescent="0.45">
      <c r="A7" s="5" t="s">
        <v>14</v>
      </c>
      <c r="B7" s="6" t="s">
        <v>1699</v>
      </c>
    </row>
    <row r="8" spans="1:10" x14ac:dyDescent="0.45">
      <c r="A8" s="5" t="s">
        <v>15</v>
      </c>
      <c r="B8" s="6" t="s">
        <v>1700</v>
      </c>
    </row>
    <row r="9" spans="1:10" x14ac:dyDescent="0.45">
      <c r="A9" s="5" t="s">
        <v>16</v>
      </c>
      <c r="B9" s="6" t="s">
        <v>1701</v>
      </c>
    </row>
    <row r="10" spans="1:10" x14ac:dyDescent="0.45">
      <c r="A10" s="5" t="s">
        <v>17</v>
      </c>
      <c r="B10" s="6" t="s">
        <v>1702</v>
      </c>
    </row>
    <row r="11" spans="1:10" x14ac:dyDescent="0.45">
      <c r="A11" s="5" t="s">
        <v>18</v>
      </c>
      <c r="B11" s="6" t="s">
        <v>1703</v>
      </c>
    </row>
    <row r="12" spans="1:10" x14ac:dyDescent="0.45">
      <c r="A12" s="5" t="s">
        <v>19</v>
      </c>
      <c r="B12" s="6" t="s">
        <v>1704</v>
      </c>
    </row>
    <row r="13" spans="1:10" x14ac:dyDescent="0.45">
      <c r="A13" s="5" t="s">
        <v>20</v>
      </c>
      <c r="B13" s="6" t="s">
        <v>1705</v>
      </c>
    </row>
    <row r="14" spans="1:10" x14ac:dyDescent="0.45">
      <c r="A14" s="5" t="s">
        <v>21</v>
      </c>
      <c r="B14" s="6" t="s">
        <v>1706</v>
      </c>
    </row>
    <row r="15" spans="1:10" x14ac:dyDescent="0.45">
      <c r="A15" s="5" t="s">
        <v>22</v>
      </c>
      <c r="B15" s="6" t="s">
        <v>1707</v>
      </c>
    </row>
    <row r="16" spans="1:10" x14ac:dyDescent="0.45">
      <c r="A16" s="5" t="s">
        <v>23</v>
      </c>
      <c r="B16" s="6" t="s">
        <v>1708</v>
      </c>
    </row>
    <row r="17" spans="1:10" x14ac:dyDescent="0.45">
      <c r="A17" s="5" t="s">
        <v>24</v>
      </c>
      <c r="B17" s="6" t="s">
        <v>11</v>
      </c>
    </row>
    <row r="18" spans="1:10" x14ac:dyDescent="0.45">
      <c r="A18" s="5" t="s">
        <v>25</v>
      </c>
      <c r="B18" s="6" t="s">
        <v>1709</v>
      </c>
    </row>
    <row r="20" spans="1:10" ht="17.5" customHeight="1" x14ac:dyDescent="0.45">
      <c r="A20" s="21" t="s">
        <v>1710</v>
      </c>
    </row>
    <row r="21" spans="1:10" x14ac:dyDescent="0.45">
      <c r="A21" s="12" t="s">
        <v>1711</v>
      </c>
    </row>
    <row r="22" spans="1:10" x14ac:dyDescent="0.45">
      <c r="A22" s="22" t="s">
        <v>1696</v>
      </c>
      <c r="B22" s="23" t="s">
        <v>1697</v>
      </c>
      <c r="D22" s="24" t="s">
        <v>1712</v>
      </c>
      <c r="E22" s="24" t="s">
        <v>1713</v>
      </c>
      <c r="F22" s="24" t="s">
        <v>1714</v>
      </c>
    </row>
    <row r="23" spans="1:10" s="12" customFormat="1" x14ac:dyDescent="0.45">
      <c r="A23" s="5" t="s">
        <v>13</v>
      </c>
      <c r="B23" s="6" t="s">
        <v>1715</v>
      </c>
      <c r="D23" s="13" t="s">
        <v>79</v>
      </c>
      <c r="E23" s="13" t="s">
        <v>1716</v>
      </c>
      <c r="F23" s="13" t="s">
        <v>1717</v>
      </c>
    </row>
    <row r="24" spans="1:10" x14ac:dyDescent="0.45">
      <c r="A24" s="5" t="s">
        <v>14</v>
      </c>
      <c r="B24" s="6" t="s">
        <v>1699</v>
      </c>
      <c r="D24" s="13" t="s">
        <v>80</v>
      </c>
      <c r="E24" s="13" t="s">
        <v>1718</v>
      </c>
      <c r="F24" s="13" t="s">
        <v>1719</v>
      </c>
    </row>
    <row r="25" spans="1:10" x14ac:dyDescent="0.45">
      <c r="A25" s="5" t="s">
        <v>15</v>
      </c>
      <c r="B25" s="6" t="s">
        <v>1700</v>
      </c>
      <c r="D25" s="13" t="s">
        <v>1720</v>
      </c>
      <c r="E25" s="13" t="s">
        <v>1253</v>
      </c>
      <c r="F25" s="9"/>
    </row>
    <row r="26" spans="1:10" x14ac:dyDescent="0.45">
      <c r="A26" s="5" t="s">
        <v>16</v>
      </c>
      <c r="B26" s="6" t="s">
        <v>1721</v>
      </c>
    </row>
    <row r="27" spans="1:10" x14ac:dyDescent="0.45">
      <c r="A27" s="0" t="s">
        <v>63</v>
      </c>
      <c r="B27" s="6" t="s">
        <v>1722</v>
      </c>
    </row>
    <row r="28" spans="1:10" x14ac:dyDescent="0.45">
      <c r="A28" s="0" t="s">
        <v>64</v>
      </c>
      <c r="B28" s="0" t="s">
        <v>1723</v>
      </c>
    </row>
    <row r="29" spans="1:10" x14ac:dyDescent="0.45">
      <c r="A29" s="5" t="s">
        <v>65</v>
      </c>
      <c r="B29" s="6" t="s">
        <v>1724</v>
      </c>
    </row>
    <row r="30" spans="1:10" x14ac:dyDescent="0.45">
      <c r="A30" s="5" t="s">
        <v>66</v>
      </c>
      <c r="B30" s="6" t="s">
        <v>1725</v>
      </c>
    </row>
    <row r="31" spans="1:10" x14ac:dyDescent="0.45">
      <c r="A31" s="5" t="s">
        <v>67</v>
      </c>
      <c r="B31" s="6" t="s">
        <v>1726</v>
      </c>
    </row>
    <row r="32" spans="1:10" x14ac:dyDescent="0.45">
      <c r="A32" s="5" t="s">
        <v>18</v>
      </c>
      <c r="B32" s="6" t="s">
        <v>1727</v>
      </c>
    </row>
    <row r="33" spans="1:10" x14ac:dyDescent="0.45">
      <c r="A33" s="5" t="s">
        <v>69</v>
      </c>
      <c r="B33" s="6" t="s">
        <v>1728</v>
      </c>
    </row>
    <row r="34" spans="1:10" x14ac:dyDescent="0.45">
      <c r="A34" s="5" t="s">
        <v>22</v>
      </c>
      <c r="B34" s="6" t="s">
        <v>1707</v>
      </c>
    </row>
    <row r="35" spans="1:10" x14ac:dyDescent="0.45">
      <c r="A35" s="5" t="s">
        <v>23</v>
      </c>
      <c r="B35" s="6" t="s">
        <v>1708</v>
      </c>
    </row>
    <row r="36" spans="1:10" x14ac:dyDescent="0.45">
      <c r="A36" s="5" t="s">
        <v>24</v>
      </c>
      <c r="B36" s="6" t="s">
        <v>11</v>
      </c>
    </row>
    <row r="37" spans="1:10" x14ac:dyDescent="0.45">
      <c r="A37" s="5" t="s">
        <v>25</v>
      </c>
      <c r="B37" s="6" t="s">
        <v>1729</v>
      </c>
    </row>
    <row r="38" spans="1:10" x14ac:dyDescent="0.45">
      <c r="A38" s="5" t="s">
        <v>70</v>
      </c>
      <c r="B38" s="6" t="s">
        <v>1730</v>
      </c>
    </row>
    <row r="39" spans="1:10" x14ac:dyDescent="0.45">
      <c r="A39" s="5" t="s">
        <v>71</v>
      </c>
      <c r="B39" s="6" t="s">
        <v>1731</v>
      </c>
    </row>
    <row r="40" spans="1:10" x14ac:dyDescent="0.45">
      <c r="A40" s="5" t="s">
        <v>72</v>
      </c>
      <c r="B40" s="6" t="s">
        <v>1732</v>
      </c>
    </row>
    <row r="41" spans="1:10" x14ac:dyDescent="0.45">
      <c r="A41" s="5" t="s">
        <v>73</v>
      </c>
      <c r="B41" s="6" t="s">
        <v>1707</v>
      </c>
    </row>
    <row r="42" spans="1:10" x14ac:dyDescent="0.45">
      <c r="A42" s="5" t="s">
        <v>74</v>
      </c>
      <c r="B42" s="6" t="s">
        <v>1708</v>
      </c>
    </row>
    <row r="43" spans="1:10" x14ac:dyDescent="0.45">
      <c r="A43" s="5" t="s">
        <v>75</v>
      </c>
      <c r="B43" s="6" t="s">
        <v>11</v>
      </c>
    </row>
    <row r="44" spans="1:10" x14ac:dyDescent="0.45">
      <c r="A44" s="5" t="s">
        <v>76</v>
      </c>
      <c r="B44" s="6" t="s">
        <v>1729</v>
      </c>
    </row>
    <row r="46" spans="1:10" ht="17.5" customHeight="1" x14ac:dyDescent="0.45">
      <c r="A46" s="21" t="s">
        <v>1733</v>
      </c>
    </row>
    <row r="47" spans="1:10" x14ac:dyDescent="0.45">
      <c r="A47" s="12" t="s">
        <v>1734</v>
      </c>
    </row>
    <row r="48" spans="1:10" ht="16" customHeight="1" s="12" customFormat="1" x14ac:dyDescent="0.3">
      <c r="A48" s="22" t="s">
        <v>1696</v>
      </c>
      <c r="B48" s="23" t="s">
        <v>1697</v>
      </c>
    </row>
    <row r="49" spans="1:10" x14ac:dyDescent="0.45">
      <c r="A49" s="5" t="s">
        <v>13</v>
      </c>
      <c r="B49" s="6" t="s">
        <v>1735</v>
      </c>
    </row>
    <row r="50" spans="1:10" x14ac:dyDescent="0.45">
      <c r="A50" s="5" t="s">
        <v>14</v>
      </c>
      <c r="B50" s="6" t="s">
        <v>1699</v>
      </c>
    </row>
    <row r="51" spans="1:10" x14ac:dyDescent="0.45">
      <c r="A51" s="5" t="s">
        <v>15</v>
      </c>
      <c r="B51" s="6" t="s">
        <v>1700</v>
      </c>
    </row>
    <row r="52" spans="1:10" x14ac:dyDescent="0.45">
      <c r="A52" s="5" t="s">
        <v>99</v>
      </c>
      <c r="B52" s="6" t="s">
        <v>1736</v>
      </c>
    </row>
    <row r="53" spans="1:10" x14ac:dyDescent="0.45">
      <c r="A53" s="5" t="s">
        <v>124</v>
      </c>
      <c r="B53" s="6" t="s">
        <v>1737</v>
      </c>
    </row>
    <row r="54" spans="1:10" x14ac:dyDescent="0.45">
      <c r="A54" s="5" t="s">
        <v>125</v>
      </c>
      <c r="B54" s="6" t="s">
        <v>110</v>
      </c>
    </row>
    <row r="55" spans="1:10" x14ac:dyDescent="0.45">
      <c r="A55" s="5" t="s">
        <v>1738</v>
      </c>
      <c r="B55" s="6" t="s">
        <v>1739</v>
      </c>
    </row>
    <row r="56" spans="1:10" x14ac:dyDescent="0.45">
      <c r="A56" s="0" t="s">
        <v>127</v>
      </c>
      <c r="B56" s="0" t="s">
        <v>1740</v>
      </c>
    </row>
    <row r="57" spans="1:10" x14ac:dyDescent="0.45">
      <c r="A57" s="0" t="s">
        <v>128</v>
      </c>
      <c r="B57" s="0" t="s">
        <v>1741</v>
      </c>
    </row>
    <row r="58" spans="1:10" x14ac:dyDescent="0.45">
      <c r="A58" s="0" t="s">
        <v>129</v>
      </c>
      <c r="B58" s="0" t="s">
        <v>1742</v>
      </c>
    </row>
    <row r="59" spans="1:10" x14ac:dyDescent="0.45">
      <c r="A59" s="5" t="s">
        <v>130</v>
      </c>
      <c r="B59" s="6" t="s">
        <v>1743</v>
      </c>
    </row>
    <row r="60" spans="1:10" x14ac:dyDescent="0.45">
      <c r="A60" s="5" t="s">
        <v>131</v>
      </c>
      <c r="B60" s="6" t="s">
        <v>1744</v>
      </c>
    </row>
    <row r="61" spans="1:10" x14ac:dyDescent="0.45">
      <c r="A61" s="5" t="s">
        <v>1745</v>
      </c>
      <c r="B61" s="6" t="s">
        <v>118</v>
      </c>
    </row>
    <row r="62" spans="1:10" x14ac:dyDescent="0.45">
      <c r="A62" s="5" t="s">
        <v>1746</v>
      </c>
      <c r="B62" s="6" t="s">
        <v>119</v>
      </c>
    </row>
    <row r="63" spans="1:10" x14ac:dyDescent="0.45">
      <c r="A63" s="5" t="s">
        <v>1747</v>
      </c>
      <c r="B63" s="6" t="s">
        <v>120</v>
      </c>
    </row>
    <row r="64" spans="1:10" x14ac:dyDescent="0.45">
      <c r="A64" s="5" t="s">
        <v>132</v>
      </c>
      <c r="B64" s="6" t="s">
        <v>121</v>
      </c>
    </row>
    <row r="65" spans="1:10" x14ac:dyDescent="0.45">
      <c r="A65" s="5" t="s">
        <v>136</v>
      </c>
      <c r="B65" s="6" t="s">
        <v>122</v>
      </c>
    </row>
    <row r="66" spans="1:10" x14ac:dyDescent="0.45">
      <c r="A66" s="5" t="s">
        <v>137</v>
      </c>
      <c r="B66" s="6" t="s">
        <v>1748</v>
      </c>
    </row>
    <row r="67" spans="1:10" ht="11.5" customHeight="1" s="12" customFormat="1" x14ac:dyDescent="0.3"/>
    <row r="68" spans="1:10" ht="17.5" customHeight="1" x14ac:dyDescent="0.45">
      <c r="A68" s="21" t="s">
        <v>1749</v>
      </c>
    </row>
    <row r="69" spans="1:10" x14ac:dyDescent="0.45">
      <c r="A69" s="12" t="s">
        <v>1750</v>
      </c>
    </row>
    <row r="70" spans="1:10" x14ac:dyDescent="0.45">
      <c r="A70" s="22" t="s">
        <v>1696</v>
      </c>
      <c r="B70" s="23" t="s">
        <v>1697</v>
      </c>
    </row>
    <row r="71" spans="1:10" x14ac:dyDescent="0.45">
      <c r="A71" s="5" t="s">
        <v>99</v>
      </c>
      <c r="B71" s="6" t="s">
        <v>1751</v>
      </c>
    </row>
    <row r="72" spans="1:10" x14ac:dyDescent="0.45">
      <c r="A72" s="5" t="s">
        <v>100</v>
      </c>
      <c r="B72" s="6" t="s">
        <v>97</v>
      </c>
    </row>
    <row r="73" spans="1:10" x14ac:dyDescent="0.45">
      <c r="A73" s="5" t="s">
        <v>101</v>
      </c>
      <c r="B73" s="6" t="s">
        <v>1752</v>
      </c>
    </row>
    <row r="74" spans="1:10" ht="16" customHeight="1" s="12" customFormat="1" x14ac:dyDescent="0.3">
      <c r="A74" s="5"/>
      <c r="B74" s="6"/>
    </row>
    <row r="75" spans="1:10" ht="17.5" customHeight="1" x14ac:dyDescent="0.45">
      <c r="A75" s="21" t="s">
        <v>1753</v>
      </c>
    </row>
    <row r="76" spans="1:10" x14ac:dyDescent="0.45">
      <c r="A76" s="12" t="s">
        <v>1754</v>
      </c>
    </row>
    <row r="77" spans="1:10" x14ac:dyDescent="0.45">
      <c r="A77" s="22" t="s">
        <v>1696</v>
      </c>
      <c r="B77" s="23" t="s">
        <v>1697</v>
      </c>
    </row>
    <row r="78" spans="1:10" x14ac:dyDescent="0.45">
      <c r="A78" s="5" t="s">
        <v>13</v>
      </c>
      <c r="B78" s="6" t="s">
        <v>1755</v>
      </c>
    </row>
    <row r="79" spans="1:10" x14ac:dyDescent="0.45">
      <c r="A79" s="5" t="s">
        <v>14</v>
      </c>
      <c r="B79" s="6" t="s">
        <v>1699</v>
      </c>
    </row>
    <row r="80" spans="1:10" x14ac:dyDescent="0.45">
      <c r="A80" s="5" t="s">
        <v>15</v>
      </c>
      <c r="B80" s="6" t="s">
        <v>1700</v>
      </c>
    </row>
    <row r="81" spans="1:10" x14ac:dyDescent="0.45">
      <c r="A81" s="5" t="s">
        <v>100</v>
      </c>
      <c r="B81" s="6" t="s">
        <v>1756</v>
      </c>
    </row>
    <row r="82" spans="1:10" x14ac:dyDescent="0.45">
      <c r="A82" s="5" t="s">
        <v>1253</v>
      </c>
      <c r="B82" s="6" t="s">
        <v>1757</v>
      </c>
    </row>
    <row r="83" spans="1:10" ht="11.5" customHeight="1" s="12" customFormat="1" x14ac:dyDescent="0.3"/>
    <row r="84" spans="1:10" ht="17.5" customHeight="1" x14ac:dyDescent="0.45">
      <c r="A84" s="21" t="s">
        <v>1758</v>
      </c>
    </row>
    <row r="85" spans="1:10" x14ac:dyDescent="0.45">
      <c r="A85" s="12" t="s">
        <v>1759</v>
      </c>
    </row>
    <row r="86" spans="1:10" x14ac:dyDescent="0.45">
      <c r="A86" s="22" t="s">
        <v>1696</v>
      </c>
      <c r="B86" s="23" t="s">
        <v>1697</v>
      </c>
    </row>
    <row r="87" spans="1:10" x14ac:dyDescent="0.45">
      <c r="A87" s="5" t="s">
        <v>13</v>
      </c>
      <c r="B87" s="6" t="s">
        <v>1760</v>
      </c>
    </row>
    <row r="88" spans="1:10" x14ac:dyDescent="0.45">
      <c r="A88" s="5" t="s">
        <v>14</v>
      </c>
      <c r="B88" s="6" t="s">
        <v>1699</v>
      </c>
    </row>
    <row r="89" spans="1:10" x14ac:dyDescent="0.45">
      <c r="A89" s="5" t="s">
        <v>15</v>
      </c>
      <c r="B89" s="6" t="s">
        <v>1700</v>
      </c>
    </row>
    <row r="90" spans="1:10" x14ac:dyDescent="0.45">
      <c r="A90" s="5" t="s">
        <v>99</v>
      </c>
      <c r="B90" s="6" t="s">
        <v>1761</v>
      </c>
    </row>
    <row r="91" spans="1:10" x14ac:dyDescent="0.45">
      <c r="A91" s="5" t="s">
        <v>100</v>
      </c>
      <c r="B91" s="6" t="s">
        <v>1756</v>
      </c>
    </row>
    <row r="92" spans="1:10" x14ac:dyDescent="0.45">
      <c r="A92" s="5" t="s">
        <v>1272</v>
      </c>
      <c r="B92" s="6" t="s">
        <v>1762</v>
      </c>
    </row>
    <row r="93" spans="1:10" x14ac:dyDescent="0.45">
      <c r="A93" s="5" t="s">
        <v>1273</v>
      </c>
      <c r="B93" s="6" t="s">
        <v>1763</v>
      </c>
    </row>
    <row r="94" spans="1:10" ht="11.5" customHeight="1" s="12" customFormat="1" x14ac:dyDescent="0.3"/>
    <row r="95" spans="1:10" ht="17.5" customHeight="1" x14ac:dyDescent="0.45">
      <c r="A95" s="21" t="s">
        <v>1764</v>
      </c>
    </row>
    <row r="96" spans="1:10" x14ac:dyDescent="0.45">
      <c r="A96" s="12" t="s">
        <v>1765</v>
      </c>
    </row>
    <row r="97" spans="1:10" x14ac:dyDescent="0.45">
      <c r="A97" s="22" t="s">
        <v>1696</v>
      </c>
      <c r="B97" s="23" t="s">
        <v>1697</v>
      </c>
    </row>
    <row r="98" spans="1:10" x14ac:dyDescent="0.45">
      <c r="A98" s="5" t="s">
        <v>13</v>
      </c>
      <c r="B98" s="6" t="s">
        <v>1766</v>
      </c>
    </row>
    <row r="99" spans="1:10" x14ac:dyDescent="0.45">
      <c r="A99" s="5" t="s">
        <v>14</v>
      </c>
      <c r="B99" s="6" t="s">
        <v>1699</v>
      </c>
    </row>
    <row r="100" spans="1:10" x14ac:dyDescent="0.45">
      <c r="A100" s="5" t="s">
        <v>15</v>
      </c>
      <c r="B100" s="6" t="s">
        <v>1700</v>
      </c>
    </row>
    <row r="101" spans="1:10" x14ac:dyDescent="0.45">
      <c r="A101" s="5" t="s">
        <v>99</v>
      </c>
      <c r="B101" s="6" t="s">
        <v>1767</v>
      </c>
    </row>
    <row r="102" spans="1:10" x14ac:dyDescent="0.45">
      <c r="A102" s="5" t="s">
        <v>100</v>
      </c>
      <c r="B102" s="6" t="s">
        <v>1756</v>
      </c>
    </row>
    <row r="103" spans="1:10" x14ac:dyDescent="0.45">
      <c r="A103" s="5" t="s">
        <v>1307</v>
      </c>
      <c r="B103" s="6" t="s">
        <v>1768</v>
      </c>
    </row>
    <row r="104" spans="1:10" x14ac:dyDescent="0.45">
      <c r="A104" s="5" t="s">
        <v>1308</v>
      </c>
      <c r="B104" s="6" t="s">
        <v>1306</v>
      </c>
    </row>
    <row r="105" spans="1:10" x14ac:dyDescent="0.45">
      <c r="A105" s="5" t="s">
        <v>1309</v>
      </c>
      <c r="B105" s="6" t="s">
        <v>1271</v>
      </c>
    </row>
    <row r="106" spans="1:10" ht="11.5" customHeight="1" s="12" customFormat="1" x14ac:dyDescent="0.3"/>
    <row r="107" spans="1:10" ht="17.5" customHeight="1" x14ac:dyDescent="0.45">
      <c r="A107" s="21" t="s">
        <v>1769</v>
      </c>
    </row>
    <row r="108" spans="1:10" x14ac:dyDescent="0.45">
      <c r="A108" s="12" t="s">
        <v>1770</v>
      </c>
    </row>
    <row r="109" spans="1:10" x14ac:dyDescent="0.45">
      <c r="A109" s="22" t="s">
        <v>1696</v>
      </c>
      <c r="B109" s="23" t="s">
        <v>1697</v>
      </c>
    </row>
    <row r="110" spans="1:10" x14ac:dyDescent="0.45">
      <c r="A110" s="5" t="s">
        <v>13</v>
      </c>
      <c r="B110" s="6" t="s">
        <v>1771</v>
      </c>
    </row>
    <row r="111" spans="1:10" x14ac:dyDescent="0.45">
      <c r="A111" s="5" t="s">
        <v>14</v>
      </c>
      <c r="B111" s="6" t="s">
        <v>1699</v>
      </c>
    </row>
    <row r="112" spans="1:10" x14ac:dyDescent="0.45">
      <c r="A112" s="5" t="s">
        <v>15</v>
      </c>
      <c r="B112" s="6" t="s">
        <v>1700</v>
      </c>
    </row>
    <row r="113" spans="1:10" x14ac:dyDescent="0.45">
      <c r="A113" s="5" t="s">
        <v>100</v>
      </c>
      <c r="B113" s="6" t="s">
        <v>1756</v>
      </c>
    </row>
    <row r="114" spans="1:10" x14ac:dyDescent="0.45">
      <c r="A114" s="5" t="s">
        <v>1614</v>
      </c>
      <c r="B114" s="6" t="s">
        <v>1772</v>
      </c>
    </row>
    <row r="115" spans="1:10" x14ac:dyDescent="0.45">
      <c r="A115" s="5" t="s">
        <v>1615</v>
      </c>
      <c r="B115" s="6" t="s">
        <v>1773</v>
      </c>
    </row>
    <row r="116" spans="1:10" x14ac:dyDescent="0.45">
      <c r="A116" s="5" t="s">
        <v>1308</v>
      </c>
      <c r="B116" s="6" t="s">
        <v>1774</v>
      </c>
    </row>
    <row r="117" spans="1:10" x14ac:dyDescent="0.45">
      <c r="A117" s="5" t="s">
        <v>1309</v>
      </c>
      <c r="B117" s="6" t="s">
        <v>1775</v>
      </c>
    </row>
    <row r="118" spans="1:10" ht="11.5" customHeight="1" s="12" customFormat="1" x14ac:dyDescent="0.3"/>
    <row r="119" spans="1:10" ht="17.5" customHeight="1" x14ac:dyDescent="0.45">
      <c r="A119" s="21" t="s">
        <v>1776</v>
      </c>
    </row>
    <row r="120" spans="1:10" x14ac:dyDescent="0.45">
      <c r="A120" s="12" t="s">
        <v>1777</v>
      </c>
    </row>
    <row r="121" spans="1:10" x14ac:dyDescent="0.45">
      <c r="A121" s="22" t="s">
        <v>1696</v>
      </c>
      <c r="B121" s="23" t="s">
        <v>1697</v>
      </c>
    </row>
    <row r="122" spans="1:10" x14ac:dyDescent="0.45">
      <c r="A122" s="5" t="s">
        <v>13</v>
      </c>
      <c r="B122" s="6" t="s">
        <v>1778</v>
      </c>
    </row>
    <row r="123" spans="1:10" x14ac:dyDescent="0.45">
      <c r="A123" s="5" t="s">
        <v>14</v>
      </c>
      <c r="B123" s="6" t="s">
        <v>1699</v>
      </c>
    </row>
    <row r="124" spans="1:10" x14ac:dyDescent="0.45">
      <c r="A124" s="5" t="s">
        <v>15</v>
      </c>
      <c r="B124" s="6" t="s">
        <v>1700</v>
      </c>
    </row>
    <row r="125" spans="1:10" x14ac:dyDescent="0.45">
      <c r="A125" s="5" t="s">
        <v>1647</v>
      </c>
      <c r="B125" s="6" t="s">
        <v>1779</v>
      </c>
    </row>
    <row r="126" spans="1:10" x14ac:dyDescent="0.45">
      <c r="A126" s="5" t="s">
        <v>67</v>
      </c>
      <c r="B126" s="6" t="s">
        <v>1780</v>
      </c>
    </row>
    <row r="127" spans="1:10" x14ac:dyDescent="0.45">
      <c r="A127" s="5" t="s">
        <v>18</v>
      </c>
      <c r="B127" s="6" t="s">
        <v>1781</v>
      </c>
    </row>
    <row r="128" spans="1:10" x14ac:dyDescent="0.45">
      <c r="A128" s="5" t="s">
        <v>69</v>
      </c>
      <c r="B128" s="6" t="s">
        <v>1728</v>
      </c>
    </row>
    <row r="129" spans="1:10" x14ac:dyDescent="0.45">
      <c r="A129" s="5" t="s">
        <v>22</v>
      </c>
      <c r="B129" s="6" t="s">
        <v>1707</v>
      </c>
    </row>
    <row r="130" spans="1:10" x14ac:dyDescent="0.45">
      <c r="A130" s="5" t="s">
        <v>23</v>
      </c>
      <c r="B130" s="6" t="s">
        <v>1708</v>
      </c>
    </row>
    <row r="131" spans="1:10" x14ac:dyDescent="0.45">
      <c r="A131" s="5" t="s">
        <v>24</v>
      </c>
      <c r="B131" s="6" t="s">
        <v>11</v>
      </c>
    </row>
    <row r="132" spans="1:10" x14ac:dyDescent="0.45">
      <c r="A132" s="5" t="s">
        <v>25</v>
      </c>
      <c r="B132" s="6" t="s">
        <v>1729</v>
      </c>
    </row>
    <row r="133" spans="1:10" x14ac:dyDescent="0.45">
      <c r="A133" s="5" t="s">
        <v>70</v>
      </c>
      <c r="B133" s="6" t="s">
        <v>1730</v>
      </c>
    </row>
    <row r="134" spans="1:10" x14ac:dyDescent="0.45">
      <c r="A134" s="5" t="s">
        <v>71</v>
      </c>
      <c r="B134" s="6" t="s">
        <v>1782</v>
      </c>
    </row>
    <row r="135" spans="1:10" x14ac:dyDescent="0.45">
      <c r="A135" s="5" t="s">
        <v>72</v>
      </c>
      <c r="B135" s="6" t="s">
        <v>1732</v>
      </c>
    </row>
    <row r="136" spans="1:10" x14ac:dyDescent="0.45">
      <c r="A136" s="5" t="s">
        <v>73</v>
      </c>
      <c r="B136" s="6" t="s">
        <v>1707</v>
      </c>
    </row>
    <row r="137" spans="1:10" x14ac:dyDescent="0.45">
      <c r="A137" s="5" t="s">
        <v>74</v>
      </c>
      <c r="B137" s="6" t="s">
        <v>1708</v>
      </c>
    </row>
    <row r="138" spans="1:10" x14ac:dyDescent="0.45">
      <c r="A138" s="5" t="s">
        <v>75</v>
      </c>
      <c r="B138" s="6" t="s">
        <v>11</v>
      </c>
    </row>
    <row r="139" spans="1:10" x14ac:dyDescent="0.45">
      <c r="A139" s="5" t="s">
        <v>76</v>
      </c>
      <c r="B139" s="6" t="s">
        <v>1729</v>
      </c>
    </row>
    <row r="140" spans="1:10" ht="11.5" customHeight="1" s="12" customFormat="1" x14ac:dyDescent="0.3"/>
    <row r="141" spans="1:10" ht="17.5" customHeight="1" x14ac:dyDescent="0.45">
      <c r="A141" s="25" t="s">
        <v>1784</v>
      </c>
    </row>
    <row r="142" spans="1:10" x14ac:dyDescent="0.45">
      <c r="A142" s="12" t="s">
        <v>1785</v>
      </c>
      <c r="E142" s="12" t="s">
        <v>1786</v>
      </c>
    </row>
    <row r="143" spans="1:10" x14ac:dyDescent="0.45">
      <c r="A143" s="22" t="s">
        <v>1696</v>
      </c>
      <c r="B143" s="23" t="s">
        <v>1697</v>
      </c>
      <c r="E143" s="26" t="s">
        <v>1657</v>
      </c>
      <c r="F143" s="26" t="s">
        <v>1783</v>
      </c>
      <c r="G143" s="26" t="s">
        <v>1787</v>
      </c>
      <c r="H143" s="26" t="s">
        <v>1789</v>
      </c>
      <c r="I143" s="26" t="s">
        <v>1790</v>
      </c>
      <c r="J143" s="26" t="s">
        <v>1791</v>
      </c>
    </row>
    <row r="144" spans="1:10" x14ac:dyDescent="0.45">
      <c r="A144" s="5" t="s">
        <v>13</v>
      </c>
      <c r="B144" s="6" t="s">
        <v>1792</v>
      </c>
      <c r="E144" s="13" t="s">
        <v>1665</v>
      </c>
      <c r="F144" s="13" t="s">
        <v>1788</v>
      </c>
      <c r="G144" s="13" t="s">
        <v>1794</v>
      </c>
      <c r="H144" s="0" t="str">
        <f>E144&amp;"_text"</f>
        <v>clear_battle_level_text</v>
      </c>
      <c r="I144" s="13" t="s">
        <v>1795</v>
      </c>
    </row>
    <row r="145" spans="1:10" x14ac:dyDescent="0.45">
      <c r="A145" s="5" t="s">
        <v>14</v>
      </c>
      <c r="B145" s="6" t="s">
        <v>1699</v>
      </c>
      <c r="E145" s="13" t="s">
        <v>1666</v>
      </c>
      <c r="F145" s="13" t="s">
        <v>1793</v>
      </c>
      <c r="G145" s="13" t="s">
        <v>1797</v>
      </c>
      <c r="H145" s="0" t="str">
        <f t="shared" ref="H145:H148" si="0">E145&amp;"_text"</f>
        <v>clear_with_hero_text</v>
      </c>
      <c r="I145" s="13" t="s">
        <v>1798</v>
      </c>
    </row>
    <row r="146" spans="1:10" x14ac:dyDescent="0.45">
      <c r="A146" s="5" t="s">
        <v>15</v>
      </c>
      <c r="B146" s="6" t="s">
        <v>1700</v>
      </c>
      <c r="E146" s="0" t="s">
        <v>1668</v>
      </c>
      <c r="F146" s="13" t="s">
        <v>1799</v>
      </c>
      <c r="G146" s="13" t="s">
        <v>1800</v>
      </c>
      <c r="H146" s="0" t="str">
        <f t="shared" si="0"/>
        <v>clear_event_text</v>
      </c>
      <c r="I146" s="13" t="s">
        <v>1801</v>
      </c>
      <c r="J146" s="13" t="s">
        <v>1802</v>
      </c>
    </row>
    <row r="147" spans="1:10" x14ac:dyDescent="0.45">
      <c r="A147" s="5" t="s">
        <v>1803</v>
      </c>
      <c r="B147" s="6" t="s">
        <v>1804</v>
      </c>
      <c r="E147" s="0" t="s">
        <v>1670</v>
      </c>
      <c r="F147" s="13" t="s">
        <v>1793</v>
      </c>
      <c r="G147" s="13" t="s">
        <v>1796</v>
      </c>
      <c r="H147" s="0" t="str">
        <f t="shared" si="0"/>
        <v>recruit_hero_text</v>
      </c>
      <c r="I147" s="13" t="s">
        <v>1805</v>
      </c>
    </row>
    <row r="148" spans="1:10" x14ac:dyDescent="0.45">
      <c r="A148" s="5" t="s">
        <v>1806</v>
      </c>
      <c r="B148" s="6" t="s">
        <v>1807</v>
      </c>
      <c r="E148" s="13" t="s">
        <v>1672</v>
      </c>
      <c r="F148" s="13" t="s">
        <v>1808</v>
      </c>
      <c r="G148" s="13" t="s">
        <v>1810</v>
      </c>
      <c r="H148" s="0" t="str">
        <f t="shared" si="0"/>
        <v>collect_relic_text</v>
      </c>
      <c r="I148" s="13" t="s">
        <v>1809</v>
      </c>
    </row>
    <row r="149" spans="1:10" x14ac:dyDescent="0.45">
      <c r="A149" s="5" t="s">
        <v>1659</v>
      </c>
      <c r="B149" s="6" t="s">
        <v>1811</v>
      </c>
    </row>
    <row r="150" spans="1:10" x14ac:dyDescent="0.45">
      <c r="A150" s="5" t="s">
        <v>1813</v>
      </c>
      <c r="B150" s="6" t="s">
        <v>1814</v>
      </c>
      <c r="E150" s="1"/>
    </row>
    <row r="151" spans="1:10" x14ac:dyDescent="0.45">
      <c r="A151" s="5" t="s">
        <v>1660</v>
      </c>
      <c r="B151" s="6" t="s">
        <v>1812</v>
      </c>
      <c r="E151" s="1"/>
    </row>
    <row r="152" spans="1:10" x14ac:dyDescent="0.45">
      <c r="A152" s="5" t="s">
        <v>18</v>
      </c>
      <c r="B152" s="6" t="s">
        <v>1781</v>
      </c>
      <c r="E152" s="1"/>
    </row>
    <row r="153" spans="1:10" x14ac:dyDescent="0.45">
      <c r="A153" s="5" t="s">
        <v>19</v>
      </c>
      <c r="B153" s="6" t="s">
        <v>1728</v>
      </c>
      <c r="E153" s="1"/>
    </row>
    <row r="154" spans="1:10" x14ac:dyDescent="0.45">
      <c r="A154" s="5" t="s">
        <v>22</v>
      </c>
      <c r="B154" s="6" t="s">
        <v>1707</v>
      </c>
      <c r="E154" s="1"/>
    </row>
    <row r="155" spans="1:10" x14ac:dyDescent="0.45">
      <c r="A155" s="5" t="s">
        <v>23</v>
      </c>
      <c r="B155" s="6" t="s">
        <v>1708</v>
      </c>
      <c r="E155" s="1"/>
    </row>
    <row r="156" spans="1:10" x14ac:dyDescent="0.45">
      <c r="A156" s="5" t="s">
        <v>24</v>
      </c>
      <c r="B156" s="6" t="s">
        <v>11</v>
      </c>
      <c r="E156" s="1"/>
    </row>
    <row r="157" spans="1:10" x14ac:dyDescent="0.45">
      <c r="A157" s="5" t="s">
        <v>25</v>
      </c>
      <c r="B157" s="6" t="s">
        <v>1729</v>
      </c>
      <c r="E157" s="1"/>
    </row>
    <row r="158" spans="1:10" x14ac:dyDescent="0.45">
      <c r="A158" s="5" t="s">
        <v>1662</v>
      </c>
      <c r="B158" s="6" t="s">
        <v>1815</v>
      </c>
      <c r="E158" s="1"/>
    </row>
    <row r="159" spans="1:10" x14ac:dyDescent="0.45">
      <c r="A159" s="5" t="s">
        <v>71</v>
      </c>
      <c r="B159" s="6" t="s">
        <v>1782</v>
      </c>
      <c r="E159" s="1"/>
    </row>
    <row r="160" spans="1:10" x14ac:dyDescent="0.45">
      <c r="A160" s="5" t="s">
        <v>1663</v>
      </c>
      <c r="B160" s="6" t="s">
        <v>1732</v>
      </c>
      <c r="E160" s="1"/>
    </row>
    <row r="161" spans="1:10" x14ac:dyDescent="0.45">
      <c r="A161" s="5" t="s">
        <v>73</v>
      </c>
      <c r="B161" s="6" t="s">
        <v>1707</v>
      </c>
      <c r="E161" s="1"/>
    </row>
    <row r="162" spans="1:10" x14ac:dyDescent="0.45">
      <c r="A162" s="5" t="s">
        <v>74</v>
      </c>
      <c r="B162" s="6" t="s">
        <v>1708</v>
      </c>
      <c r="E162" s="1"/>
    </row>
    <row r="163" spans="1:10" x14ac:dyDescent="0.45">
      <c r="A163" s="5" t="s">
        <v>75</v>
      </c>
      <c r="B163" s="6" t="s">
        <v>11</v>
      </c>
      <c r="E163" s="1"/>
    </row>
    <row r="164" spans="1:10" x14ac:dyDescent="0.45">
      <c r="A164" s="5" t="s">
        <v>76</v>
      </c>
      <c r="B164" s="6" t="s">
        <v>1729</v>
      </c>
      <c r="E164" s="1"/>
    </row>
    <row r="165" spans="1:10" s="12" customFormat="1" x14ac:dyDescent="0.45">
      <c r="D165" s="0"/>
      <c r="E165" s="1"/>
    </row>
    <row r="166" spans="1:10" ht="17.5" customHeight="1" x14ac:dyDescent="0.45">
      <c r="A166" s="25" t="s">
        <v>1817</v>
      </c>
    </row>
    <row r="167" spans="1:10" x14ac:dyDescent="0.45">
      <c r="A167" s="12" t="s">
        <v>1818</v>
      </c>
      <c r="E167" s="12"/>
    </row>
    <row r="168" spans="1:10" x14ac:dyDescent="0.45">
      <c r="A168" s="22" t="s">
        <v>1696</v>
      </c>
      <c r="B168" s="23" t="s">
        <v>1697</v>
      </c>
      <c r="E168" s="1"/>
    </row>
    <row r="169" spans="1:10" x14ac:dyDescent="0.45">
      <c r="A169" s="5" t="s">
        <v>13</v>
      </c>
      <c r="B169" s="6" t="s">
        <v>1819</v>
      </c>
      <c r="E169" s="1"/>
    </row>
    <row r="170" spans="1:10" x14ac:dyDescent="0.45">
      <c r="A170" s="5" t="s">
        <v>14</v>
      </c>
      <c r="B170" s="6" t="s">
        <v>1699</v>
      </c>
      <c r="E170" s="1"/>
    </row>
    <row r="171" spans="1:10" x14ac:dyDescent="0.45">
      <c r="A171" s="5" t="s">
        <v>15</v>
      </c>
      <c r="B171" s="6" t="s">
        <v>1700</v>
      </c>
      <c r="E171" s="1"/>
    </row>
    <row r="172" spans="1:10" x14ac:dyDescent="0.45">
      <c r="A172" s="5" t="s">
        <v>1803</v>
      </c>
      <c r="B172" s="6" t="s">
        <v>1804</v>
      </c>
      <c r="E172" s="1"/>
    </row>
    <row r="173" spans="1:10" x14ac:dyDescent="0.45">
      <c r="A173" s="1" t="s">
        <v>1676</v>
      </c>
      <c r="B173" s="6" t="s">
        <v>1673</v>
      </c>
      <c r="E173" s="1"/>
    </row>
    <row r="174" spans="1:10" x14ac:dyDescent="0.45">
      <c r="A174" s="1" t="s">
        <v>1675</v>
      </c>
      <c r="B174" s="6" t="s">
        <v>1674</v>
      </c>
      <c r="E174" s="1"/>
    </row>
    <row r="175" spans="1:10" x14ac:dyDescent="0.45">
      <c r="A175" s="1" t="s">
        <v>1677</v>
      </c>
      <c r="B175" s="6" t="s">
        <v>1673</v>
      </c>
      <c r="E175" s="1"/>
    </row>
    <row r="176" spans="1:10" x14ac:dyDescent="0.45">
      <c r="A176" s="1" t="s">
        <v>1678</v>
      </c>
      <c r="B176" s="6" t="s">
        <v>1674</v>
      </c>
      <c r="E176" s="1"/>
    </row>
    <row r="177" spans="1:10" x14ac:dyDescent="0.45">
      <c r="A177" s="5" t="s">
        <v>1806</v>
      </c>
      <c r="B177" s="6" t="s">
        <v>1807</v>
      </c>
      <c r="E177" s="1"/>
    </row>
    <row r="178" spans="1:10" x14ac:dyDescent="0.45">
      <c r="A178" s="5" t="s">
        <v>1659</v>
      </c>
      <c r="B178" s="6" t="s">
        <v>1811</v>
      </c>
      <c r="E178" s="1"/>
    </row>
    <row r="179" spans="1:10" x14ac:dyDescent="0.45">
      <c r="A179" s="5" t="s">
        <v>1813</v>
      </c>
      <c r="B179" s="6" t="s">
        <v>1814</v>
      </c>
      <c r="D179" s="13"/>
      <c r="E179" s="1"/>
    </row>
    <row r="180" spans="1:10" x14ac:dyDescent="0.45">
      <c r="A180" s="5" t="s">
        <v>1660</v>
      </c>
      <c r="B180" s="6" t="s">
        <v>1812</v>
      </c>
      <c r="E180" s="1"/>
    </row>
    <row r="181" spans="1:10" x14ac:dyDescent="0.45">
      <c r="A181" s="5" t="s">
        <v>18</v>
      </c>
      <c r="B181" s="6" t="s">
        <v>1781</v>
      </c>
      <c r="E181" s="1"/>
    </row>
    <row r="182" spans="1:10" x14ac:dyDescent="0.45">
      <c r="A182" s="5" t="s">
        <v>19</v>
      </c>
      <c r="B182" s="6" t="s">
        <v>1728</v>
      </c>
      <c r="E182" s="1"/>
    </row>
    <row r="183" spans="1:10" x14ac:dyDescent="0.45">
      <c r="A183" s="5" t="s">
        <v>22</v>
      </c>
      <c r="B183" s="6" t="s">
        <v>1707</v>
      </c>
      <c r="E183" s="1"/>
    </row>
    <row r="184" spans="1:10" x14ac:dyDescent="0.45">
      <c r="A184" s="5" t="s">
        <v>23</v>
      </c>
      <c r="B184" s="6" t="s">
        <v>1708</v>
      </c>
      <c r="E184" s="1"/>
    </row>
    <row r="185" spans="1:10" x14ac:dyDescent="0.45">
      <c r="A185" s="5" t="s">
        <v>24</v>
      </c>
      <c r="B185" s="6" t="s">
        <v>11</v>
      </c>
      <c r="E185" s="1"/>
    </row>
    <row r="186" spans="1:10" x14ac:dyDescent="0.45">
      <c r="A186" s="5" t="s">
        <v>25</v>
      </c>
      <c r="B186" s="6" t="s">
        <v>1729</v>
      </c>
      <c r="E186" s="1"/>
    </row>
    <row r="187" spans="1:10" x14ac:dyDescent="0.45">
      <c r="A187" s="5" t="s">
        <v>1662</v>
      </c>
      <c r="B187" s="6" t="s">
        <v>1815</v>
      </c>
      <c r="E187" s="1"/>
    </row>
    <row r="188" spans="1:10" x14ac:dyDescent="0.45">
      <c r="A188" s="5" t="s">
        <v>71</v>
      </c>
      <c r="B188" s="6" t="s">
        <v>1782</v>
      </c>
      <c r="E188" s="1"/>
    </row>
    <row r="189" spans="1:10" x14ac:dyDescent="0.45">
      <c r="A189" s="5" t="s">
        <v>1663</v>
      </c>
      <c r="B189" s="6" t="s">
        <v>1732</v>
      </c>
      <c r="E189" s="1"/>
    </row>
    <row r="190" spans="1:10" x14ac:dyDescent="0.45">
      <c r="A190" s="5" t="s">
        <v>73</v>
      </c>
      <c r="B190" s="6" t="s">
        <v>1707</v>
      </c>
      <c r="E190" s="1"/>
    </row>
    <row r="191" spans="1:10" x14ac:dyDescent="0.45">
      <c r="A191" s="5" t="s">
        <v>74</v>
      </c>
      <c r="B191" s="6" t="s">
        <v>1708</v>
      </c>
      <c r="E191" s="1"/>
    </row>
    <row r="192" spans="1:10" x14ac:dyDescent="0.45">
      <c r="A192" s="5" t="s">
        <v>75</v>
      </c>
      <c r="B192" s="6" t="s">
        <v>11</v>
      </c>
      <c r="E192" s="1"/>
    </row>
    <row r="193" spans="1:10" x14ac:dyDescent="0.45">
      <c r="A193" s="5" t="s">
        <v>76</v>
      </c>
      <c r="B193" s="6" t="s">
        <v>1729</v>
      </c>
      <c r="E193" s="1"/>
    </row>
    <row r="194" spans="1:10" x14ac:dyDescent="0.45">
      <c r="A194" s="5"/>
      <c r="B194" s="6"/>
      <c r="E194" s="1"/>
    </row>
    <row r="195" spans="1:10" ht="17.5" customHeight="1" x14ac:dyDescent="0.45">
      <c r="A195" s="21" t="s">
        <v>1816</v>
      </c>
      <c r="E195" s="1"/>
    </row>
    <row r="196" spans="1:10" x14ac:dyDescent="0.45">
      <c r="A196" s="12" t="s">
        <v>1820</v>
      </c>
      <c r="E196" s="1"/>
    </row>
    <row r="197" spans="1:10" x14ac:dyDescent="0.45">
      <c r="A197" s="22" t="s">
        <v>1696</v>
      </c>
      <c r="B197" s="23" t="s">
        <v>1697</v>
      </c>
    </row>
    <row r="198" spans="1:10" x14ac:dyDescent="0.45">
      <c r="A198" s="5" t="s">
        <v>13</v>
      </c>
      <c r="B198" s="6" t="s">
        <v>1821</v>
      </c>
    </row>
    <row r="199" spans="1:10" x14ac:dyDescent="0.45">
      <c r="A199" s="5" t="s">
        <v>14</v>
      </c>
      <c r="B199" s="6" t="s">
        <v>1699</v>
      </c>
    </row>
    <row r="200" spans="1:10" x14ac:dyDescent="0.45">
      <c r="A200" s="5" t="s">
        <v>15</v>
      </c>
      <c r="B200" s="6" t="s">
        <v>1822</v>
      </c>
    </row>
    <row r="201" spans="1:10" x14ac:dyDescent="0.45">
      <c r="A201" s="5" t="s">
        <v>1823</v>
      </c>
      <c r="B201" s="6" t="s">
        <v>1824</v>
      </c>
    </row>
    <row r="202" spans="1:10" x14ac:dyDescent="0.45">
      <c r="A202" s="5" t="s">
        <v>1825</v>
      </c>
      <c r="B202" s="6" t="s">
        <v>1826</v>
      </c>
    </row>
    <row r="203" spans="1:10" x14ac:dyDescent="0.45">
      <c r="A203" s="5" t="s">
        <v>1827</v>
      </c>
      <c r="B203" s="6" t="s">
        <v>1828</v>
      </c>
    </row>
    <row r="204" spans="1:10" x14ac:dyDescent="0.45">
      <c r="A204" s="5" t="s">
        <v>1829</v>
      </c>
      <c r="B204" s="6" t="s">
        <v>1830</v>
      </c>
    </row>
    <row r="206" spans="1:10" ht="17.5" customHeight="1" x14ac:dyDescent="0.45">
      <c r="A206" s="21" t="s">
        <v>1831</v>
      </c>
    </row>
    <row r="207" spans="1:10" x14ac:dyDescent="0.45">
      <c r="A207" s="12" t="s">
        <v>1832</v>
      </c>
    </row>
    <row r="208" spans="1:10" x14ac:dyDescent="0.45">
      <c r="A208" s="22" t="s">
        <v>1696</v>
      </c>
      <c r="B208" s="23" t="s">
        <v>1697</v>
      </c>
    </row>
    <row r="209" spans="1:10" x14ac:dyDescent="0.45">
      <c r="A209" s="1" t="s">
        <v>13</v>
      </c>
      <c r="B209" s="6" t="s">
        <v>1821</v>
      </c>
    </row>
    <row r="210" spans="1:10" x14ac:dyDescent="0.45">
      <c r="A210" s="1" t="s">
        <v>15</v>
      </c>
      <c r="B210" s="6" t="s">
        <v>1700</v>
      </c>
    </row>
    <row r="211" spans="1:10" x14ac:dyDescent="0.45">
      <c r="A211" s="1" t="s">
        <v>14</v>
      </c>
      <c r="B211" s="6" t="s">
        <v>1699</v>
      </c>
    </row>
    <row r="212" spans="1:10" x14ac:dyDescent="0.45">
      <c r="A212" s="1" t="s">
        <v>1686</v>
      </c>
      <c r="B212" s="6" t="s">
        <v>1684</v>
      </c>
    </row>
    <row r="213" spans="1:10" x14ac:dyDescent="0.45">
      <c r="A213" s="1" t="s">
        <v>1833</v>
      </c>
      <c r="B213" s="6" t="s">
        <v>1835</v>
      </c>
    </row>
    <row r="214" spans="1:10" x14ac:dyDescent="0.45">
      <c r="A214" s="1" t="s">
        <v>137</v>
      </c>
      <c r="B214" s="6" t="s">
        <v>1834</v>
      </c>
    </row>
    <row r="215" spans="1:10" x14ac:dyDescent="0.45">
      <c r="A215" s="5"/>
      <c r="B215" s="6"/>
    </row>
    <row r="216" spans="1:10" x14ac:dyDescent="0.45">
      <c r="A216" s="5"/>
      <c r="B216" s="6"/>
    </row>
  </sheetData>
  <phoneticPr fontId="15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nexus_theme_level</vt:lpstr>
      <vt:lpstr>nexus_hall_level</vt:lpstr>
      <vt:lpstr>nexus_node_category</vt:lpstr>
      <vt:lpstr>nexus_node</vt:lpstr>
      <vt:lpstr>nexus_dic_story</vt:lpstr>
      <vt:lpstr>nexus_dic_event</vt:lpstr>
      <vt:lpstr>nexus_dic_relic</vt:lpstr>
      <vt:lpstr>nexus_dic_monster</vt:lpstr>
      <vt:lpstr>nexus_dic_reward</vt:lpstr>
      <vt:lpstr>nexus_normal_mission</vt:lpstr>
      <vt:lpstr>nexus_special_mission</vt:lpstr>
      <vt:lpstr>nexus_investment</vt:lpstr>
      <vt:lpstr>레퍼런스</vt:lpstr>
      <vt:lpstr>nexus_theme_level!Print_Area</vt:lpstr>
      <vt:lpstr>nexus_theme_level!Print_Titles</vt:lpstr>
      <vt:lpstr>nexus_hall_level!Print_Area</vt:lpstr>
      <vt:lpstr>nexus_hall_level!Print_Titles</vt:lpstr>
      <vt:lpstr>nexus_node_category!Print_Area</vt:lpstr>
      <vt:lpstr>nexus_node_category!Print_Titles</vt:lpstr>
      <vt:lpstr>nexus_node!Print_Area</vt:lpstr>
      <vt:lpstr>nexus_node!Print_Titles</vt:lpstr>
      <vt:lpstr>nexus_dic_story!Print_Area</vt:lpstr>
      <vt:lpstr>nexus_dic_story!Print_Titles</vt:lpstr>
      <vt:lpstr>nexus_dic_event!Print_Area</vt:lpstr>
      <vt:lpstr>nexus_dic_event!Print_Titles</vt:lpstr>
      <vt:lpstr>nexus_dic_relic!Print_Area</vt:lpstr>
      <vt:lpstr>nexus_dic_relic!Print_Titles</vt:lpstr>
      <vt:lpstr>nexus_dic_monster!Print_Area</vt:lpstr>
      <vt:lpstr>nexus_dic_monster!Print_Titles</vt:lpstr>
      <vt:lpstr>nexus_dic_reward!Print_Area</vt:lpstr>
      <vt:lpstr>nexus_dic_reward!Print_Titles</vt:lpstr>
      <vt:lpstr>nexus_normal_mission!Print_Area</vt:lpstr>
      <vt:lpstr>nexus_normal_mission!Print_Titles</vt:lpstr>
      <vt:lpstr>nexus_special_mission!Print_Area</vt:lpstr>
      <vt:lpstr>nexus_special_mission!Print_Titles</vt:lpstr>
      <vt:lpstr>nexus_investment!Print_Area</vt:lpstr>
      <vt:lpstr>nexus_investment!Print_Titles</vt:lpstr>
      <vt:lpstr>레퍼런스!Print_Area</vt:lpstr>
      <vt:lpstr>레퍼런스!Print_Titles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이병연</lastModifiedBy>
  <dcterms:modified xsi:type="dcterms:W3CDTF">2026-07-20T15:35:01.0000000Z</dcterms:modified>
  <dcterms:created xsi:type="dcterms:W3CDTF">2026-07-22T09:44:52.3970542Z</dcterms:created>
</coreProperties>
</file>