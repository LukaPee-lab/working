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D3C65BF1-DBC8-41D7-930E-0EF3D9CFCCE4}" xr6:coauthVersionLast="47" xr6:coauthVersionMax="47" xr10:uidLastSave="{00000000-0000-0000-0000-000000000000}"/>
  <bookViews>
    <workbookView xWindow="38280" yWindow="-120" windowWidth="38640" windowHeight="21120" firstSheet="3" activeTab="3" xr2:uid="{EB435307-C998-43AA-B9C1-44AC5F907F13}"/>
  </bookViews>
  <sheets>
    <sheet name="nexus_theme_level" sheetId="1" r:id="rId1"/>
    <sheet name="nexus_hall_level" sheetId="2" r:id="rId2"/>
    <sheet name="nexus_node_category" sheetId="3" r:id="rId3"/>
    <sheet name="nexus_node" sheetId="4" r:id="rId4"/>
    <sheet name="nexus_dic_story" sheetId="5" r:id="rId5"/>
    <sheet name="nexus_dic_event" sheetId="6" r:id="rId6"/>
    <sheet name="nexus_dic_relic" sheetId="7" r:id="rId7"/>
    <sheet name="nexus_dic_monster" sheetId="8" r:id="rId8"/>
    <sheet name="nexus_dic_reward" sheetId="9" r:id="rId9"/>
    <sheet name="nexus_normal_mission" sheetId="10" r:id="rId10"/>
    <sheet name="nexus_special_mission" sheetId="13" r:id="rId11"/>
    <sheet name="nexus_investment" sheetId="11" r:id="rId12"/>
    <sheet name="레퍼런스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7" i="4" l="1"/>
  <c r="A147" i="4"/>
  <c r="T146" i="4"/>
  <c r="A146" i="4"/>
  <c r="T145" i="4"/>
  <c r="A145" i="4"/>
  <c r="T144" i="4"/>
  <c r="A144" i="4"/>
  <c r="T143" i="4"/>
  <c r="A143" i="4"/>
  <c r="T142" i="4"/>
  <c r="A142" i="4"/>
  <c r="T141" i="4"/>
  <c r="A141" i="4"/>
  <c r="T140" i="4"/>
  <c r="A140" i="4"/>
  <c r="T139" i="4"/>
  <c r="A139" i="4"/>
  <c r="T138" i="4"/>
  <c r="A138" i="4"/>
  <c r="T137" i="4"/>
  <c r="A137" i="4"/>
  <c r="T136" i="4"/>
  <c r="A136" i="4"/>
  <c r="T135" i="4"/>
  <c r="A135" i="4"/>
  <c r="T134" i="4"/>
  <c r="A134" i="4"/>
  <c r="T133" i="4"/>
  <c r="A133" i="4"/>
  <c r="T132" i="4"/>
  <c r="A132" i="4"/>
  <c r="T131" i="4"/>
  <c r="A131" i="4"/>
  <c r="T130" i="4"/>
  <c r="A130" i="4"/>
  <c r="T129" i="4"/>
  <c r="A129" i="4"/>
  <c r="T128" i="4"/>
  <c r="A128" i="4"/>
  <c r="T127" i="4"/>
  <c r="A127" i="4"/>
  <c r="T126" i="4"/>
  <c r="A126" i="4"/>
  <c r="T125" i="4"/>
  <c r="A125" i="4"/>
  <c r="T124" i="4"/>
  <c r="A124" i="4"/>
  <c r="T123" i="4"/>
  <c r="A123" i="4"/>
  <c r="T122" i="4"/>
  <c r="A122" i="4"/>
  <c r="T121" i="4"/>
  <c r="A121" i="4"/>
  <c r="T120" i="4"/>
  <c r="A120" i="4"/>
  <c r="T119" i="4"/>
  <c r="A119" i="4"/>
  <c r="T118" i="4"/>
  <c r="A118" i="4"/>
  <c r="T117" i="4"/>
  <c r="A117" i="4"/>
  <c r="T116" i="4"/>
  <c r="A116" i="4"/>
  <c r="T115" i="4"/>
  <c r="A115" i="4"/>
  <c r="T114" i="4"/>
  <c r="A114" i="4"/>
  <c r="T113" i="4"/>
  <c r="A113" i="4"/>
  <c r="T112" i="4"/>
  <c r="A112" i="4"/>
  <c r="T111" i="4"/>
  <c r="A111" i="4"/>
  <c r="T110" i="4"/>
  <c r="A110" i="4"/>
  <c r="T109" i="4"/>
  <c r="A109" i="4"/>
  <c r="T108" i="4"/>
  <c r="A108" i="4"/>
  <c r="T107" i="4"/>
  <c r="A107" i="4"/>
  <c r="T106" i="4"/>
  <c r="A106" i="4"/>
  <c r="T105" i="4"/>
  <c r="A105" i="4"/>
  <c r="T104" i="4"/>
  <c r="A104" i="4"/>
  <c r="T103" i="4"/>
  <c r="A103" i="4"/>
  <c r="T102" i="4"/>
  <c r="A102" i="4"/>
  <c r="T101" i="4"/>
  <c r="A101" i="4"/>
  <c r="T100" i="4"/>
  <c r="A100" i="4"/>
  <c r="T99" i="4"/>
  <c r="A99" i="4"/>
  <c r="T98" i="4"/>
  <c r="A98" i="4"/>
  <c r="T97" i="4"/>
  <c r="A97" i="4"/>
  <c r="T96" i="4"/>
  <c r="A96" i="4"/>
  <c r="T95" i="4"/>
  <c r="A95" i="4"/>
  <c r="T94" i="4"/>
  <c r="A94" i="4"/>
  <c r="T93" i="4"/>
  <c r="A93" i="4"/>
  <c r="T92" i="4"/>
  <c r="A92" i="4"/>
  <c r="T91" i="4"/>
  <c r="A91" i="4"/>
  <c r="T90" i="4"/>
  <c r="A90" i="4"/>
  <c r="T89" i="4"/>
  <c r="A89" i="4"/>
  <c r="T88" i="4"/>
  <c r="A88" i="4"/>
  <c r="T87" i="4"/>
  <c r="A87" i="4"/>
  <c r="T86" i="4"/>
  <c r="A86" i="4"/>
  <c r="T85" i="4"/>
  <c r="A85" i="4"/>
  <c r="T84" i="4"/>
  <c r="A84" i="4"/>
  <c r="T83" i="4"/>
  <c r="A83" i="4"/>
  <c r="T82" i="4"/>
  <c r="A82" i="4"/>
  <c r="T81" i="4"/>
  <c r="A81" i="4"/>
  <c r="T80" i="4"/>
  <c r="A80" i="4"/>
  <c r="T79" i="4"/>
  <c r="A79" i="4"/>
  <c r="T78" i="4"/>
  <c r="A78" i="4"/>
  <c r="T77" i="4"/>
  <c r="A77" i="4"/>
  <c r="T76" i="4"/>
  <c r="A76" i="4"/>
  <c r="T75" i="4"/>
  <c r="A75" i="4"/>
  <c r="T74" i="4"/>
  <c r="A74" i="4"/>
  <c r="T73" i="4"/>
  <c r="A73" i="4"/>
  <c r="T72" i="4"/>
  <c r="A72" i="4"/>
  <c r="T71" i="4"/>
  <c r="A71" i="4"/>
  <c r="T70" i="4"/>
  <c r="A70" i="4"/>
  <c r="T69" i="4"/>
  <c r="A69" i="4"/>
  <c r="T68" i="4"/>
  <c r="A68" i="4"/>
  <c r="T67" i="4"/>
  <c r="A67" i="4"/>
  <c r="T66" i="4"/>
  <c r="A66" i="4"/>
  <c r="T65" i="4"/>
  <c r="A65" i="4"/>
  <c r="T64" i="4"/>
  <c r="A64" i="4"/>
  <c r="T63" i="4"/>
  <c r="A63" i="4"/>
  <c r="T62" i="4"/>
  <c r="A62" i="4"/>
  <c r="T61" i="4"/>
  <c r="A61" i="4"/>
  <c r="T60" i="4"/>
  <c r="A60" i="4"/>
  <c r="T59" i="4"/>
  <c r="A59" i="4"/>
  <c r="T58" i="4"/>
  <c r="A58" i="4"/>
  <c r="T57" i="4"/>
  <c r="A57" i="4"/>
  <c r="T56" i="4"/>
  <c r="A56" i="4"/>
  <c r="T55" i="4"/>
  <c r="A55" i="4"/>
  <c r="T54" i="4"/>
  <c r="A54" i="4"/>
  <c r="T53" i="4"/>
  <c r="A53" i="4"/>
  <c r="T52" i="4"/>
  <c r="A52" i="4"/>
  <c r="T51" i="4"/>
  <c r="A51" i="4"/>
  <c r="T50" i="4"/>
  <c r="A50" i="4"/>
  <c r="T49" i="4"/>
  <c r="A49" i="4"/>
  <c r="T48" i="4"/>
  <c r="A48" i="4"/>
  <c r="T47" i="4"/>
  <c r="A47" i="4"/>
  <c r="T46" i="4"/>
  <c r="A46" i="4"/>
  <c r="T45" i="4"/>
  <c r="A45" i="4"/>
  <c r="T44" i="4"/>
  <c r="A44" i="4"/>
  <c r="T43" i="4"/>
  <c r="A43" i="4"/>
  <c r="T42" i="4"/>
  <c r="A42" i="4"/>
  <c r="T41" i="4"/>
  <c r="A41" i="4"/>
  <c r="T40" i="4"/>
  <c r="A40" i="4"/>
  <c r="T39" i="4"/>
  <c r="A39" i="4"/>
  <c r="T38" i="4"/>
  <c r="A38" i="4"/>
  <c r="T37" i="4"/>
  <c r="A37" i="4"/>
  <c r="T36" i="4"/>
  <c r="A36" i="4"/>
  <c r="T35" i="4"/>
  <c r="A35" i="4"/>
  <c r="T34" i="4"/>
  <c r="A34" i="4"/>
  <c r="T33" i="4"/>
  <c r="A33" i="4"/>
  <c r="T32" i="4"/>
  <c r="A32" i="4"/>
  <c r="T31" i="4"/>
  <c r="A31" i="4"/>
  <c r="T30" i="4"/>
  <c r="A30" i="4"/>
  <c r="T29" i="4"/>
  <c r="A29" i="4"/>
  <c r="T28" i="4"/>
  <c r="A28" i="4"/>
  <c r="T27" i="4"/>
  <c r="A27" i="4"/>
  <c r="T26" i="4"/>
  <c r="A26" i="4"/>
  <c r="T25" i="4"/>
  <c r="A25" i="4"/>
  <c r="T24" i="4"/>
  <c r="A24" i="4"/>
  <c r="T23" i="4"/>
  <c r="A23" i="4"/>
  <c r="T22" i="4"/>
  <c r="A22" i="4"/>
  <c r="T21" i="4"/>
  <c r="A21" i="4"/>
  <c r="T20" i="4"/>
  <c r="A20" i="4"/>
  <c r="T19" i="4"/>
  <c r="A19" i="4"/>
  <c r="T18" i="4"/>
  <c r="A18" i="4"/>
  <c r="T17" i="4"/>
  <c r="A17" i="4"/>
  <c r="T16" i="4"/>
  <c r="A16" i="4"/>
  <c r="T15" i="4"/>
  <c r="A15" i="4"/>
  <c r="T14" i="4"/>
  <c r="A14" i="4"/>
  <c r="T13" i="4"/>
  <c r="A13" i="4"/>
  <c r="T12" i="4"/>
  <c r="A12" i="4"/>
  <c r="T11" i="4"/>
  <c r="A11" i="4"/>
  <c r="T10" i="4"/>
  <c r="A10" i="4"/>
  <c r="T9" i="4"/>
  <c r="A9" i="4"/>
  <c r="T8" i="4"/>
  <c r="A8" i="4"/>
  <c r="T7" i="4"/>
  <c r="A7" i="4"/>
  <c r="T6" i="4"/>
  <c r="A6" i="4"/>
  <c r="T5" i="4"/>
  <c r="A5" i="4"/>
  <c r="T4" i="4"/>
  <c r="A4" i="4"/>
  <c r="A9" i="11"/>
  <c r="A10" i="11"/>
  <c r="A11" i="11"/>
  <c r="A12" i="11"/>
  <c r="A13" i="11"/>
  <c r="A4" i="1"/>
  <c r="A5" i="1"/>
  <c r="E5" i="1"/>
  <c r="A6" i="1"/>
  <c r="E6" i="1"/>
  <c r="A7" i="1"/>
  <c r="E7" i="1"/>
  <c r="A8" i="1"/>
  <c r="E8" i="1"/>
  <c r="A9" i="1"/>
  <c r="E9" i="1"/>
  <c r="A10" i="1"/>
  <c r="E10" i="1"/>
  <c r="A11" i="1"/>
  <c r="E11" i="1"/>
  <c r="A12" i="1"/>
  <c r="E12" i="1"/>
  <c r="A13" i="1"/>
  <c r="E13" i="1"/>
  <c r="A14" i="1"/>
  <c r="E14" i="1"/>
  <c r="A15" i="1"/>
  <c r="E15" i="1"/>
  <c r="A16" i="1"/>
  <c r="E16" i="1"/>
  <c r="A17" i="1"/>
  <c r="E17" i="1"/>
  <c r="A18" i="1"/>
  <c r="E18" i="1"/>
  <c r="A19" i="1"/>
  <c r="E19" i="1"/>
  <c r="A20" i="1"/>
  <c r="E20" i="1"/>
  <c r="A21" i="1"/>
  <c r="E21" i="1"/>
  <c r="A22" i="1"/>
  <c r="E22" i="1"/>
  <c r="A23" i="1"/>
  <c r="E23" i="1"/>
  <c r="A24" i="1"/>
  <c r="E24" i="1"/>
  <c r="A25" i="1"/>
  <c r="E25" i="1"/>
  <c r="A26" i="1"/>
  <c r="E26" i="1"/>
  <c r="A27" i="1"/>
  <c r="E27" i="1"/>
  <c r="A28" i="1"/>
  <c r="E28" i="1"/>
  <c r="A29" i="1"/>
  <c r="E29" i="1"/>
  <c r="A30" i="1"/>
  <c r="E30" i="1"/>
  <c r="A31" i="1"/>
  <c r="E31" i="1"/>
  <c r="A32" i="1"/>
  <c r="E32" i="1"/>
  <c r="A33" i="1"/>
  <c r="E33" i="1"/>
  <c r="A34" i="1"/>
  <c r="E34" i="1"/>
  <c r="A35" i="1"/>
  <c r="E35" i="1"/>
  <c r="A36" i="1"/>
  <c r="E36" i="1"/>
  <c r="A37" i="1"/>
  <c r="E37" i="1"/>
  <c r="A38" i="1"/>
  <c r="E38" i="1"/>
  <c r="A39" i="1"/>
  <c r="E39" i="1"/>
  <c r="A40" i="1"/>
  <c r="E40" i="1"/>
  <c r="A41" i="1"/>
  <c r="E41" i="1"/>
  <c r="A42" i="1"/>
  <c r="E42" i="1"/>
  <c r="A43" i="1"/>
  <c r="E43" i="1"/>
  <c r="A44" i="1"/>
  <c r="E44" i="1"/>
  <c r="A45" i="1"/>
  <c r="E45" i="1"/>
  <c r="A46" i="1"/>
  <c r="E46" i="1"/>
  <c r="A47" i="1"/>
  <c r="E47" i="1"/>
  <c r="A48" i="1"/>
  <c r="E48" i="1"/>
  <c r="A49" i="1"/>
  <c r="E49" i="1"/>
  <c r="A50" i="1"/>
  <c r="E50" i="1"/>
  <c r="A51" i="1"/>
  <c r="E51" i="1"/>
  <c r="A52" i="1"/>
  <c r="E52" i="1"/>
  <c r="A53" i="1"/>
  <c r="E53" i="1"/>
  <c r="A54" i="1"/>
  <c r="E54" i="1"/>
  <c r="A55" i="1"/>
  <c r="E55" i="1"/>
  <c r="A56" i="1"/>
  <c r="E56" i="1"/>
  <c r="A57" i="1"/>
  <c r="E57" i="1"/>
  <c r="A58" i="1"/>
  <c r="E58" i="1"/>
  <c r="A59" i="1"/>
  <c r="E59" i="1"/>
  <c r="A60" i="1"/>
  <c r="E60" i="1"/>
  <c r="A61" i="1"/>
  <c r="E61" i="1"/>
  <c r="A62" i="1"/>
  <c r="E62" i="1"/>
  <c r="A63" i="1"/>
  <c r="E63" i="1"/>
  <c r="A64" i="1"/>
  <c r="E64" i="1"/>
  <c r="A65" i="1"/>
  <c r="E65" i="1"/>
  <c r="A66" i="1"/>
  <c r="E66" i="1"/>
  <c r="A67" i="1"/>
  <c r="E67" i="1"/>
  <c r="A68" i="1"/>
  <c r="E68" i="1"/>
  <c r="A69" i="1"/>
  <c r="E69" i="1"/>
  <c r="A70" i="1"/>
  <c r="E70" i="1"/>
  <c r="A71" i="1"/>
  <c r="E71" i="1"/>
  <c r="A72" i="1"/>
  <c r="E72" i="1"/>
  <c r="A73" i="1"/>
  <c r="E73" i="1"/>
  <c r="A74" i="1"/>
  <c r="E74" i="1"/>
  <c r="A75" i="1"/>
  <c r="E75" i="1"/>
  <c r="A76" i="1"/>
  <c r="E76" i="1"/>
  <c r="A77" i="1"/>
  <c r="E77" i="1"/>
  <c r="A78" i="1"/>
  <c r="E78" i="1"/>
  <c r="A79" i="1"/>
  <c r="E79" i="1"/>
  <c r="A80" i="1"/>
  <c r="E80" i="1"/>
  <c r="A81" i="1"/>
  <c r="E81" i="1"/>
  <c r="A82" i="1"/>
  <c r="E82" i="1"/>
  <c r="A83" i="1"/>
  <c r="E83" i="1"/>
  <c r="A84" i="1"/>
  <c r="E84" i="1"/>
  <c r="A85" i="1"/>
  <c r="E85" i="1"/>
  <c r="A86" i="1"/>
  <c r="E86" i="1"/>
  <c r="A87" i="1"/>
  <c r="E87" i="1"/>
  <c r="A88" i="1"/>
  <c r="E88" i="1"/>
  <c r="A89" i="1"/>
  <c r="E89" i="1"/>
  <c r="A90" i="1"/>
  <c r="E90" i="1"/>
  <c r="A91" i="1"/>
  <c r="E91" i="1"/>
  <c r="A92" i="1"/>
  <c r="E92" i="1"/>
  <c r="A93" i="1"/>
  <c r="E93" i="1"/>
  <c r="A94" i="1"/>
  <c r="E94" i="1"/>
  <c r="A95" i="1"/>
  <c r="E95" i="1"/>
  <c r="A96" i="1"/>
  <c r="E96" i="1"/>
  <c r="A97" i="1"/>
  <c r="E97" i="1"/>
  <c r="A98" i="1"/>
  <c r="E98" i="1"/>
  <c r="A99" i="1"/>
  <c r="E99" i="1"/>
  <c r="A100" i="1"/>
  <c r="E100" i="1"/>
  <c r="A101" i="1"/>
  <c r="E101" i="1"/>
  <c r="A102" i="1"/>
  <c r="E102" i="1"/>
  <c r="A103" i="1"/>
  <c r="E103" i="1"/>
  <c r="A4" i="2"/>
  <c r="A5" i="2"/>
  <c r="A6" i="2"/>
  <c r="A7" i="2"/>
  <c r="A8" i="2"/>
  <c r="A9" i="2"/>
  <c r="A10" i="2"/>
  <c r="A11" i="2"/>
  <c r="A12" i="2"/>
  <c r="A13" i="2"/>
  <c r="A4" i="3"/>
  <c r="F4" i="3"/>
  <c r="A5" i="3"/>
  <c r="F5" i="3"/>
  <c r="A6" i="3"/>
  <c r="F6" i="3"/>
  <c r="A7" i="3"/>
  <c r="F7" i="3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4" i="8"/>
  <c r="A5" i="8"/>
  <c r="A6" i="8"/>
  <c r="A7" i="8"/>
  <c r="A8" i="8"/>
  <c r="A9" i="8"/>
  <c r="A10" i="8"/>
  <c r="A11" i="8"/>
  <c r="A12" i="8"/>
  <c r="A4" i="9"/>
  <c r="A5" i="9"/>
  <c r="A6" i="9"/>
  <c r="A7" i="9"/>
  <c r="A8" i="9"/>
  <c r="A4" i="10"/>
  <c r="H4" i="10"/>
  <c r="A5" i="10"/>
  <c r="H5" i="10"/>
  <c r="A6" i="10"/>
  <c r="H6" i="10"/>
  <c r="A7" i="10"/>
  <c r="H7" i="10"/>
  <c r="A8" i="10"/>
  <c r="H8" i="10"/>
  <c r="A4" i="13"/>
  <c r="G4" i="13"/>
  <c r="F5" i="13" s="1"/>
  <c r="G5" i="13" s="1"/>
  <c r="F6" i="13" s="1"/>
  <c r="G6" i="13" s="1"/>
  <c r="F7" i="13" s="1"/>
  <c r="G7" i="13" s="1"/>
  <c r="F8" i="13" s="1"/>
  <c r="G8" i="13" s="1"/>
  <c r="F9" i="13" s="1"/>
  <c r="G9" i="13" s="1"/>
  <c r="H4" i="13"/>
  <c r="I4" i="13" s="1"/>
  <c r="H5" i="13" s="1"/>
  <c r="I5" i="13" s="1"/>
  <c r="H6" i="13" s="1"/>
  <c r="I6" i="13" s="1"/>
  <c r="H7" i="13" s="1"/>
  <c r="I7" i="13" s="1"/>
  <c r="H8" i="13" s="1"/>
  <c r="I8" i="13" s="1"/>
  <c r="H9" i="13" s="1"/>
  <c r="I9" i="13" s="1"/>
  <c r="L4" i="13"/>
  <c r="A5" i="13"/>
  <c r="L5" i="13"/>
  <c r="A6" i="13"/>
  <c r="L6" i="13"/>
  <c r="A7" i="13"/>
  <c r="L7" i="13"/>
  <c r="A8" i="13"/>
  <c r="L8" i="13"/>
  <c r="A9" i="13"/>
  <c r="L9" i="13"/>
  <c r="A4" i="11"/>
  <c r="F4" i="11"/>
  <c r="A5" i="11"/>
  <c r="A6" i="11"/>
  <c r="A7" i="11"/>
  <c r="A8" i="11"/>
  <c r="H144" i="12"/>
  <c r="H145" i="12"/>
  <c r="H146" i="12"/>
  <c r="H147" i="12"/>
  <c r="H148" i="12"/>
</calcChain>
</file>

<file path=xl/sharedStrings.xml><?xml version="1.0" encoding="utf-8"?>
<sst xmlns="http://schemas.openxmlformats.org/spreadsheetml/2006/main" count="3540" uniqueCount="960">
  <si>
    <t>lbh9517_175126</t>
  </si>
  <si>
    <t>고유값</t>
  </si>
  <si>
    <t>테마 id</t>
  </si>
  <si>
    <t>패스 레벨</t>
  </si>
  <si>
    <t>필요 exp 양</t>
  </si>
  <si>
    <t>완료 보상 1</t>
  </si>
  <si>
    <t>보상 값 1</t>
  </si>
  <si>
    <t>해금될 도감 스토리 id</t>
  </si>
  <si>
    <t>y시 메인 리워드</t>
  </si>
  <si>
    <t>등급 설정</t>
  </si>
  <si>
    <t>세트 설정</t>
  </si>
  <si>
    <t>장비 옵션 설정</t>
  </si>
  <si>
    <t>장비 강화 LV 설정(현재 15만 사용 가능)</t>
  </si>
  <si>
    <t>id</t>
  </si>
  <si>
    <t>export_id</t>
  </si>
  <si>
    <t>theme_id</t>
  </si>
  <si>
    <t>level</t>
  </si>
  <si>
    <t>need_exp_value</t>
  </si>
  <si>
    <t>reward_id_1</t>
  </si>
  <si>
    <t>reward_value_1</t>
  </si>
  <si>
    <t>dic_collect_story</t>
  </si>
  <si>
    <t>main_reward</t>
  </si>
  <si>
    <t>*grade_rate_1</t>
  </si>
  <si>
    <t>*set_drop_1</t>
  </si>
  <si>
    <t>*equip_op_1</t>
  </si>
  <si>
    <t>*equip_enchant_lv_1</t>
  </si>
  <si>
    <t>s1</t>
  </si>
  <si>
    <t>to_gold</t>
  </si>
  <si>
    <t>nexus_s1_story_001</t>
  </si>
  <si>
    <t>to_stigma</t>
  </si>
  <si>
    <t>to_ticketrare</t>
  </si>
  <si>
    <t>nexus_s1_story_002</t>
  </si>
  <si>
    <t>to_crystal</t>
  </si>
  <si>
    <t>nexus_s1_story_003</t>
  </si>
  <si>
    <t>to_powder</t>
  </si>
  <si>
    <t>to_ticketrare_wish</t>
  </si>
  <si>
    <t>nexus_s1_story_004</t>
  </si>
  <si>
    <t>nexus_s1_story_005</t>
  </si>
  <si>
    <t>y</t>
  </si>
  <si>
    <t>nexus_s1_story_006</t>
  </si>
  <si>
    <t>nexus_s1_story_007</t>
  </si>
  <si>
    <t>nexus_s1_story_008</t>
  </si>
  <si>
    <t>nexus_s1_story_009</t>
  </si>
  <si>
    <t>nexus_s1_story_010</t>
  </si>
  <si>
    <t>nexus_s1_story_011</t>
  </si>
  <si>
    <t>nexus_s1_story_012</t>
  </si>
  <si>
    <t>nexus_s1_story_013</t>
  </si>
  <si>
    <t>nexus_s1_story_014</t>
  </si>
  <si>
    <t>nexus_s1_story_015</t>
  </si>
  <si>
    <t>to_mura</t>
  </si>
  <si>
    <t>to_ticketspecial</t>
  </si>
  <si>
    <t>to_hero2</t>
  </si>
  <si>
    <t>to_ticketmoon</t>
  </si>
  <si>
    <t>sp_eqf5s_210422</t>
  </si>
  <si>
    <t>레벨</t>
  </si>
  <si>
    <t>레벨 별 배경</t>
  </si>
  <si>
    <t>레벨 별 이미지</t>
  </si>
  <si>
    <t>레벨 상승 필요 아이템</t>
  </si>
  <si>
    <t>레벨 상승 필요 개수</t>
  </si>
  <si>
    <t>노드 구획 해방 권한</t>
  </si>
  <si>
    <t>리워드 타입</t>
  </si>
  <si>
    <t>리워드 id</t>
  </si>
  <si>
    <t>리워드 개수</t>
  </si>
  <si>
    <t>level_bg</t>
  </si>
  <si>
    <t>level_image</t>
  </si>
  <si>
    <t>level_require_item_id</t>
  </si>
  <si>
    <t>level_require_item_value</t>
  </si>
  <si>
    <t>reward_type_1</t>
  </si>
  <si>
    <r>
      <rPr>
        <b/>
        <sz val="11"/>
        <color theme="1"/>
        <rFont val="맑은 고딕"/>
        <family val="3"/>
        <charset val="129"/>
      </rPr>
      <t>node_permission</t>
    </r>
    <phoneticPr fontId="0" type="noConversion"/>
  </si>
  <si>
    <t>reward_1_value</t>
  </si>
  <si>
    <t>reward_type_2</t>
  </si>
  <si>
    <t>reward_id_2</t>
  </si>
  <si>
    <t>reward_2_value</t>
  </si>
  <si>
    <t>*grade_rate_2</t>
  </si>
  <si>
    <t>*set_drop_2</t>
  </si>
  <si>
    <t>*equip_op_2</t>
  </si>
  <si>
    <t>*equip_enchant_lv_2</t>
  </si>
  <si>
    <t>bg_nexus1_00pct</t>
  </si>
  <si>
    <t>nexus_hall_lv_01</t>
  </si>
  <si>
    <t>node</t>
  </si>
  <si>
    <t>item</t>
  </si>
  <si>
    <t>nexus_hall_lv_02</t>
  </si>
  <si>
    <t>bg_nexus1_25pct</t>
  </si>
  <si>
    <t>nexus_hall_lv_03</t>
  </si>
  <si>
    <t>nexus_hall_lv_04</t>
  </si>
  <si>
    <t>bg_nexus1_50pct</t>
  </si>
  <si>
    <t>nexus_hall_lv_05</t>
  </si>
  <si>
    <t>nexus_hall_lv_06</t>
  </si>
  <si>
    <t>bg_nexus1_75pct</t>
  </si>
  <si>
    <t>nexus_hall_lv_07</t>
  </si>
  <si>
    <t>nexus_hall_lv_08</t>
  </si>
  <si>
    <t>bg_nexus1_100pct</t>
  </si>
  <si>
    <t>nexus_hall_lv_09</t>
  </si>
  <si>
    <t>nexus_hall_lv_10</t>
  </si>
  <si>
    <t>노드카테고리id</t>
  </si>
  <si>
    <t>테마 id 주석</t>
  </si>
  <si>
    <t>노드 카테고리 주석</t>
  </si>
  <si>
    <t>카테고리 정렬 순서</t>
  </si>
  <si>
    <t>노드 이름 tid</t>
  </si>
  <si>
    <t>category</t>
  </si>
  <si>
    <t>index</t>
  </si>
  <si>
    <t>node_name</t>
  </si>
  <si>
    <t>survival</t>
  </si>
  <si>
    <t>economy</t>
  </si>
  <si>
    <t>relic</t>
  </si>
  <si>
    <t>battle</t>
  </si>
  <si>
    <t>노드 카테고리</t>
  </si>
  <si>
    <t>카테고리 TID</t>
  </si>
  <si>
    <t>노드 이미지 파일명</t>
  </si>
  <si>
    <t>메인 리워드 권한</t>
  </si>
  <si>
    <t>노드 활성화 필요 아이템</t>
  </si>
  <si>
    <t>노드 활성화 필요 개수</t>
  </si>
  <si>
    <t>노드 활성화 횟수</t>
  </si>
  <si>
    <r>
      <rPr>
        <sz val="11"/>
        <color theme="1"/>
        <rFont val="맑은 고딕"/>
        <family val="3"/>
        <charset val="129"/>
      </rPr>
      <t>전체 필요 개수</t>
    </r>
    <phoneticPr fontId="0" type="noConversion"/>
  </si>
  <si>
    <t>노드 칼럼 위치</t>
  </si>
  <si>
    <t>노드 행 위치</t>
  </si>
  <si>
    <t>선행 조건 노드 ID 1</t>
  </si>
  <si>
    <t>선행 조건 노드 ID 2</t>
  </si>
  <si>
    <t>선행 조건 노드 ID 3</t>
  </si>
  <si>
    <t>선행 조건 노드 ID 4</t>
  </si>
  <si>
    <t>선행 조건 노드 ID 5</t>
  </si>
  <si>
    <t>nexus_effect 테이블의 id 입력</t>
  </si>
  <si>
    <t>category_name</t>
  </si>
  <si>
    <t>image</t>
  </si>
  <si>
    <r>
      <rPr>
        <b/>
        <sz val="11"/>
        <color theme="1"/>
        <rFont val="맑은 고딕"/>
        <family val="3"/>
        <charset val="129"/>
      </rPr>
      <t>node_effect_desc</t>
    </r>
    <phoneticPr fontId="0" type="noConversion"/>
  </si>
  <si>
    <t>active_item_id</t>
  </si>
  <si>
    <t>active_item_value</t>
  </si>
  <si>
    <t>active_step</t>
  </si>
  <si>
    <t>column</t>
  </si>
  <si>
    <t>row</t>
  </si>
  <si>
    <t>condition_node_4</t>
  </si>
  <si>
    <r>
      <rPr>
        <b/>
        <sz val="11"/>
        <color theme="1"/>
        <rFont val="맑은 고딕"/>
        <family val="3"/>
        <charset val="129"/>
      </rPr>
      <t>condition_node_1</t>
    </r>
    <phoneticPr fontId="0" type="noConversion"/>
  </si>
  <si>
    <r>
      <rPr>
        <b/>
        <sz val="11"/>
        <color theme="1"/>
        <rFont val="맑은 고딕"/>
        <family val="3"/>
        <charset val="129"/>
      </rPr>
      <t>condition_node_2</t>
    </r>
    <phoneticPr fontId="0" type="noConversion"/>
  </si>
  <si>
    <r>
      <rPr>
        <b/>
        <sz val="11"/>
        <color theme="1"/>
        <rFont val="맑은 고딕"/>
        <family val="3"/>
        <charset val="129"/>
      </rPr>
      <t>condition_node_3</t>
    </r>
    <phoneticPr fontId="0" type="noConversion"/>
  </si>
  <si>
    <t>condition_node_5</t>
  </si>
  <si>
    <t>nexus_effect_id</t>
  </si>
  <si>
    <t>icon_menu_max_hp</t>
  </si>
  <si>
    <t>20;30;30</t>
  </si>
  <si>
    <t>30;40;50</t>
  </si>
  <si>
    <t>s1_node_survival_1_4</t>
  </si>
  <si>
    <t>icon_menu_trust</t>
  </si>
  <si>
    <t>40;50;60</t>
  </si>
  <si>
    <t>s1_node_survival_2_2</t>
  </si>
  <si>
    <t>s1_node_survival_2_6</t>
  </si>
  <si>
    <t>50;60;70</t>
  </si>
  <si>
    <t>s1_node_survival_3_2</t>
  </si>
  <si>
    <t>s1_node_survival_3_6</t>
  </si>
  <si>
    <t>icon_menu_battle2</t>
  </si>
  <si>
    <t>60;70;90</t>
  </si>
  <si>
    <t>s1_node_survival_4_2</t>
  </si>
  <si>
    <t>s1_node_survival_4_6</t>
  </si>
  <si>
    <t>70;80;100</t>
  </si>
  <si>
    <t>s1_node_survival_5_2</t>
  </si>
  <si>
    <t>s1_node_survival_5_6</t>
  </si>
  <si>
    <t>90;100;100</t>
  </si>
  <si>
    <t>s1_node_survival_6_4</t>
  </si>
  <si>
    <t>100;110;110</t>
  </si>
  <si>
    <t>s1_node_survival_7_2</t>
  </si>
  <si>
    <t>s1_node_survival_7_6</t>
  </si>
  <si>
    <t>110;120;130</t>
  </si>
  <si>
    <t>s1_node_survival_8_2</t>
  </si>
  <si>
    <t>s1_node_survival_8_6</t>
  </si>
  <si>
    <t>120;130;140</t>
  </si>
  <si>
    <t>s1_node_survival_9_2</t>
  </si>
  <si>
    <t>s1_node_survival_9_6</t>
  </si>
  <si>
    <t>130;140;160</t>
  </si>
  <si>
    <t>s1_node_survival_10_2</t>
  </si>
  <si>
    <t>s1_node_survival_10_6</t>
  </si>
  <si>
    <t>140;150;170</t>
  </si>
  <si>
    <t>s1_node_survival_11_4</t>
  </si>
  <si>
    <t>160;170;170</t>
  </si>
  <si>
    <t>s1_node_survival_12_2</t>
  </si>
  <si>
    <t>s1_node_survival_12_6</t>
  </si>
  <si>
    <t>170;180;180</t>
  </si>
  <si>
    <t>s1_node_survival_13_2</t>
  </si>
  <si>
    <t>s1_node_survival_13_6</t>
  </si>
  <si>
    <t>180;190;200</t>
  </si>
  <si>
    <t>s1_node_survival_14_2</t>
  </si>
  <si>
    <t>s1_node_survival_14_6</t>
  </si>
  <si>
    <t>190;200;210</t>
  </si>
  <si>
    <t>s1_node_survival_15_2</t>
  </si>
  <si>
    <t>s1_node_survival_15_6</t>
  </si>
  <si>
    <t>200;210;230</t>
  </si>
  <si>
    <t>s1_node_survival_16_4</t>
  </si>
  <si>
    <t>210;220;240</t>
  </si>
  <si>
    <t>s1_node_survival_17_2</t>
  </si>
  <si>
    <t>s1_node_survival_17_6</t>
  </si>
  <si>
    <t>230;240;240</t>
  </si>
  <si>
    <t>s1_node_survival_18_2</t>
  </si>
  <si>
    <t>s1_node_survival_18_6</t>
  </si>
  <si>
    <t>240;250;250</t>
  </si>
  <si>
    <t>s1_node_survival_19_2</t>
  </si>
  <si>
    <t>s1_node_survival_19_6</t>
  </si>
  <si>
    <t>260;270;280</t>
  </si>
  <si>
    <t>270;280;290</t>
  </si>
  <si>
    <t>280;290;310</t>
  </si>
  <si>
    <t>icon_rumble_gold</t>
  </si>
  <si>
    <t>30;40;40</t>
  </si>
  <si>
    <t>icon_menu_rumble_lvup</t>
  </si>
  <si>
    <t>s1_node_economy_2_6</t>
  </si>
  <si>
    <t>s1_node_economy_4_6</t>
  </si>
  <si>
    <t>s1_node_economy_5_6</t>
  </si>
  <si>
    <t>100;110;120</t>
  </si>
  <si>
    <t>s1_node_economy_7_6</t>
  </si>
  <si>
    <t>120;130;150</t>
  </si>
  <si>
    <t>s1_node_economy_9_6</t>
  </si>
  <si>
    <t>150;160;160</t>
  </si>
  <si>
    <t>s1_node_economy_10_6</t>
  </si>
  <si>
    <t>170;180;190</t>
  </si>
  <si>
    <t>s1_node_economy_12_6</t>
  </si>
  <si>
    <t>180;190;210</t>
  </si>
  <si>
    <t>190;200;220</t>
  </si>
  <si>
    <t>s1_node_economy_14_6</t>
  </si>
  <si>
    <t>210;220;220</t>
  </si>
  <si>
    <t>s1_node_economy_15_6</t>
  </si>
  <si>
    <t>220;230;230</t>
  </si>
  <si>
    <t>230;240;250</t>
  </si>
  <si>
    <t>s1_node_economy_17_6</t>
  </si>
  <si>
    <t>240;250;260</t>
  </si>
  <si>
    <t>250;260;280</t>
  </si>
  <si>
    <t>s1_node_economy_19_6</t>
  </si>
  <si>
    <t>300;310;320</t>
  </si>
  <si>
    <t>icon_menu_sticker</t>
  </si>
  <si>
    <t>40;50;70</t>
  </si>
  <si>
    <t>60;70;70</t>
  </si>
  <si>
    <t>70;80;90</t>
  </si>
  <si>
    <t>s1_node_relic_2_6</t>
  </si>
  <si>
    <t>80;90;100</t>
  </si>
  <si>
    <t>icon_menu_att</t>
  </si>
  <si>
    <t>90;100;120</t>
  </si>
  <si>
    <t>s1_node_relic_4_6</t>
  </si>
  <si>
    <t>110;120;120</t>
  </si>
  <si>
    <t>s1_node_relic_5_6</t>
  </si>
  <si>
    <t>s1_node_relic_7_6</t>
  </si>
  <si>
    <t>s1_node_relic_9_6</t>
  </si>
  <si>
    <t>s1_node_relic_10_6</t>
  </si>
  <si>
    <t>200;210;210</t>
  </si>
  <si>
    <t>s1_node_relic_12_6</t>
  </si>
  <si>
    <t>220;230;240</t>
  </si>
  <si>
    <t>s1_node_relic_14_6</t>
  </si>
  <si>
    <t>230;240;260</t>
  </si>
  <si>
    <t>s1_node_relic_15_6</t>
  </si>
  <si>
    <t>250;260;260</t>
  </si>
  <si>
    <t>s1_node_relic_17_6</t>
  </si>
  <si>
    <t>s1_node_relic_19_6</t>
  </si>
  <si>
    <t>80;90;90</t>
  </si>
  <si>
    <t>s1_node_battle_2_6</t>
  </si>
  <si>
    <t>90;100;110</t>
  </si>
  <si>
    <t>100;110;130</t>
  </si>
  <si>
    <t>s1_node_battle_4_6</t>
  </si>
  <si>
    <t>120;130;130</t>
  </si>
  <si>
    <t>s1_node_battle_5_6</t>
  </si>
  <si>
    <t>130;140;150</t>
  </si>
  <si>
    <t>140;150;160</t>
  </si>
  <si>
    <t>s1_node_battle_7_6</t>
  </si>
  <si>
    <t>150;160;180</t>
  </si>
  <si>
    <t>s1_node_battle_9_6</t>
  </si>
  <si>
    <t>s1_node_battle_10_6</t>
  </si>
  <si>
    <t>s1_node_battle_12_6</t>
  </si>
  <si>
    <t>s1_node_battle_14_6</t>
  </si>
  <si>
    <t>s1_node_battle_15_6</t>
  </si>
  <si>
    <t>270;280;300</t>
  </si>
  <si>
    <t>s1_node_battle_17_6</t>
  </si>
  <si>
    <t>290;300;300</t>
  </si>
  <si>
    <t>s1_node_battle_19_6</t>
  </si>
  <si>
    <t>표시 순서</t>
  </si>
  <si>
    <t>서브스토리 DB id</t>
  </si>
  <si>
    <t>story_id</t>
  </si>
  <si>
    <t>v5154a_002_1</t>
  </si>
  <si>
    <t>v5154a_002_2</t>
  </si>
  <si>
    <t>v5154a_002_3</t>
  </si>
  <si>
    <t>v5154a_002_4</t>
  </si>
  <si>
    <t>v5154a_002_5</t>
  </si>
  <si>
    <t>v5154a_002_6</t>
  </si>
  <si>
    <t>v5154a_002_7</t>
  </si>
  <si>
    <t>v5154a_002_8</t>
  </si>
  <si>
    <t>v5154a_002_9</t>
  </si>
  <si>
    <t>v5154a_002_10</t>
  </si>
  <si>
    <t>v5154a_002_11</t>
  </si>
  <si>
    <t>v5154a_002_12</t>
  </si>
  <si>
    <t>v5154a_002_13</t>
  </si>
  <si>
    <t>v5154a_002_14</t>
  </si>
  <si>
    <t>v5154a_002_15</t>
  </si>
  <si>
    <t>카테고리</t>
  </si>
  <si>
    <t>타이틀 TID</t>
  </si>
  <si>
    <t>설명 TID</t>
  </si>
  <si>
    <t>event_title</t>
  </si>
  <si>
    <t>event_desc</t>
  </si>
  <si>
    <t>event_1</t>
  </si>
  <si>
    <t>낡은 유물함</t>
  </si>
  <si>
    <t>먼지 쌓인 유물함을 회수하거나 그냥 지나치는 사건.</t>
  </si>
  <si>
    <t>별빛 파편 상자</t>
  </si>
  <si>
    <t>차원 파편이 담긴 상자에서 유물 또는 재화를 노린다.</t>
  </si>
  <si>
    <t>기억의 진열대</t>
  </si>
  <si>
    <t>기록 아카이브 단서와 탐사 보상을 교환하는 사건.</t>
  </si>
  <si>
    <t>수호자의 전리품</t>
  </si>
  <si>
    <t>수호자의 흔적에서 전투 보상 또는 유물을 회수한다.</t>
  </si>
  <si>
    <t>속삭이는 기록관</t>
  </si>
  <si>
    <t>도감 단서를 얻는 대신 탐사 자원을 소모한다.</t>
  </si>
  <si>
    <t>봉인된 보관함</t>
  </si>
  <si>
    <t>봉인을 해제해 보상을 얻거나 실패 위험을 감수한다.</t>
  </si>
  <si>
    <t>탐험가의 선반</t>
  </si>
  <si>
    <t>이전 탐험가가 남긴 소모품과 정보를 선택한다.</t>
  </si>
  <si>
    <t>event_2</t>
  </si>
  <si>
    <t>결투의 잔상</t>
  </si>
  <si>
    <t>다른 탐사대의 환영과 영웅 대 영웅 전투를 벌인다.</t>
  </si>
  <si>
    <t>균열 검투사</t>
  </si>
  <si>
    <t>균열에 남은 투사의 기록을 상대하고 보상을 획득한다.</t>
  </si>
  <si>
    <t>차원 투기장</t>
  </si>
  <si>
    <t>제한 조건이 붙은 PvP식 전투를 선택할 수 있다.</t>
  </si>
  <si>
    <t>이름 없는 도전자</t>
  </si>
  <si>
    <t>무작위 조합의 적 영웅 파티와 교전한다.</t>
  </si>
  <si>
    <t>전술 모의전</t>
  </si>
  <si>
    <t>태그와 영입 구성을 시험하는 모의 전투 사건.</t>
  </si>
  <si>
    <t>패자의 깃발</t>
  </si>
  <si>
    <t>패배한 탐사대의 깃발에서 정복 보상을 회수한다.</t>
  </si>
  <si>
    <t>공명 결투</t>
  </si>
  <si>
    <t>차원핵 공명치에 따라 보상이 달라지는 결투 사건.</t>
  </si>
  <si>
    <t>새로운 타입 있을 경우 추가</t>
  </si>
  <si>
    <t>아이콘 파일 이름</t>
  </si>
  <si>
    <t>이름 TID</t>
  </si>
  <si>
    <t>icon</t>
  </si>
  <si>
    <t>name</t>
  </si>
  <si>
    <t>desc</t>
  </si>
  <si>
    <t>s1_relic_001</t>
  </si>
  <si>
    <t>s1_relic_001_name</t>
  </si>
  <si>
    <t>s1_relic_001_desc</t>
  </si>
  <si>
    <t>s1_relic_002</t>
  </si>
  <si>
    <t>s1_relic_002_name</t>
  </si>
  <si>
    <t>s1_relic_002_desc</t>
  </si>
  <si>
    <t>s1_relic_003</t>
  </si>
  <si>
    <t>s1_relic_003_name</t>
  </si>
  <si>
    <t>s1_relic_003_desc</t>
  </si>
  <si>
    <t>s1_relic_004</t>
  </si>
  <si>
    <t>s1_relic_004_name</t>
  </si>
  <si>
    <t>s1_relic_004_desc</t>
  </si>
  <si>
    <t>s1_relic_005</t>
  </si>
  <si>
    <t>s1_relic_005_name</t>
  </si>
  <si>
    <t>s1_relic_005_desc</t>
  </si>
  <si>
    <t>s1_relic_006</t>
  </si>
  <si>
    <t>s1_relic_006_name</t>
  </si>
  <si>
    <t>s1_relic_006_desc</t>
  </si>
  <si>
    <t>s1_relic_007</t>
  </si>
  <si>
    <t>s1_relic_007_name</t>
  </si>
  <si>
    <t>s1_relic_007_desc</t>
  </si>
  <si>
    <t>s1_relic_008</t>
  </si>
  <si>
    <t>s1_relic_008_name</t>
  </si>
  <si>
    <t>s1_relic_008_desc</t>
  </si>
  <si>
    <t>s1_relic_009</t>
  </si>
  <si>
    <t>s1_relic_009_name</t>
  </si>
  <si>
    <t>s1_relic_009_desc</t>
  </si>
  <si>
    <t>s1_relic_010</t>
  </si>
  <si>
    <t>s1_relic_010_name</t>
  </si>
  <si>
    <t>s1_relic_010_desc</t>
  </si>
  <si>
    <t>s1_relic_011</t>
  </si>
  <si>
    <t>s1_relic_011_name</t>
  </si>
  <si>
    <t>s1_relic_011_desc</t>
  </si>
  <si>
    <t>s1_relic_012</t>
  </si>
  <si>
    <t>s1_relic_012_name</t>
  </si>
  <si>
    <t>s1_relic_012_desc</t>
  </si>
  <si>
    <t>s1_relic_013</t>
  </si>
  <si>
    <t>s1_relic_013_name</t>
  </si>
  <si>
    <t>s1_relic_013_desc</t>
  </si>
  <si>
    <t>s1_relic_014</t>
  </si>
  <si>
    <t>s1_relic_014_name</t>
  </si>
  <si>
    <t>s1_relic_014_desc</t>
  </si>
  <si>
    <t>s1_relic_015</t>
  </si>
  <si>
    <t>s1_relic_015_name</t>
  </si>
  <si>
    <t>s1_relic_015_desc</t>
  </si>
  <si>
    <t>s1_relic_016</t>
  </si>
  <si>
    <t>s1_relic_016_name</t>
  </si>
  <si>
    <t>s1_relic_016_desc</t>
  </si>
  <si>
    <t>s1_relic_017</t>
  </si>
  <si>
    <t>s1_relic_017_name</t>
  </si>
  <si>
    <t>s1_relic_017_desc</t>
  </si>
  <si>
    <t>s1_relic_018</t>
  </si>
  <si>
    <t>s1_relic_018_name</t>
  </si>
  <si>
    <t>s1_relic_018_desc</t>
  </si>
  <si>
    <t>s1_relic_019</t>
  </si>
  <si>
    <t>s1_relic_019_name</t>
  </si>
  <si>
    <t>s1_relic_019_desc</t>
  </si>
  <si>
    <t>s1_relic_020</t>
  </si>
  <si>
    <t>s1_relic_020_name</t>
  </si>
  <si>
    <t>s1_relic_020_desc</t>
  </si>
  <si>
    <t>s1_relic_021</t>
  </si>
  <si>
    <t>s1_relic_021_name</t>
  </si>
  <si>
    <t>s1_relic_021_desc</t>
  </si>
  <si>
    <t>s1_relic_022</t>
  </si>
  <si>
    <t>s1_relic_022_name</t>
  </si>
  <si>
    <t>s1_relic_022_desc</t>
  </si>
  <si>
    <t>s1_relic_023</t>
  </si>
  <si>
    <t>s1_relic_023_name</t>
  </si>
  <si>
    <t>s1_relic_023_desc</t>
  </si>
  <si>
    <t>s1_relic_024</t>
  </si>
  <si>
    <t>s1_relic_024_name</t>
  </si>
  <si>
    <t>s1_relic_024_desc</t>
  </si>
  <si>
    <t>s1_relic_025</t>
  </si>
  <si>
    <t>s1_relic_025_name</t>
  </si>
  <si>
    <t>s1_relic_025_desc</t>
  </si>
  <si>
    <t>s1_relic_026</t>
  </si>
  <si>
    <t>s1_relic_026_name</t>
  </si>
  <si>
    <t>s1_relic_026_desc</t>
  </si>
  <si>
    <t>s1_relic_027</t>
  </si>
  <si>
    <t>s1_relic_027_name</t>
  </si>
  <si>
    <t>s1_relic_027_desc</t>
  </si>
  <si>
    <t>s1_relic_028</t>
  </si>
  <si>
    <t>s1_relic_028_name</t>
  </si>
  <si>
    <t>s1_relic_028_desc</t>
  </si>
  <si>
    <t>s1_relic_029</t>
  </si>
  <si>
    <t>s1_relic_029_name</t>
  </si>
  <si>
    <t>s1_relic_029_desc</t>
  </si>
  <si>
    <t>s1_relic_030</t>
  </si>
  <si>
    <t>s1_relic_030_name</t>
  </si>
  <si>
    <t>s1_relic_030_desc</t>
  </si>
  <si>
    <t>s1_relic_031</t>
  </si>
  <si>
    <t>s1_relic_031_name</t>
  </si>
  <si>
    <t>s1_relic_031_desc</t>
  </si>
  <si>
    <t>s1_relic_032</t>
  </si>
  <si>
    <t>s1_relic_032_name</t>
  </si>
  <si>
    <t>s1_relic_032_desc</t>
  </si>
  <si>
    <t>s1_relic_033</t>
  </si>
  <si>
    <t>s1_relic_033_name</t>
  </si>
  <si>
    <t>s1_relic_033_desc</t>
  </si>
  <si>
    <t>s1_relic_034</t>
  </si>
  <si>
    <t>s1_relic_034_name</t>
  </si>
  <si>
    <t>s1_relic_034_desc</t>
  </si>
  <si>
    <t>s1_relic_035</t>
  </si>
  <si>
    <t>s1_relic_035_name</t>
  </si>
  <si>
    <t>s1_relic_035_desc</t>
  </si>
  <si>
    <t>s1_relic_036</t>
  </si>
  <si>
    <t>s1_relic_036_name</t>
  </si>
  <si>
    <t>s1_relic_036_desc</t>
  </si>
  <si>
    <t>s1_relic_037</t>
  </si>
  <si>
    <t>s1_relic_037_name</t>
  </si>
  <si>
    <t>s1_relic_037_desc</t>
  </si>
  <si>
    <t>s1_relic_038</t>
  </si>
  <si>
    <t>s1_relic_038_name</t>
  </si>
  <si>
    <t>s1_relic_038_desc</t>
  </si>
  <si>
    <t>s1_relic_039</t>
  </si>
  <si>
    <t>s1_relic_039_name</t>
  </si>
  <si>
    <t>s1_relic_039_desc</t>
  </si>
  <si>
    <t>s1_relic_040</t>
  </si>
  <si>
    <t>s1_relic_040_name</t>
  </si>
  <si>
    <t>s1_relic_040_desc</t>
  </si>
  <si>
    <t>s1_relic_041</t>
  </si>
  <si>
    <t>s1_relic_041_name</t>
  </si>
  <si>
    <t>s1_relic_041_desc</t>
  </si>
  <si>
    <t>s1_relic_042</t>
  </si>
  <si>
    <t>s1_relic_042_name</t>
  </si>
  <si>
    <t>s1_relic_042_desc</t>
  </si>
  <si>
    <t>s1_relic_043</t>
  </si>
  <si>
    <t>s1_relic_043_name</t>
  </si>
  <si>
    <t>s1_relic_043_desc</t>
  </si>
  <si>
    <t>s1_relic_044</t>
  </si>
  <si>
    <t>s1_relic_044_name</t>
  </si>
  <si>
    <t>s1_relic_044_desc</t>
  </si>
  <si>
    <t>s1_relic_045</t>
  </si>
  <si>
    <t>s1_relic_045_name</t>
  </si>
  <si>
    <t>s1_relic_045_desc</t>
  </si>
  <si>
    <t>s1_relic_046</t>
  </si>
  <si>
    <t>s1_relic_046_name</t>
  </si>
  <si>
    <t>s1_relic_046_desc</t>
  </si>
  <si>
    <t>s1_relic_047</t>
  </si>
  <si>
    <t>s1_relic_047_name</t>
  </si>
  <si>
    <t>s1_relic_047_desc</t>
  </si>
  <si>
    <t>s1_relic_048</t>
  </si>
  <si>
    <t>s1_relic_048_name</t>
  </si>
  <si>
    <t>s1_relic_048_desc</t>
  </si>
  <si>
    <t>s1_relic_049</t>
  </si>
  <si>
    <t>s1_relic_049_name</t>
  </si>
  <si>
    <t>s1_relic_049_desc</t>
  </si>
  <si>
    <t>s1_relic_050</t>
  </si>
  <si>
    <t>s1_relic_050_name</t>
  </si>
  <si>
    <t>s1_relic_050_desc</t>
  </si>
  <si>
    <t>s1_relic_051</t>
  </si>
  <si>
    <t>s1_relic_051_name</t>
  </si>
  <si>
    <t>s1_relic_051_desc</t>
  </si>
  <si>
    <t>s1_relic_052</t>
  </si>
  <si>
    <t>s1_relic_052_name</t>
  </si>
  <si>
    <t>s1_relic_052_desc</t>
  </si>
  <si>
    <t>s1_relic_053</t>
  </si>
  <si>
    <t>s1_relic_053_name</t>
  </si>
  <si>
    <t>s1_relic_053_desc</t>
  </si>
  <si>
    <t>s1_relic_054</t>
  </si>
  <si>
    <t>s1_relic_054_name</t>
  </si>
  <si>
    <t>s1_relic_054_desc</t>
  </si>
  <si>
    <t>s1_relic_055</t>
  </si>
  <si>
    <t>s1_relic_055_name</t>
  </si>
  <si>
    <t>s1_relic_055_desc</t>
  </si>
  <si>
    <t>s1_relic_056</t>
  </si>
  <si>
    <t>s1_relic_056_name</t>
  </si>
  <si>
    <t>s1_relic_056_desc</t>
  </si>
  <si>
    <t>s1_relic_057</t>
  </si>
  <si>
    <t>s1_relic_057_name</t>
  </si>
  <si>
    <t>s1_relic_057_desc</t>
  </si>
  <si>
    <t>s1_relic_058</t>
  </si>
  <si>
    <t>s1_relic_058_name</t>
  </si>
  <si>
    <t>s1_relic_058_desc</t>
  </si>
  <si>
    <t>s1_relic_059</t>
  </si>
  <si>
    <t>s1_relic_059_name</t>
  </si>
  <si>
    <t>s1_relic_059_desc</t>
  </si>
  <si>
    <t>s1_relic_060</t>
  </si>
  <si>
    <t>s1_relic_060_name</t>
  </si>
  <si>
    <t>s1_relic_060_desc</t>
  </si>
  <si>
    <t>s1_relic_061</t>
  </si>
  <si>
    <t>s1_relic_061_name</t>
  </si>
  <si>
    <t>s1_relic_061_desc</t>
  </si>
  <si>
    <t>s1_relic_062</t>
  </si>
  <si>
    <t>s1_relic_062_name</t>
  </si>
  <si>
    <t>s1_relic_062_desc</t>
  </si>
  <si>
    <t>s1_relic_063</t>
  </si>
  <si>
    <t>s1_relic_063_name</t>
  </si>
  <si>
    <t>s1_relic_063_desc</t>
  </si>
  <si>
    <t>s1_relic_064</t>
  </si>
  <si>
    <t>s1_relic_064_name</t>
  </si>
  <si>
    <t>s1_relic_064_desc</t>
  </si>
  <si>
    <t>s1_relic_065</t>
  </si>
  <si>
    <t>s1_relic_065_name</t>
  </si>
  <si>
    <t>s1_relic_065_desc</t>
  </si>
  <si>
    <t>s1_relic_066</t>
  </si>
  <si>
    <t>s1_relic_066_name</t>
  </si>
  <si>
    <t>s1_relic_066_desc</t>
  </si>
  <si>
    <t>s1_relic_067</t>
  </si>
  <si>
    <t>s1_relic_067_name</t>
  </si>
  <si>
    <t>s1_relic_067_desc</t>
  </si>
  <si>
    <t>s1_relic_068</t>
  </si>
  <si>
    <t>s1_relic_068_name</t>
  </si>
  <si>
    <t>s1_relic_068_desc</t>
  </si>
  <si>
    <t>s1_relic_069</t>
  </si>
  <si>
    <t>s1_relic_069_name</t>
  </si>
  <si>
    <t>s1_relic_069_desc</t>
  </si>
  <si>
    <t>s1_relic_070</t>
  </si>
  <si>
    <t>s1_relic_070_name</t>
  </si>
  <si>
    <t>s1_relic_070_desc</t>
  </si>
  <si>
    <t>s1_relic_071</t>
  </si>
  <si>
    <t>s1_relic_071_name</t>
  </si>
  <si>
    <t>s1_relic_071_desc</t>
  </si>
  <si>
    <t>s1_relic_072</t>
  </si>
  <si>
    <t>s1_relic_072_name</t>
  </si>
  <si>
    <t>s1_relic_072_desc</t>
  </si>
  <si>
    <t>s1_relic_073</t>
  </si>
  <si>
    <t>s1_relic_073_name</t>
  </si>
  <si>
    <t>s1_relic_073_desc</t>
  </si>
  <si>
    <t>s1_relic_074</t>
  </si>
  <si>
    <t>s1_relic_074_name</t>
  </si>
  <si>
    <t>s1_relic_074_desc</t>
  </si>
  <si>
    <t>s1_relic_075</t>
  </si>
  <si>
    <t>s1_relic_075_name</t>
  </si>
  <si>
    <t>s1_relic_075_desc</t>
  </si>
  <si>
    <t>s1_relic_076</t>
  </si>
  <si>
    <t>s1_relic_076_name</t>
  </si>
  <si>
    <t>s1_relic_076_desc</t>
  </si>
  <si>
    <t>s1_relic_077</t>
  </si>
  <si>
    <t>s1_relic_077_name</t>
  </si>
  <si>
    <t>s1_relic_077_desc</t>
  </si>
  <si>
    <t>s1_relic_078</t>
  </si>
  <si>
    <t>s1_relic_078_name</t>
  </si>
  <si>
    <t>s1_relic_078_desc</t>
  </si>
  <si>
    <t>s1_relic_079</t>
  </si>
  <si>
    <t>s1_relic_079_name</t>
  </si>
  <si>
    <t>s1_relic_079_desc</t>
  </si>
  <si>
    <t>s1_relic_080</t>
  </si>
  <si>
    <t>s1_relic_080_name</t>
  </si>
  <si>
    <t>s1_relic_080_desc</t>
  </si>
  <si>
    <t>s1_relic_081</t>
  </si>
  <si>
    <t>s1_relic_081_name</t>
  </si>
  <si>
    <t>s1_relic_081_desc</t>
  </si>
  <si>
    <t>s1_relic_082</t>
  </si>
  <si>
    <t>s1_relic_082_name</t>
  </si>
  <si>
    <t>s1_relic_082_desc</t>
  </si>
  <si>
    <t>s1_relic_083</t>
  </si>
  <si>
    <t>s1_relic_083_name</t>
  </si>
  <si>
    <t>s1_relic_083_desc</t>
  </si>
  <si>
    <t>s1_relic_084</t>
  </si>
  <si>
    <t>s1_relic_084_name</t>
  </si>
  <si>
    <t>s1_relic_084_desc</t>
  </si>
  <si>
    <t>s1_relic_085</t>
  </si>
  <si>
    <t>s1_relic_085_name</t>
  </si>
  <si>
    <t>s1_relic_085_desc</t>
  </si>
  <si>
    <t>s1_relic_086</t>
  </si>
  <si>
    <t>s1_relic_086_name</t>
  </si>
  <si>
    <t>s1_relic_086_desc</t>
  </si>
  <si>
    <t>s1_relic_087</t>
  </si>
  <si>
    <t>s1_relic_087_name</t>
  </si>
  <si>
    <t>s1_relic_087_desc</t>
  </si>
  <si>
    <t>s1_relic_088</t>
  </si>
  <si>
    <t>s1_relic_088_name</t>
  </si>
  <si>
    <t>s1_relic_088_desc</t>
  </si>
  <si>
    <t>s1_relic_089</t>
  </si>
  <si>
    <t>s1_relic_089_name</t>
  </si>
  <si>
    <t>s1_relic_089_desc</t>
  </si>
  <si>
    <t>s1_relic_090</t>
  </si>
  <si>
    <t>s1_relic_090_name</t>
  </si>
  <si>
    <t>s1_relic_090_desc</t>
  </si>
  <si>
    <t>s1_relic_091</t>
  </si>
  <si>
    <t>s1_relic_091_name</t>
  </si>
  <si>
    <t>s1_relic_091_desc</t>
  </si>
  <si>
    <t>s1_relic_092</t>
  </si>
  <si>
    <t>s1_relic_092_name</t>
  </si>
  <si>
    <t>s1_relic_092_desc</t>
  </si>
  <si>
    <t>s1_relic_093</t>
  </si>
  <si>
    <t>s1_relic_093_name</t>
  </si>
  <si>
    <t>s1_relic_093_desc</t>
  </si>
  <si>
    <t>s1_relic_094</t>
  </si>
  <si>
    <t>s1_relic_094_name</t>
  </si>
  <si>
    <t>s1_relic_094_desc</t>
  </si>
  <si>
    <t>s1_relic_095</t>
  </si>
  <si>
    <t>s1_relic_095_name</t>
  </si>
  <si>
    <t>s1_relic_095_desc</t>
  </si>
  <si>
    <t>s1_relic_096</t>
  </si>
  <si>
    <t>s1_relic_096_name</t>
  </si>
  <si>
    <t>s1_relic_096_desc</t>
  </si>
  <si>
    <t>s1_relic_097</t>
  </si>
  <si>
    <t>s1_relic_097_name</t>
  </si>
  <si>
    <t>s1_relic_097_desc</t>
  </si>
  <si>
    <t>s1_relic_098</t>
  </si>
  <si>
    <t>s1_relic_098_name</t>
  </si>
  <si>
    <t>s1_relic_098_desc</t>
  </si>
  <si>
    <t>s1_relic_099</t>
  </si>
  <si>
    <t>s1_relic_099_name</t>
  </si>
  <si>
    <t>s1_relic_099_desc</t>
  </si>
  <si>
    <t>s1_relic_100</t>
  </si>
  <si>
    <t>s1_relic_100_name</t>
  </si>
  <si>
    <t>s1_relic_100_desc</t>
  </si>
  <si>
    <t>테두리 파일명</t>
  </si>
  <si>
    <t>몬스터 id</t>
  </si>
  <si>
    <t>몬스터 이름</t>
  </si>
  <si>
    <t>몬스터 설명</t>
  </si>
  <si>
    <t>border_type</t>
  </si>
  <si>
    <t>monster_id</t>
  </si>
  <si>
    <t>normal</t>
  </si>
  <si>
    <t>c2003_d_c_mpao005</t>
  </si>
  <si>
    <t>균열 보초병</t>
  </si>
  <si>
    <t>차원 균열 주변을 순찰하는 하급 개체.</t>
  </si>
  <si>
    <t>c2003_d_c_mpao006</t>
  </si>
  <si>
    <t>마력 오염체</t>
  </si>
  <si>
    <t>잔류 마력에 침식되어 공격성이 높아진 개체.</t>
  </si>
  <si>
    <t>c2003_d_c_mpao007</t>
  </si>
  <si>
    <t>버려진 정찰기</t>
  </si>
  <si>
    <t>낡은 정찰 장비가 폭주한 형태.</t>
  </si>
  <si>
    <t>c2003_d_c_mpao008</t>
  </si>
  <si>
    <t>공명 파편수</t>
  </si>
  <si>
    <t>차원핵 파편을 품은 소형 몬스터.</t>
  </si>
  <si>
    <t>elite</t>
  </si>
  <si>
    <t>c2003_d_c_mpao009</t>
  </si>
  <si>
    <t>균열 집행자</t>
  </si>
  <si>
    <t>침입자를 배제하도록 재구성된 정예 개체.</t>
  </si>
  <si>
    <t>c2003_d_c_mpao010</t>
  </si>
  <si>
    <t>차원 방랑자</t>
  </si>
  <si>
    <t>여러 차원을 떠돌며 전투 기록을 흡수한 존재.</t>
  </si>
  <si>
    <t>c2003_d_c_mpao011</t>
  </si>
  <si>
    <t>심연 감시자</t>
  </si>
  <si>
    <t>심층 구역의 진입자를 감시하는 강력한 개체.</t>
  </si>
  <si>
    <t>c2003_d_c_mpao012</t>
  </si>
  <si>
    <t>공명 수호자</t>
  </si>
  <si>
    <t>차원핵 공명에 반응해 강화되는 정예 수호자.</t>
  </si>
  <si>
    <t>boss</t>
  </si>
  <si>
    <t>c2003_d_c_mpao013</t>
  </si>
  <si>
    <t>허상의 군주</t>
  </si>
  <si>
    <t>나이트메어 테마의 최종 구역을 지키는 보스.</t>
  </si>
  <si>
    <t>달성 퍼센트</t>
  </si>
  <si>
    <t>reward_rate</t>
  </si>
  <si>
    <t>ma_border175</t>
  </si>
  <si>
    <t>조건 타입</t>
  </si>
  <si>
    <r>
      <rPr>
        <sz val="11"/>
        <color theme="1"/>
        <rFont val="맑은 고딕"/>
        <family val="3"/>
        <charset val="129"/>
      </rPr>
      <t>id 생성용</t>
    </r>
    <phoneticPr fontId="0" type="noConversion"/>
  </si>
  <si>
    <r>
      <rPr>
        <sz val="11"/>
        <color theme="1"/>
        <rFont val="맑은 고딕"/>
        <family val="3"/>
        <charset val="129"/>
      </rPr>
      <t>미션 타이틀</t>
    </r>
    <phoneticPr fontId="0" type="noConversion"/>
  </si>
  <si>
    <t>값</t>
  </si>
  <si>
    <t>아이템 타입</t>
  </si>
  <si>
    <r>
      <rPr>
        <sz val="11"/>
        <color theme="1"/>
        <rFont val="맑은 고딕"/>
        <family val="3"/>
        <charset val="129"/>
      </rPr>
      <t>미션 텍스트</t>
    </r>
    <phoneticPr fontId="0" type="noConversion"/>
  </si>
  <si>
    <t>완료 보상</t>
  </si>
  <si>
    <t>보상 값</t>
  </si>
  <si>
    <t>condition</t>
  </si>
  <si>
    <r>
      <rPr>
        <b/>
        <sz val="11"/>
        <color theme="1"/>
        <rFont val="맑은 고딕"/>
        <family val="3"/>
        <charset val="129"/>
      </rPr>
      <t>mission_title</t>
    </r>
    <phoneticPr fontId="0" type="noConversion"/>
  </si>
  <si>
    <t>value</t>
  </si>
  <si>
    <t>item_type_1</t>
  </si>
  <si>
    <r>
      <rPr>
        <b/>
        <sz val="11"/>
        <color theme="1"/>
        <rFont val="맑은 고딕"/>
        <family val="3"/>
        <charset val="129"/>
      </rPr>
      <t>mission_text</t>
    </r>
    <phoneticPr fontId="0" type="noConversion"/>
  </si>
  <si>
    <t>item_type_2</t>
  </si>
  <si>
    <t>reward_value_2</t>
  </si>
  <si>
    <t>normal_mission_title</t>
  </si>
  <si>
    <r>
      <rPr>
        <sz val="11"/>
        <color theme="1"/>
        <rFont val="맑은 고딕"/>
        <family val="3"/>
        <charset val="129"/>
      </rPr>
      <t>clear_battle_level</t>
    </r>
    <phoneticPr fontId="0" type="noConversion"/>
  </si>
  <si>
    <r>
      <rPr>
        <sz val="11"/>
        <color theme="1"/>
        <rFont val="맑은 고딕"/>
        <family val="3"/>
        <charset val="129"/>
      </rPr>
      <t>clear_with_hero</t>
    </r>
    <phoneticPr fontId="0" type="noConversion"/>
  </si>
  <si>
    <t>clear_event</t>
  </si>
  <si>
    <t>recruit_hero</t>
  </si>
  <si>
    <r>
      <rPr>
        <sz val="11"/>
        <color theme="1"/>
        <rFont val="맑은 고딕"/>
        <family val="3"/>
        <charset val="129"/>
      </rPr>
      <t>collect_relic</t>
    </r>
    <phoneticPr fontId="0" type="noConversion"/>
  </si>
  <si>
    <t>해당 미션 시작</t>
  </si>
  <si>
    <t>해당 미션 종료 기간</t>
  </si>
  <si>
    <t>end</t>
  </si>
  <si>
    <t>start</t>
  </si>
  <si>
    <t>start_zl</t>
  </si>
  <si>
    <t>end_zl</t>
  </si>
  <si>
    <r>
      <rPr>
        <sz val="11"/>
        <color theme="1"/>
        <rFont val="맑은 고딕"/>
        <family val="3"/>
        <charset val="129"/>
      </rPr>
      <t>special_mission_title</t>
    </r>
    <phoneticPr fontId="0" type="noConversion"/>
  </si>
  <si>
    <t>활성화 효과</t>
  </si>
  <si>
    <t>투자량</t>
  </si>
  <si>
    <r>
      <rPr>
        <sz val="11"/>
        <color theme="1"/>
        <rFont val="맑은 고딕"/>
        <family val="3"/>
        <charset val="129"/>
      </rPr>
      <t>투자 효과 텍스트</t>
    </r>
    <phoneticPr fontId="0" type="noConversion"/>
  </si>
  <si>
    <t>invest_cnt</t>
  </si>
  <si>
    <r>
      <rPr>
        <b/>
        <sz val="11"/>
        <color theme="1"/>
        <rFont val="맑은 고딕"/>
        <family val="3"/>
        <charset val="129"/>
      </rPr>
      <t>invest_text</t>
    </r>
    <phoneticPr fontId="0" type="noConversion"/>
  </si>
  <si>
    <t>s1_investment_1</t>
  </si>
  <si>
    <t>nexus_out_system — 시트 레퍼런스</t>
  </si>
  <si>
    <t>▸  nexus_theme_level</t>
  </si>
  <si>
    <t>테마 패스 레벨별 필요 EXP 및 보상. dic_collect_story로 도감 스토리 해금.</t>
  </si>
  <si>
    <t>필드명</t>
  </si>
  <si>
    <t>설명</t>
  </si>
  <si>
    <t>패스 레벨 고유 ID (예: s1_pass_1)</t>
  </si>
  <si>
    <t>-</t>
  </si>
  <si>
    <t>→ nexus_main.theme_id (FK)</t>
  </si>
  <si>
    <t>패스 레벨 (1~99)</t>
  </si>
  <si>
    <t>해당 레벨 도달에 필요한 EXP 수치</t>
  </si>
  <si>
    <t>보상 아이템 ID (예: to_gold)</t>
  </si>
  <si>
    <t>보상 수량</t>
  </si>
  <si>
    <t>해금될 도감 스토리 ID</t>
  </si>
  <si>
    <t>y 입력 시 메인 리워드로 표시</t>
  </si>
  <si>
    <t>장비 보상 등급 설정</t>
  </si>
  <si>
    <t>장비 세트 설정</t>
  </si>
  <si>
    <t>장비 강화 LV (현재 15만 사용 가능)</t>
  </si>
  <si>
    <t>▸  nexus_hall_level</t>
  </si>
  <si>
    <t>홀(함교) 레벨별 필요 재화 및 보상 정의. 최대 10레벨. reward_type: node/item/story 지원.</t>
  </si>
  <si>
    <t>reward_1_type_1</t>
  </si>
  <si>
    <t>reward_1_type_2</t>
  </si>
  <si>
    <t>reward_1_cnt</t>
  </si>
  <si>
    <t>레벨 고유 ID (예: s1_level_1)</t>
  </si>
  <si>
    <t>permission</t>
  </si>
  <si>
    <t>N</t>
  </si>
  <si>
    <t>item_id</t>
  </si>
  <si>
    <t>cnt</t>
  </si>
  <si>
    <t>story</t>
  </si>
  <si>
    <t>홀 레벨 (1~10)</t>
  </si>
  <si>
    <t>레벨 별 메인 배경</t>
  </si>
  <si>
    <t>해당 레벨의 홀 이미지 파일명</t>
  </si>
  <si>
    <t>레벨 업 필요 아이템 ID (예: to_gold)</t>
  </si>
  <si>
    <t>레벨 업 필요 아이템 수량</t>
  </si>
  <si>
    <t>보상 타입 1 (node / item / story)</t>
  </si>
  <si>
    <t>보상 ID 1 (예: permission, to_gold, story_id)</t>
  </si>
  <si>
    <t>보상 수량 1</t>
  </si>
  <si>
    <t>장비 강화 LV</t>
  </si>
  <si>
    <t>보상 타입 2</t>
  </si>
  <si>
    <t>보상 ID 2</t>
  </si>
  <si>
    <t>보상 수량 2</t>
  </si>
  <si>
    <t>▸  nexus_node</t>
  </si>
  <si>
    <t>연구 노드 트리 구조. column/row 좌표계로 위치 정의. active_item으로 활성화 비용 지정. condition_node로 선행 노드 최대 5개 지정. category는 nexus_node_category.category(FK).</t>
  </si>
  <si>
    <t>노드 고유 ID (예: s1_node_normal_1_3 = theme_카테고리_컬럼_행)</t>
  </si>
  <si>
    <t>→ nexus_node_category.category (FK, 예: s1_normal)</t>
  </si>
  <si>
    <t>카테고리 표시 이름 TID (nexus_node_category.node_name 참조용)</t>
  </si>
  <si>
    <t>node_permission</t>
  </si>
  <si>
    <t>해금에 필요한 홀 레벨 permission 등급</t>
  </si>
  <si>
    <t>노드 활성화에 필요한 아이템 ID (예: to_gold)</t>
  </si>
  <si>
    <t>노드 활성화에 필요한 아이템 수량</t>
  </si>
  <si>
    <t>노드 활성화 가능 횟수 (미입력 시 1회)</t>
  </si>
  <si>
    <t>노드 X 좌표 (트리 깊이)</t>
  </si>
  <si>
    <t>노드 Y 좌표 (같은 깊이 내 위치)</t>
  </si>
  <si>
    <t>condition_node_1</t>
  </si>
  <si>
    <t>condition_node_2</t>
  </si>
  <si>
    <t>condition_node_3</t>
  </si>
  <si>
    <t>nexus_effect 테이블의 효과 ID</t>
  </si>
  <si>
    <t>▸  nexus_node_category</t>
  </si>
  <si>
    <t>노드 카테고리 정의. category(PK)는 "{theme_id}_{category_type}" 형태의 복합키. nexus_node.category가 FK로 참조.</t>
  </si>
  <si>
    <t>노드 카테고리 고유 ID (예: s1_normal) — theme_id + 카테고리 타입 조합</t>
  </si>
  <si>
    <t>카테고리 표시 이름 TID</t>
  </si>
  <si>
    <t>▸  nexus_dic_story</t>
  </si>
  <si>
    <t>도감 — 스토리 수집 항목. 탐사 진행 중 서브스토리를 해금해 도감에 기록.</t>
  </si>
  <si>
    <t>항목 고유 ID (예: s1_dic_story_1)</t>
  </si>
  <si>
    <t>도감 내 표시 순서</t>
  </si>
  <si>
    <t>서브스토리 DB ID</t>
  </si>
  <si>
    <t>▸  nexus_dic_event</t>
  </si>
  <si>
    <t>도감 — 이벤트(사건) 수집 항목. event_1 / event_2 카테고리로 구분.</t>
  </si>
  <si>
    <t>항목 고유 ID (예: s1_dic_event_1_1)</t>
  </si>
  <si>
    <t>이벤트 분류 (event_1 / event_2)</t>
  </si>
  <si>
    <t>이벤트 제목 TID</t>
  </si>
  <si>
    <t>이벤트 설명 TID</t>
  </si>
  <si>
    <t>▸  nexus_dic_relic</t>
  </si>
  <si>
    <t>도감 — 유물(기물) 수집 항목. 탐사 중 획득한 유물을 기록.</t>
  </si>
  <si>
    <t>항목 고유 ID (예: s1_relic_1)</t>
  </si>
  <si>
    <t>유물 타입 (relic 등 추가 가능)</t>
  </si>
  <si>
    <t>아이콘 파일명</t>
  </si>
  <si>
    <t>▸  nexus_dic_monster</t>
  </si>
  <si>
    <t>도감 — 몬스터 수집 항목. normal / elite / boss 3종 카테고리.</t>
  </si>
  <si>
    <t>항목 고유 ID (예: s1_dic_monster_1)</t>
  </si>
  <si>
    <t>몬스터 등급 (normal / elite / boss)</t>
  </si>
  <si>
    <t>몬스터 DB ID</t>
  </si>
  <si>
    <t>몬스터 이름 TID — 미입력 시 해당 monster_id 정보 표시</t>
  </si>
  <si>
    <t>몬스터 설명 TID — 미입력 시 해당 monster_id 정보 표시</t>
  </si>
  <si>
    <t>▸  nexus_dic_reward</t>
  </si>
  <si>
    <t>도감 달성률 구간별 보상 정의. reward_rate로 달성률 임계값 지정(0.2~1.0). 보상 슬롯 2개 지원.</t>
  </si>
  <si>
    <t>보상 고유 ID (예: s1_reward_20 = 20% 달성 보상)</t>
  </si>
  <si>
    <t>달성률 임계값 (0.2 / 0.4 / 0.6 / 0.8 / 1.0)</t>
  </si>
  <si>
    <t>보상 타입 1</t>
  </si>
  <si>
    <t>보상 아이템 ID 1</t>
  </si>
  <si>
    <t>보상 아이템 ID 2</t>
  </si>
  <si>
    <r>
      <rPr>
        <b/>
        <sz val="11"/>
        <color theme="0"/>
        <rFont val="맑은 고딕"/>
        <family val="3"/>
        <charset val="129"/>
      </rPr>
      <t>value</t>
    </r>
    <phoneticPr fontId="0" type="noConversion"/>
  </si>
  <si>
    <r>
      <rPr>
        <b/>
        <sz val="12"/>
        <color rgb="FFFFFFFF"/>
        <rFont val="Segoe UI Symbol"/>
        <family val="1"/>
        <charset val="129"/>
      </rPr>
      <t>▸</t>
    </r>
    <r>
      <rPr>
        <b/>
        <sz val="12"/>
        <color rgb="FFFFFFFF"/>
        <rFont val="맑은 고딕"/>
        <family val="3"/>
        <charset val="129"/>
      </rPr>
      <t xml:space="preserve">  nexus_</t>
    </r>
    <r>
      <rPr>
        <b/>
        <sz val="12"/>
        <color rgb="FFFFFFFF"/>
        <rFont val="Calibri"/>
        <family val="3"/>
        <charset val="129"/>
      </rPr>
      <t>normal_</t>
    </r>
    <r>
      <rPr>
        <b/>
        <sz val="12"/>
        <color rgb="FFFFFFFF"/>
        <rFont val="맑은 고딕"/>
        <family val="3"/>
        <charset val="129"/>
      </rPr>
      <t>mission</t>
    </r>
    <phoneticPr fontId="0" type="noConversion"/>
  </si>
  <si>
    <r>
      <rPr>
        <i/>
        <sz val="8"/>
        <color theme="1"/>
        <rFont val="맑은 고딕"/>
        <family val="3"/>
        <charset val="129"/>
      </rPr>
      <t>일반 미션 정의 - 개인화된 미션으로 랜덤으로 배정</t>
    </r>
    <phoneticPr fontId="0" type="noConversion"/>
  </si>
  <si>
    <r>
      <rPr>
        <i/>
        <sz val="8"/>
        <color theme="1"/>
        <rFont val="맑은 고딕"/>
        <family val="3"/>
        <charset val="129"/>
      </rPr>
      <t>nexus_mission 컨디션 종류</t>
    </r>
    <phoneticPr fontId="0" type="noConversion"/>
  </si>
  <si>
    <r>
      <rPr>
        <b/>
        <sz val="11"/>
        <color theme="0"/>
        <rFont val="맑은 고딕"/>
        <family val="3"/>
        <charset val="129"/>
      </rPr>
      <t>설명</t>
    </r>
    <phoneticPr fontId="0" type="noConversion"/>
  </si>
  <si>
    <r>
      <rPr>
        <b/>
        <sz val="11"/>
        <color theme="0"/>
        <rFont val="맑은 고딕"/>
        <family val="3"/>
        <charset val="129"/>
      </rPr>
      <t>text_id</t>
    </r>
    <phoneticPr fontId="0" type="noConversion"/>
  </si>
  <si>
    <r>
      <rPr>
        <b/>
        <sz val="11"/>
        <color theme="0"/>
        <rFont val="맑은 고딕"/>
        <family val="3"/>
        <charset val="129"/>
      </rPr>
      <t>텍스트</t>
    </r>
    <phoneticPr fontId="0" type="noConversion"/>
  </si>
  <si>
    <r>
      <rPr>
        <b/>
        <sz val="11"/>
        <color theme="0"/>
        <rFont val="맑은 고딕"/>
        <family val="3"/>
        <charset val="129"/>
      </rPr>
      <t>비고</t>
    </r>
    <phoneticPr fontId="0" type="noConversion"/>
  </si>
  <si>
    <r>
      <rPr>
        <sz val="10"/>
        <color rgb="FF444444"/>
        <rFont val="맑은 고딕"/>
        <family val="3"/>
        <charset val="129"/>
      </rPr>
      <t>미션 고유 ID (예: s1_mission_normal_1)</t>
    </r>
    <phoneticPr fontId="0" type="noConversion"/>
  </si>
  <si>
    <r>
      <rPr>
        <sz val="11"/>
        <color theme="1"/>
        <rFont val="맑은 고딕"/>
        <family val="3"/>
        <charset val="129"/>
      </rPr>
      <t>hero_id를 cnt회 영입</t>
    </r>
    <phoneticPr fontId="0" type="noConversion"/>
  </si>
  <si>
    <r>
      <rPr>
        <sz val="11"/>
        <color theme="1"/>
        <rFont val="맑은 고딕"/>
        <family val="3"/>
        <charset val="129"/>
      </rPr>
      <t>#hero#를 영입하여 #cnt#회 클리어하기</t>
    </r>
    <phoneticPr fontId="0" type="noConversion"/>
  </si>
  <si>
    <r>
      <rPr>
        <sz val="11"/>
        <color theme="1"/>
        <rFont val="맑은 고딕"/>
        <family val="3"/>
        <charset val="129"/>
      </rPr>
      <t>event_id를 cnt회 클리어</t>
    </r>
    <phoneticPr fontId="0" type="noConversion"/>
  </si>
  <si>
    <r>
      <rPr>
        <sz val="11"/>
        <color theme="1"/>
        <rFont val="맑은 고딕"/>
        <family val="3"/>
        <charset val="129"/>
      </rPr>
      <t>#event#를 #cnt#회 클리어하기</t>
    </r>
    <phoneticPr fontId="0" type="noConversion"/>
  </si>
  <si>
    <r>
      <rPr>
        <sz val="11"/>
        <color theme="1"/>
        <rFont val="맑은 고딕"/>
        <family val="3"/>
        <charset val="129"/>
      </rPr>
      <t>event의 이름 텍스트 가져옴</t>
    </r>
    <phoneticPr fontId="0" type="noConversion"/>
  </si>
  <si>
    <r>
      <rPr>
        <b/>
        <sz val="10"/>
        <color rgb="FF222222"/>
        <rFont val="맑은 고딕"/>
        <family val="3"/>
        <charset val="129"/>
      </rPr>
      <t>mission_title</t>
    </r>
    <phoneticPr fontId="0" type="noConversion"/>
  </si>
  <si>
    <r>
      <rPr>
        <sz val="10"/>
        <color rgb="FF444444"/>
        <rFont val="맑은 고딕"/>
        <family val="3"/>
        <charset val="129"/>
      </rPr>
      <t>미션 타이틀</t>
    </r>
    <phoneticPr fontId="0" type="noConversion"/>
  </si>
  <si>
    <t>#hero#를 #cnt#회 영입하기</t>
  </si>
  <si>
    <r>
      <rPr>
        <b/>
        <sz val="10"/>
        <color rgb="FF222222"/>
        <rFont val="맑은 고딕"/>
        <family val="3"/>
        <charset val="129"/>
      </rPr>
      <t>condition</t>
    </r>
    <phoneticPr fontId="0" type="noConversion"/>
  </si>
  <si>
    <t>달성 조건 타입</t>
  </si>
  <si>
    <t>#relic#를 #cnt#회 획득하기</t>
  </si>
  <si>
    <r>
      <rPr>
        <sz val="11"/>
        <color theme="1"/>
        <rFont val="맑은 고딕"/>
        <family val="3"/>
        <charset val="129"/>
      </rPr>
      <t>relic_id를 cnt회 획득</t>
    </r>
    <phoneticPr fontId="0" type="noConversion"/>
  </si>
  <si>
    <t>달성 조건 값</t>
  </si>
  <si>
    <t>아이템 타입 1</t>
  </si>
  <si>
    <r>
      <rPr>
        <b/>
        <sz val="10"/>
        <color rgb="FF222222"/>
        <rFont val="맑은 고딕"/>
        <family val="3"/>
        <charset val="129"/>
      </rPr>
      <t>mission_text</t>
    </r>
    <phoneticPr fontId="0" type="noConversion"/>
  </si>
  <si>
    <r>
      <rPr>
        <sz val="10"/>
        <color rgb="FF444444"/>
        <rFont val="맑은 고딕"/>
        <family val="3"/>
        <charset val="129"/>
      </rPr>
      <t>미션 텍스트 tid</t>
    </r>
    <phoneticPr fontId="0" type="noConversion"/>
  </si>
  <si>
    <t>아이템 타입 2</t>
  </si>
  <si>
    <t>▸  nexus_config</t>
  </si>
  <si>
    <r>
      <rPr>
        <b/>
        <sz val="12"/>
        <color rgb="FFFFFFFF"/>
        <rFont val="Segoe UI Symbol"/>
        <family val="1"/>
        <charset val="129"/>
      </rPr>
      <t>▸</t>
    </r>
    <r>
      <rPr>
        <b/>
        <sz val="12"/>
        <color rgb="FFFFFFFF"/>
        <rFont val="맑은 고딕"/>
        <family val="3"/>
        <charset val="129"/>
      </rPr>
      <t xml:space="preserve">  nexus_</t>
    </r>
    <r>
      <rPr>
        <b/>
        <sz val="12"/>
        <color rgb="FFFFFFFF"/>
        <rFont val="Calibri"/>
        <family val="3"/>
        <charset val="129"/>
      </rPr>
      <t>special_</t>
    </r>
    <r>
      <rPr>
        <b/>
        <sz val="12"/>
        <color rgb="FFFFFFFF"/>
        <rFont val="맑은 고딕"/>
        <family val="3"/>
        <charset val="129"/>
      </rPr>
      <t>mission</t>
    </r>
    <phoneticPr fontId="0" type="noConversion"/>
  </si>
  <si>
    <r>
      <rPr>
        <i/>
        <sz val="8"/>
        <color theme="1"/>
        <rFont val="맑은 고딕"/>
        <family val="3"/>
        <charset val="129"/>
      </rPr>
      <t>스케줄링 되는 미션으로 해당 미션 설정 시 norma_mission을 override 함</t>
    </r>
    <phoneticPr fontId="0" type="noConversion"/>
  </si>
  <si>
    <r>
      <rPr>
        <sz val="10"/>
        <color rgb="FF444444"/>
        <rFont val="맑은 고딕"/>
        <family val="3"/>
        <charset val="129"/>
      </rPr>
      <t>미션 고유 ID (예: s1_mission_season_1)</t>
    </r>
    <phoneticPr fontId="0" type="noConversion"/>
  </si>
  <si>
    <t>클라이언트/서버 공통 static 설정값. theme_id='common'은 전체 테마 공통 적용, 특정 테마값은 해당 테마에만 적용.</t>
  </si>
  <si>
    <t>설정 고유 번호 (PK)</t>
  </si>
  <si>
    <t>테마 ID (common=전체 테마 공통 / 특정 테마=해당 테마 전용)</t>
  </si>
  <si>
    <t>type</t>
  </si>
  <si>
    <t>설정 타입 (예: dic)</t>
  </si>
  <si>
    <t>key</t>
  </si>
  <si>
    <t>설정 키 코드</t>
  </si>
  <si>
    <t>client_value</t>
  </si>
  <si>
    <t>클라이언트 적용값</t>
  </si>
  <si>
    <t>*server_value</t>
  </si>
  <si>
    <t>서버 적용값</t>
  </si>
  <si>
    <t>▸  nexus_investment</t>
  </si>
  <si>
    <t>차원 탐사 미래 투자 관련 테이블.</t>
  </si>
  <si>
    <t>invest_text</t>
  </si>
  <si>
    <t>활성화 효과 ID</t>
  </si>
  <si>
    <r>
      <rPr>
        <sz val="10"/>
        <color rgb="FF444444"/>
        <rFont val="맑은 고딕"/>
        <family val="3"/>
        <charset val="129"/>
      </rPr>
      <t>투자 효과 텍스트</t>
    </r>
    <phoneticPr fontId="0" type="noConversion"/>
  </si>
  <si>
    <t>s1_node_battle_1_4</t>
  </si>
  <si>
    <t>s1_node_battle_2_2</t>
  </si>
  <si>
    <t>s1_node_battle_3_2</t>
  </si>
  <si>
    <t>s1_node_battle_3_6</t>
  </si>
  <si>
    <t>s1_node_battle_4_2</t>
  </si>
  <si>
    <t>s1_node_battle_5_2</t>
  </si>
  <si>
    <t>s1_node_battle_6_4</t>
  </si>
  <si>
    <t>s1_node_battle_7_2</t>
  </si>
  <si>
    <t>s1_node_battle_8_2</t>
  </si>
  <si>
    <t>s1_node_battle_8_6</t>
  </si>
  <si>
    <t>s1_node_battle_9_2</t>
  </si>
  <si>
    <t>s1_node_battle_10_2</t>
  </si>
  <si>
    <t>s1_node_battle_11_4</t>
  </si>
  <si>
    <t>s1_node_battle_12_2</t>
  </si>
  <si>
    <t>s1_node_battle_13_2</t>
  </si>
  <si>
    <t>s1_node_battle_13_6</t>
  </si>
  <si>
    <t>s1_node_battle_14_2</t>
  </si>
  <si>
    <t>s1_node_battle_15_2</t>
  </si>
  <si>
    <t>s1_node_battle_16_4</t>
  </si>
  <si>
    <t>s1_node_battle_17_2</t>
  </si>
  <si>
    <t>s1_node_battle_18_2</t>
  </si>
  <si>
    <t>s1_node_battle_18_6</t>
  </si>
  <si>
    <t>s1_node_battle_19_2</t>
  </si>
  <si>
    <t>s1_node_relic_1_4</t>
  </si>
  <si>
    <t>s1_node_relic_2_2</t>
  </si>
  <si>
    <t>s1_node_relic_3_2</t>
  </si>
  <si>
    <t>s1_node_relic_3_6</t>
  </si>
  <si>
    <t>s1_node_relic_4_2</t>
  </si>
  <si>
    <t>s1_node_relic_5_2</t>
  </si>
  <si>
    <t>s1_node_relic_6_4</t>
  </si>
  <si>
    <t>s1_node_relic_7_2</t>
  </si>
  <si>
    <t>s1_node_relic_8_2</t>
  </si>
  <si>
    <t>s1_node_relic_8_6</t>
  </si>
  <si>
    <t>s1_node_relic_9_2</t>
  </si>
  <si>
    <t>s1_node_relic_10_2</t>
  </si>
  <si>
    <t>s1_node_relic_11_4</t>
  </si>
  <si>
    <t>s1_node_relic_12_2</t>
  </si>
  <si>
    <t>s1_node_relic_13_2</t>
  </si>
  <si>
    <t>s1_node_relic_13_6</t>
  </si>
  <si>
    <t>s1_node_relic_14_2</t>
  </si>
  <si>
    <t>s1_node_relic_15_2</t>
  </si>
  <si>
    <t>s1_node_relic_16_4</t>
  </si>
  <si>
    <t>s1_node_relic_17_2</t>
  </si>
  <si>
    <t>s1_node_relic_18_2</t>
  </si>
  <si>
    <t>s1_node_relic_18_6</t>
  </si>
  <si>
    <t>s1_node_relic_19_2</t>
  </si>
  <si>
    <t>s1_node_economy_1_4</t>
  </si>
  <si>
    <t>s1_node_economy_2_2</t>
  </si>
  <si>
    <t>s1_node_economy_3_2</t>
  </si>
  <si>
    <t>s1_node_economy_3_6</t>
  </si>
  <si>
    <t>s1_node_economy_4_2</t>
  </si>
  <si>
    <t>s1_node_economy_5_2</t>
  </si>
  <si>
    <t>s1_node_economy_6_4</t>
  </si>
  <si>
    <t>s1_node_economy_7_2</t>
  </si>
  <si>
    <t>s1_node_economy_8_2</t>
  </si>
  <si>
    <t>s1_node_economy_8_6</t>
  </si>
  <si>
    <t>s1_node_economy_9_2</t>
  </si>
  <si>
    <t>s1_node_economy_10_2</t>
  </si>
  <si>
    <t>s1_node_economy_11_4</t>
  </si>
  <si>
    <t>s1_node_economy_12_2</t>
  </si>
  <si>
    <t>s1_node_economy_13_2</t>
  </si>
  <si>
    <t>s1_node_economy_13_6</t>
  </si>
  <si>
    <t>s1_node_economy_14_2</t>
  </si>
  <si>
    <t>s1_node_economy_15_2</t>
  </si>
  <si>
    <t>s1_node_economy_16_4</t>
  </si>
  <si>
    <t>s1_node_economy_17_2</t>
  </si>
  <si>
    <t>s1_node_economy_18_2</t>
  </si>
  <si>
    <t>s1_node_economy_18_6</t>
  </si>
  <si>
    <t>s1_node_economy_19_2</t>
  </si>
  <si>
    <t>난이도 #level# 이상 #cnt#회 클리어하기</t>
    <phoneticPr fontId="0" type="noConversion"/>
  </si>
  <si>
    <t>해당 미션 시작</t>
    <phoneticPr fontId="13" type="noConversion"/>
  </si>
  <si>
    <t>*reward_value_1</t>
    <phoneticPr fontId="13" type="noConversion"/>
  </si>
  <si>
    <t>*reward_id_1</t>
    <phoneticPr fontId="13" type="noConversion"/>
  </si>
  <si>
    <t>*item_type_1</t>
    <phoneticPr fontId="13" type="noConversion"/>
  </si>
  <si>
    <t>*id</t>
    <phoneticPr fontId="13" type="noConversion"/>
  </si>
  <si>
    <t>*export_id</t>
    <phoneticPr fontId="13" type="noConversion"/>
  </si>
  <si>
    <t>*theme_id</t>
    <phoneticPr fontId="13" type="noConversion"/>
  </si>
  <si>
    <t>*mission_title</t>
    <phoneticPr fontId="0" type="noConversion"/>
  </si>
  <si>
    <t>*start</t>
    <phoneticPr fontId="13" type="noConversion"/>
  </si>
  <si>
    <t>*end</t>
    <phoneticPr fontId="13" type="noConversion"/>
  </si>
  <si>
    <t>*start_zl</t>
    <phoneticPr fontId="13" type="noConversion"/>
  </si>
  <si>
    <t>*end_zl</t>
    <phoneticPr fontId="13" type="noConversion"/>
  </si>
  <si>
    <t>*condition</t>
    <phoneticPr fontId="13" type="noConversion"/>
  </si>
  <si>
    <t>*value</t>
    <phoneticPr fontId="13" type="noConversion"/>
  </si>
  <si>
    <t>*mission_text</t>
    <phoneticPr fontId="0" type="noConversion"/>
  </si>
  <si>
    <t>level 이상 cnt회 클리어</t>
    <phoneticPr fontId="0" type="noConversion"/>
  </si>
  <si>
    <t>*item_type_2</t>
    <phoneticPr fontId="13" type="noConversion"/>
  </si>
  <si>
    <t>*reward_id_2</t>
    <phoneticPr fontId="13" type="noConversion"/>
  </si>
  <si>
    <t>*reward_value_2</t>
    <phoneticPr fontId="13" type="noConversion"/>
  </si>
  <si>
    <t>*grade_rate_2</t>
    <phoneticPr fontId="13" type="noConversion"/>
  </si>
  <si>
    <t>hero_id를 cnt회 같이 클리어</t>
    <phoneticPr fontId="0" type="noConversion"/>
  </si>
  <si>
    <t>hero=c5001,count=3</t>
  </si>
  <si>
    <t>level=1,count=1</t>
  </si>
  <si>
    <t>event_id=s1_evt_001,count=3</t>
  </si>
  <si>
    <t>relic_id=s1_relic_095,count=1</t>
  </si>
  <si>
    <t>hero=c5001,count=5</t>
  </si>
  <si>
    <t>level=1,count=3</t>
  </si>
  <si>
    <t>hero=c2184,count=5</t>
  </si>
  <si>
    <t>event_id=s1_evt_002,count=3</t>
  </si>
  <si>
    <t>hero=c2184,count=10</t>
  </si>
  <si>
    <t>relic_id=s1_relic_100,count=20</t>
  </si>
  <si>
    <t>level=3,count=10</t>
  </si>
  <si>
    <t>level=N,count=N</t>
  </si>
  <si>
    <t>hero=hero_id,count=N</t>
  </si>
  <si>
    <t>event_id=event_id,count=N</t>
  </si>
  <si>
    <t>relic_id=relic_id,count=N</t>
  </si>
  <si>
    <t>ma_nexus1_resource</t>
    <phoneticPr fontId="13" type="noConversion"/>
  </si>
  <si>
    <t>s1_relic_101_name</t>
  </si>
  <si>
    <t>s1_relic_101_desc</t>
  </si>
  <si>
    <t>s1_relic_102_name</t>
  </si>
  <si>
    <t>s1_relic_102_desc</t>
  </si>
  <si>
    <t>s1_relic_103_name</t>
  </si>
  <si>
    <t>s1_relic_103_desc</t>
  </si>
  <si>
    <t>s1_relic_104_name</t>
  </si>
  <si>
    <t>s1_relic_104_desc</t>
  </si>
  <si>
    <t>s1_relic_105_name</t>
  </si>
  <si>
    <t>s1_relic_105_desc</t>
  </si>
  <si>
    <t>s1_relic_106_name</t>
  </si>
  <si>
    <t>s1_relic_106_desc</t>
  </si>
  <si>
    <t>s1_relic_battle_eff_78</t>
  </si>
  <si>
    <t>s1_relic_battle_eff_79</t>
  </si>
  <si>
    <t>s1_relic_battle_eff_80</t>
  </si>
  <si>
    <t>s1_relic_battle_eff_81</t>
  </si>
  <si>
    <t>s1_relic_battle_eff_82</t>
  </si>
  <si>
    <t>s1_relic_battle_eff_83</t>
  </si>
  <si>
    <t>s1_relic_battle_eff_87</t>
  </si>
  <si>
    <t>ma_nexus1_resource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</si>
</sst>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b/>
      <sz val="14"/>
      <color rgb="FF1A1A2E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sz val="10"/>
      <color rgb="FF444444"/>
      <name val="맑은 고딕"/>
      <family val="3"/>
      <charset val="129"/>
    </font>
    <font>
      <i/>
      <sz val="8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FFFFFF"/>
      <name val="맑은 고딕"/>
      <family val="1"/>
      <charset val="129"/>
    </font>
    <font>
      <b/>
      <sz val="12"/>
      <color rgb="FFFFFFFF"/>
      <name val="Segoe UI Symbol"/>
      <family val="1"/>
      <charset val="129"/>
    </font>
    <font>
      <b/>
      <sz val="12"/>
      <color rgb="FFFFFFFF"/>
      <name val="Calibri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C3E6B"/>
      </patternFill>
    </fill>
    <fill>
      <patternFill patternType="solid">
        <fgColor rgb="FF4A5568"/>
      </patternFill>
    </fill>
    <fill>
      <patternFill patternType="solid">
        <fgColor theme="3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9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>
      <alignment vertical="center"/>
    </xf>
  </cellStyleXfs>
  <cellXfs count="19">
    <xf numFmtId="0" fontId="0" fillId="0" borderId="0" xfId="0"/>
    <xf numFmtId="0" fontId="3" fillId="0" borderId="0" xfId="0" applyFont="1"/>
    <xf numFmtId="9" fontId="0" fillId="0" borderId="0" xfId="2" applyFont="1" applyAlignment="1"/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7" fillId="3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" fillId="0" borderId="0" xfId="4" applyFont="1">
      <alignment vertical="center"/>
    </xf>
    <xf numFmtId="0" fontId="11" fillId="0" borderId="0" xfId="0" applyFont="1"/>
    <xf numFmtId="0" fontId="1" fillId="0" borderId="0" xfId="4" applyFont="1" applyAlignment="1"/>
    <xf numFmtId="14" fontId="0" fillId="0" borderId="0" xfId="0" applyNumberFormat="1"/>
    <xf numFmtId="0" fontId="14" fillId="3" borderId="0" xfId="0" applyFont="1" applyFill="1" applyAlignment="1">
      <alignment vertical="center"/>
    </xf>
    <xf numFmtId="0" fontId="12" fillId="6" borderId="0" xfId="0" applyFont="1" applyFill="1"/>
    <xf numFmtId="0" fontId="6" fillId="2" borderId="0" xfId="0" applyFont="1" applyFill="1" applyAlignment="1">
      <alignment vertical="center"/>
    </xf>
    <xf numFmtId="0" fontId="12" fillId="5" borderId="0" xfId="0" applyFont="1" applyFill="1"/>
    <xf numFmtId="0" fontId="1" fillId="0" borderId="0" xfId="0" applyFont="1"/>
    <xf numFmtId="0" fontId="0" fillId="7" borderId="0" xfId="0" applyFill="1"/>
    <xf numFmtId="0" fontId="1" fillId="7" borderId="0" xfId="4" applyFont="1" applyFill="1" applyAlignment="1"/>
  </cellXfs>
  <cellStyles count="6">
    <cellStyle name="백분율" xfId="2" xr:uid="{00000000-0005-0000-0000-000000000000}"/>
    <cellStyle name="백분율 2" xfId="5" xr:uid="{00000000-0005-0000-0000-000001000000}"/>
    <cellStyle name="표준" xfId="0" builtinId="0"/>
    <cellStyle name="표준 2" xfId="3" xr:uid="{00000000-0005-0000-0000-000003000000}"/>
    <cellStyle name="표준 3" xfId="4" xr:uid="{00000000-0005-0000-0000-000004000000}"/>
    <cellStyle name="표준 5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B375B-4A21-4E65-AA0B-3394DB2FC31E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0d3b910-28d0-47e3-bf52-9aaa00692ae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workbookViewId="0"/>
  </sheetViews>
  <sheetFormatPr defaultRowHeight="16.5" x14ac:dyDescent="0.3"/>
  <cols>
    <col min="1" max="1" width="14.875" customWidth="1"/>
    <col min="2" max="2" width="10.375" customWidth="1"/>
    <col min="3" max="3" width="20.625" customWidth="1"/>
    <col min="4" max="4" width="9.125" customWidth="1"/>
    <col min="5" max="5" width="20.875" customWidth="1"/>
    <col min="6" max="6" width="11.875" customWidth="1"/>
    <col min="7" max="7" width="14.875" customWidth="1"/>
    <col min="8" max="9" width="22.125" customWidth="1"/>
    <col min="10" max="10" width="13.5" customWidth="1"/>
    <col min="11" max="11" width="11.625" customWidth="1"/>
    <col min="12" max="12" width="13.75" customWidth="1"/>
    <col min="13" max="13" width="36" customWidth="1"/>
  </cols>
  <sheetData>
    <row r="1" spans="1:13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3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s="1" customForma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x14ac:dyDescent="0.3">
      <c r="A4" t="str">
        <f t="shared" ref="A4:A35" si="0">C4&amp;"_pass_"&amp;D4</f>
        <v>s1_pass_1</v>
      </c>
      <c r="B4" t="s">
        <v>0</v>
      </c>
      <c r="C4" t="s">
        <v>26</v>
      </c>
      <c r="D4">
        <v>1</v>
      </c>
      <c r="E4">
        <v>50</v>
      </c>
      <c r="F4" t="s">
        <v>27</v>
      </c>
      <c r="G4">
        <v>50000</v>
      </c>
      <c r="H4" t="s">
        <v>28</v>
      </c>
    </row>
    <row r="5" spans="1:13" x14ac:dyDescent="0.3">
      <c r="A5" t="str">
        <f t="shared" si="0"/>
        <v>s1_pass_2</v>
      </c>
      <c r="B5" t="s">
        <v>0</v>
      </c>
      <c r="C5" t="s">
        <v>26</v>
      </c>
      <c r="D5">
        <v>2</v>
      </c>
      <c r="E5">
        <f t="shared" ref="E5:E36" si="1">E4+ROUNDUP($E$4*D4,-1)</f>
        <v>100</v>
      </c>
      <c r="F5" t="s">
        <v>29</v>
      </c>
      <c r="G5">
        <v>150</v>
      </c>
    </row>
    <row r="6" spans="1:13" x14ac:dyDescent="0.3">
      <c r="A6" t="str">
        <f t="shared" si="0"/>
        <v>s1_pass_3</v>
      </c>
      <c r="B6" t="s">
        <v>0</v>
      </c>
      <c r="C6" t="s">
        <v>26</v>
      </c>
      <c r="D6">
        <v>3</v>
      </c>
      <c r="E6">
        <f t="shared" si="1"/>
        <v>200</v>
      </c>
      <c r="F6" t="s">
        <v>30</v>
      </c>
      <c r="G6">
        <v>5</v>
      </c>
      <c r="H6" t="s">
        <v>31</v>
      </c>
    </row>
    <row r="7" spans="1:13" x14ac:dyDescent="0.3">
      <c r="A7" t="str">
        <f t="shared" si="0"/>
        <v>s1_pass_4</v>
      </c>
      <c r="B7" t="s">
        <v>0</v>
      </c>
      <c r="C7" t="s">
        <v>26</v>
      </c>
      <c r="D7">
        <v>4</v>
      </c>
      <c r="E7">
        <f t="shared" si="1"/>
        <v>350</v>
      </c>
      <c r="F7" t="s">
        <v>27</v>
      </c>
      <c r="G7">
        <v>75000</v>
      </c>
    </row>
    <row r="8" spans="1:13" x14ac:dyDescent="0.3">
      <c r="A8" t="str">
        <f t="shared" si="0"/>
        <v>s1_pass_5</v>
      </c>
      <c r="B8" t="s">
        <v>0</v>
      </c>
      <c r="C8" t="s">
        <v>26</v>
      </c>
      <c r="D8">
        <v>5</v>
      </c>
      <c r="E8">
        <f t="shared" si="1"/>
        <v>550</v>
      </c>
      <c r="F8" t="s">
        <v>32</v>
      </c>
      <c r="G8">
        <v>30</v>
      </c>
      <c r="H8" t="s">
        <v>33</v>
      </c>
    </row>
    <row r="9" spans="1:13" x14ac:dyDescent="0.3">
      <c r="A9" t="str">
        <f t="shared" si="0"/>
        <v>s1_pass_6</v>
      </c>
      <c r="B9" t="s">
        <v>0</v>
      </c>
      <c r="C9" t="s">
        <v>26</v>
      </c>
      <c r="D9">
        <v>6</v>
      </c>
      <c r="E9">
        <f t="shared" si="1"/>
        <v>800</v>
      </c>
      <c r="F9" t="s">
        <v>34</v>
      </c>
      <c r="G9">
        <v>15</v>
      </c>
    </row>
    <row r="10" spans="1:13" x14ac:dyDescent="0.3">
      <c r="A10" t="str">
        <f t="shared" si="0"/>
        <v>s1_pass_7</v>
      </c>
      <c r="B10" t="s">
        <v>0</v>
      </c>
      <c r="C10" t="s">
        <v>26</v>
      </c>
      <c r="D10">
        <v>7</v>
      </c>
      <c r="E10">
        <f t="shared" si="1"/>
        <v>1100</v>
      </c>
      <c r="F10" t="s">
        <v>35</v>
      </c>
      <c r="G10">
        <v>3</v>
      </c>
      <c r="H10" t="s">
        <v>36</v>
      </c>
    </row>
    <row r="11" spans="1:13" x14ac:dyDescent="0.3">
      <c r="A11" t="str">
        <f t="shared" si="0"/>
        <v>s1_pass_8</v>
      </c>
      <c r="B11" t="s">
        <v>0</v>
      </c>
      <c r="C11" t="s">
        <v>26</v>
      </c>
      <c r="D11">
        <v>8</v>
      </c>
      <c r="E11">
        <f t="shared" si="1"/>
        <v>1450</v>
      </c>
      <c r="F11" t="s">
        <v>27</v>
      </c>
      <c r="G11">
        <v>100000</v>
      </c>
    </row>
    <row r="12" spans="1:13" x14ac:dyDescent="0.3">
      <c r="A12" t="str">
        <f t="shared" si="0"/>
        <v>s1_pass_9</v>
      </c>
      <c r="B12" t="s">
        <v>0</v>
      </c>
      <c r="C12" t="s">
        <v>26</v>
      </c>
      <c r="D12">
        <v>9</v>
      </c>
      <c r="E12">
        <f t="shared" si="1"/>
        <v>1850</v>
      </c>
      <c r="F12" t="s">
        <v>29</v>
      </c>
      <c r="G12">
        <v>300</v>
      </c>
      <c r="H12" t="s">
        <v>37</v>
      </c>
    </row>
    <row r="13" spans="1:13" x14ac:dyDescent="0.3">
      <c r="A13" t="str">
        <f t="shared" si="0"/>
        <v>s1_pass_10</v>
      </c>
      <c r="B13" t="s">
        <v>0</v>
      </c>
      <c r="C13" t="s">
        <v>26</v>
      </c>
      <c r="D13">
        <v>10</v>
      </c>
      <c r="E13">
        <f t="shared" si="1"/>
        <v>2300</v>
      </c>
      <c r="F13" t="s">
        <v>32</v>
      </c>
      <c r="G13">
        <v>100</v>
      </c>
      <c r="I13" t="s">
        <v>38</v>
      </c>
    </row>
    <row r="14" spans="1:13" x14ac:dyDescent="0.3">
      <c r="A14" t="str">
        <f t="shared" si="0"/>
        <v>s1_pass_11</v>
      </c>
      <c r="B14" t="s">
        <v>0</v>
      </c>
      <c r="C14" t="s">
        <v>26</v>
      </c>
      <c r="D14">
        <v>11</v>
      </c>
      <c r="E14">
        <f t="shared" si="1"/>
        <v>2800</v>
      </c>
      <c r="F14" t="s">
        <v>27</v>
      </c>
      <c r="G14">
        <v>50000</v>
      </c>
      <c r="H14" t="s">
        <v>39</v>
      </c>
    </row>
    <row r="15" spans="1:13" x14ac:dyDescent="0.3">
      <c r="A15" t="str">
        <f t="shared" si="0"/>
        <v>s1_pass_12</v>
      </c>
      <c r="B15" t="s">
        <v>0</v>
      </c>
      <c r="C15" t="s">
        <v>26</v>
      </c>
      <c r="D15">
        <v>12</v>
      </c>
      <c r="E15">
        <f t="shared" si="1"/>
        <v>3350</v>
      </c>
      <c r="F15" t="s">
        <v>29</v>
      </c>
      <c r="G15">
        <v>150</v>
      </c>
    </row>
    <row r="16" spans="1:13" x14ac:dyDescent="0.3">
      <c r="A16" t="str">
        <f t="shared" si="0"/>
        <v>s1_pass_13</v>
      </c>
      <c r="B16" t="s">
        <v>0</v>
      </c>
      <c r="C16" t="s">
        <v>26</v>
      </c>
      <c r="D16">
        <v>13</v>
      </c>
      <c r="E16">
        <f t="shared" si="1"/>
        <v>3950</v>
      </c>
      <c r="F16" t="s">
        <v>30</v>
      </c>
      <c r="G16">
        <v>5</v>
      </c>
      <c r="H16" t="s">
        <v>40</v>
      </c>
    </row>
    <row r="17" spans="1:9" x14ac:dyDescent="0.3">
      <c r="A17" t="str">
        <f t="shared" si="0"/>
        <v>s1_pass_14</v>
      </c>
      <c r="B17" t="s">
        <v>0</v>
      </c>
      <c r="C17" t="s">
        <v>26</v>
      </c>
      <c r="D17">
        <v>14</v>
      </c>
      <c r="E17">
        <f t="shared" si="1"/>
        <v>4600</v>
      </c>
      <c r="F17" t="s">
        <v>27</v>
      </c>
      <c r="G17">
        <v>75000</v>
      </c>
    </row>
    <row r="18" spans="1:9" x14ac:dyDescent="0.3">
      <c r="A18" t="str">
        <f t="shared" si="0"/>
        <v>s1_pass_15</v>
      </c>
      <c r="B18" t="s">
        <v>0</v>
      </c>
      <c r="C18" t="s">
        <v>26</v>
      </c>
      <c r="D18">
        <v>15</v>
      </c>
      <c r="E18">
        <f t="shared" si="1"/>
        <v>5300</v>
      </c>
      <c r="F18" t="s">
        <v>32</v>
      </c>
      <c r="G18">
        <v>30</v>
      </c>
      <c r="H18" t="s">
        <v>41</v>
      </c>
    </row>
    <row r="19" spans="1:9" x14ac:dyDescent="0.3">
      <c r="A19" t="str">
        <f t="shared" si="0"/>
        <v>s1_pass_16</v>
      </c>
      <c r="B19" t="s">
        <v>0</v>
      </c>
      <c r="C19" t="s">
        <v>26</v>
      </c>
      <c r="D19">
        <v>16</v>
      </c>
      <c r="E19">
        <f t="shared" si="1"/>
        <v>6050</v>
      </c>
      <c r="F19" t="s">
        <v>34</v>
      </c>
      <c r="G19">
        <v>15</v>
      </c>
    </row>
    <row r="20" spans="1:9" x14ac:dyDescent="0.3">
      <c r="A20" t="str">
        <f t="shared" si="0"/>
        <v>s1_pass_17</v>
      </c>
      <c r="B20" t="s">
        <v>0</v>
      </c>
      <c r="C20" t="s">
        <v>26</v>
      </c>
      <c r="D20">
        <v>17</v>
      </c>
      <c r="E20">
        <f t="shared" si="1"/>
        <v>6850</v>
      </c>
      <c r="F20" t="s">
        <v>35</v>
      </c>
      <c r="G20">
        <v>3</v>
      </c>
      <c r="H20" t="s">
        <v>42</v>
      </c>
    </row>
    <row r="21" spans="1:9" x14ac:dyDescent="0.3">
      <c r="A21" t="str">
        <f t="shared" si="0"/>
        <v>s1_pass_18</v>
      </c>
      <c r="B21" t="s">
        <v>0</v>
      </c>
      <c r="C21" t="s">
        <v>26</v>
      </c>
      <c r="D21">
        <v>18</v>
      </c>
      <c r="E21">
        <f t="shared" si="1"/>
        <v>7700</v>
      </c>
      <c r="F21" t="s">
        <v>27</v>
      </c>
      <c r="G21">
        <v>100000</v>
      </c>
    </row>
    <row r="22" spans="1:9" x14ac:dyDescent="0.3">
      <c r="A22" t="str">
        <f t="shared" si="0"/>
        <v>s1_pass_19</v>
      </c>
      <c r="B22" t="s">
        <v>0</v>
      </c>
      <c r="C22" t="s">
        <v>26</v>
      </c>
      <c r="D22">
        <v>19</v>
      </c>
      <c r="E22">
        <f t="shared" si="1"/>
        <v>8600</v>
      </c>
      <c r="F22" t="s">
        <v>29</v>
      </c>
      <c r="G22">
        <v>300</v>
      </c>
      <c r="H22" t="s">
        <v>43</v>
      </c>
    </row>
    <row r="23" spans="1:9" x14ac:dyDescent="0.3">
      <c r="A23" t="str">
        <f t="shared" si="0"/>
        <v>s1_pass_20</v>
      </c>
      <c r="B23" t="s">
        <v>0</v>
      </c>
      <c r="C23" t="s">
        <v>26</v>
      </c>
      <c r="D23">
        <v>20</v>
      </c>
      <c r="E23">
        <f t="shared" si="1"/>
        <v>9550</v>
      </c>
      <c r="F23" t="s">
        <v>30</v>
      </c>
      <c r="G23">
        <v>20</v>
      </c>
      <c r="I23" t="s">
        <v>38</v>
      </c>
    </row>
    <row r="24" spans="1:9" x14ac:dyDescent="0.3">
      <c r="A24" t="str">
        <f t="shared" si="0"/>
        <v>s1_pass_21</v>
      </c>
      <c r="B24" t="s">
        <v>0</v>
      </c>
      <c r="C24" t="s">
        <v>26</v>
      </c>
      <c r="D24">
        <v>21</v>
      </c>
      <c r="E24">
        <f t="shared" si="1"/>
        <v>10550</v>
      </c>
      <c r="F24" t="s">
        <v>27</v>
      </c>
      <c r="G24">
        <v>50000</v>
      </c>
      <c r="H24" t="s">
        <v>44</v>
      </c>
    </row>
    <row r="25" spans="1:9" x14ac:dyDescent="0.3">
      <c r="A25" t="str">
        <f t="shared" si="0"/>
        <v>s1_pass_22</v>
      </c>
      <c r="B25" t="s">
        <v>0</v>
      </c>
      <c r="C25" t="s">
        <v>26</v>
      </c>
      <c r="D25">
        <v>22</v>
      </c>
      <c r="E25">
        <f t="shared" si="1"/>
        <v>11600</v>
      </c>
      <c r="F25" t="s">
        <v>29</v>
      </c>
      <c r="G25">
        <v>150</v>
      </c>
    </row>
    <row r="26" spans="1:9" x14ac:dyDescent="0.3">
      <c r="A26" t="str">
        <f t="shared" si="0"/>
        <v>s1_pass_23</v>
      </c>
      <c r="B26" t="s">
        <v>0</v>
      </c>
      <c r="C26" t="s">
        <v>26</v>
      </c>
      <c r="D26">
        <v>23</v>
      </c>
      <c r="E26">
        <f t="shared" si="1"/>
        <v>12700</v>
      </c>
      <c r="F26" t="s">
        <v>30</v>
      </c>
      <c r="G26">
        <v>5</v>
      </c>
      <c r="H26" t="s">
        <v>45</v>
      </c>
    </row>
    <row r="27" spans="1:9" x14ac:dyDescent="0.3">
      <c r="A27" t="str">
        <f t="shared" si="0"/>
        <v>s1_pass_24</v>
      </c>
      <c r="B27" t="s">
        <v>0</v>
      </c>
      <c r="C27" t="s">
        <v>26</v>
      </c>
      <c r="D27">
        <v>24</v>
      </c>
      <c r="E27">
        <f t="shared" si="1"/>
        <v>13850</v>
      </c>
      <c r="F27" t="s">
        <v>27</v>
      </c>
      <c r="G27">
        <v>75000</v>
      </c>
    </row>
    <row r="28" spans="1:9" x14ac:dyDescent="0.3">
      <c r="A28" t="str">
        <f t="shared" si="0"/>
        <v>s1_pass_25</v>
      </c>
      <c r="B28" t="s">
        <v>0</v>
      </c>
      <c r="C28" t="s">
        <v>26</v>
      </c>
      <c r="D28">
        <v>25</v>
      </c>
      <c r="E28">
        <f t="shared" si="1"/>
        <v>15050</v>
      </c>
      <c r="F28" t="s">
        <v>32</v>
      </c>
      <c r="G28">
        <v>30</v>
      </c>
      <c r="H28" t="s">
        <v>46</v>
      </c>
    </row>
    <row r="29" spans="1:9" x14ac:dyDescent="0.3">
      <c r="A29" t="str">
        <f t="shared" si="0"/>
        <v>s1_pass_26</v>
      </c>
      <c r="B29" t="s">
        <v>0</v>
      </c>
      <c r="C29" t="s">
        <v>26</v>
      </c>
      <c r="D29">
        <v>26</v>
      </c>
      <c r="E29">
        <f t="shared" si="1"/>
        <v>16300</v>
      </c>
      <c r="F29" t="s">
        <v>34</v>
      </c>
      <c r="G29">
        <v>15</v>
      </c>
    </row>
    <row r="30" spans="1:9" x14ac:dyDescent="0.3">
      <c r="A30" t="str">
        <f t="shared" si="0"/>
        <v>s1_pass_27</v>
      </c>
      <c r="B30" t="s">
        <v>0</v>
      </c>
      <c r="C30" t="s">
        <v>26</v>
      </c>
      <c r="D30">
        <v>27</v>
      </c>
      <c r="E30">
        <f t="shared" si="1"/>
        <v>17600</v>
      </c>
      <c r="F30" t="s">
        <v>35</v>
      </c>
      <c r="G30">
        <v>3</v>
      </c>
      <c r="H30" t="s">
        <v>47</v>
      </c>
    </row>
    <row r="31" spans="1:9" x14ac:dyDescent="0.3">
      <c r="A31" t="str">
        <f t="shared" si="0"/>
        <v>s1_pass_28</v>
      </c>
      <c r="B31" t="s">
        <v>0</v>
      </c>
      <c r="C31" t="s">
        <v>26</v>
      </c>
      <c r="D31">
        <v>28</v>
      </c>
      <c r="E31">
        <f t="shared" si="1"/>
        <v>18950</v>
      </c>
      <c r="F31" t="s">
        <v>27</v>
      </c>
      <c r="G31">
        <v>100000</v>
      </c>
    </row>
    <row r="32" spans="1:9" x14ac:dyDescent="0.3">
      <c r="A32" t="str">
        <f t="shared" si="0"/>
        <v>s1_pass_29</v>
      </c>
      <c r="B32" t="s">
        <v>0</v>
      </c>
      <c r="C32" t="s">
        <v>26</v>
      </c>
      <c r="D32">
        <v>29</v>
      </c>
      <c r="E32">
        <f t="shared" si="1"/>
        <v>20350</v>
      </c>
      <c r="F32" t="s">
        <v>29</v>
      </c>
      <c r="G32">
        <v>300</v>
      </c>
      <c r="H32" t="s">
        <v>48</v>
      </c>
    </row>
    <row r="33" spans="1:9" x14ac:dyDescent="0.3">
      <c r="A33" t="str">
        <f t="shared" si="0"/>
        <v>s1_pass_30</v>
      </c>
      <c r="B33" t="s">
        <v>0</v>
      </c>
      <c r="C33" t="s">
        <v>26</v>
      </c>
      <c r="D33">
        <v>30</v>
      </c>
      <c r="E33">
        <f t="shared" si="1"/>
        <v>21800</v>
      </c>
      <c r="F33" t="s">
        <v>34</v>
      </c>
      <c r="G33">
        <v>60</v>
      </c>
      <c r="I33" t="s">
        <v>38</v>
      </c>
    </row>
    <row r="34" spans="1:9" x14ac:dyDescent="0.3">
      <c r="A34" t="str">
        <f t="shared" si="0"/>
        <v>s1_pass_31</v>
      </c>
      <c r="B34" t="s">
        <v>0</v>
      </c>
      <c r="C34" t="s">
        <v>26</v>
      </c>
      <c r="D34">
        <v>31</v>
      </c>
      <c r="E34">
        <f t="shared" si="1"/>
        <v>23300</v>
      </c>
      <c r="F34" t="s">
        <v>27</v>
      </c>
      <c r="G34">
        <v>50000</v>
      </c>
    </row>
    <row r="35" spans="1:9" x14ac:dyDescent="0.3">
      <c r="A35" t="str">
        <f t="shared" si="0"/>
        <v>s1_pass_32</v>
      </c>
      <c r="B35" t="s">
        <v>0</v>
      </c>
      <c r="C35" t="s">
        <v>26</v>
      </c>
      <c r="D35">
        <v>32</v>
      </c>
      <c r="E35">
        <f t="shared" si="1"/>
        <v>24850</v>
      </c>
      <c r="F35" t="s">
        <v>29</v>
      </c>
      <c r="G35">
        <v>150</v>
      </c>
    </row>
    <row r="36" spans="1:9" x14ac:dyDescent="0.3">
      <c r="A36" t="str">
        <f t="shared" ref="A36:A67" si="2">C36&amp;"_pass_"&amp;D36</f>
        <v>s1_pass_33</v>
      </c>
      <c r="B36" t="s">
        <v>0</v>
      </c>
      <c r="C36" t="s">
        <v>26</v>
      </c>
      <c r="D36">
        <v>33</v>
      </c>
      <c r="E36">
        <f t="shared" si="1"/>
        <v>26450</v>
      </c>
      <c r="F36" t="s">
        <v>30</v>
      </c>
      <c r="G36">
        <v>5</v>
      </c>
    </row>
    <row r="37" spans="1:9" x14ac:dyDescent="0.3">
      <c r="A37" t="str">
        <f t="shared" si="2"/>
        <v>s1_pass_34</v>
      </c>
      <c r="B37" t="s">
        <v>0</v>
      </c>
      <c r="C37" t="s">
        <v>26</v>
      </c>
      <c r="D37">
        <v>34</v>
      </c>
      <c r="E37">
        <f t="shared" ref="E37:E68" si="3">E36+ROUNDUP($E$4*D36,-1)</f>
        <v>28100</v>
      </c>
      <c r="F37" t="s">
        <v>27</v>
      </c>
      <c r="G37">
        <v>75000</v>
      </c>
    </row>
    <row r="38" spans="1:9" x14ac:dyDescent="0.3">
      <c r="A38" t="str">
        <f t="shared" si="2"/>
        <v>s1_pass_35</v>
      </c>
      <c r="B38" t="s">
        <v>0</v>
      </c>
      <c r="C38" t="s">
        <v>26</v>
      </c>
      <c r="D38">
        <v>35</v>
      </c>
      <c r="E38">
        <f t="shared" si="3"/>
        <v>29800</v>
      </c>
      <c r="F38" t="s">
        <v>32</v>
      </c>
      <c r="G38">
        <v>30</v>
      </c>
    </row>
    <row r="39" spans="1:9" x14ac:dyDescent="0.3">
      <c r="A39" t="str">
        <f t="shared" si="2"/>
        <v>s1_pass_36</v>
      </c>
      <c r="B39" t="s">
        <v>0</v>
      </c>
      <c r="C39" t="s">
        <v>26</v>
      </c>
      <c r="D39">
        <v>36</v>
      </c>
      <c r="E39">
        <f t="shared" si="3"/>
        <v>31550</v>
      </c>
      <c r="F39" t="s">
        <v>34</v>
      </c>
      <c r="G39">
        <v>15</v>
      </c>
    </row>
    <row r="40" spans="1:9" x14ac:dyDescent="0.3">
      <c r="A40" t="str">
        <f t="shared" si="2"/>
        <v>s1_pass_37</v>
      </c>
      <c r="B40" t="s">
        <v>0</v>
      </c>
      <c r="C40" t="s">
        <v>26</v>
      </c>
      <c r="D40">
        <v>37</v>
      </c>
      <c r="E40">
        <f t="shared" si="3"/>
        <v>33350</v>
      </c>
      <c r="F40" t="s">
        <v>35</v>
      </c>
      <c r="G40">
        <v>3</v>
      </c>
    </row>
    <row r="41" spans="1:9" x14ac:dyDescent="0.3">
      <c r="A41" t="str">
        <f t="shared" si="2"/>
        <v>s1_pass_38</v>
      </c>
      <c r="B41" t="s">
        <v>0</v>
      </c>
      <c r="C41" t="s">
        <v>26</v>
      </c>
      <c r="D41">
        <v>38</v>
      </c>
      <c r="E41">
        <f t="shared" si="3"/>
        <v>35200</v>
      </c>
      <c r="F41" t="s">
        <v>27</v>
      </c>
      <c r="G41">
        <v>100000</v>
      </c>
    </row>
    <row r="42" spans="1:9" x14ac:dyDescent="0.3">
      <c r="A42" t="str">
        <f t="shared" si="2"/>
        <v>s1_pass_39</v>
      </c>
      <c r="B42" t="s">
        <v>0</v>
      </c>
      <c r="C42" t="s">
        <v>26</v>
      </c>
      <c r="D42">
        <v>39</v>
      </c>
      <c r="E42">
        <f t="shared" si="3"/>
        <v>37100</v>
      </c>
      <c r="F42" t="s">
        <v>29</v>
      </c>
      <c r="G42">
        <v>300</v>
      </c>
    </row>
    <row r="43" spans="1:9" x14ac:dyDescent="0.3">
      <c r="A43" t="str">
        <f t="shared" si="2"/>
        <v>s1_pass_40</v>
      </c>
      <c r="B43" t="s">
        <v>0</v>
      </c>
      <c r="C43" t="s">
        <v>26</v>
      </c>
      <c r="D43">
        <v>40</v>
      </c>
      <c r="E43">
        <f t="shared" si="3"/>
        <v>39050</v>
      </c>
      <c r="F43" t="s">
        <v>35</v>
      </c>
      <c r="G43">
        <v>10</v>
      </c>
      <c r="I43" t="s">
        <v>38</v>
      </c>
    </row>
    <row r="44" spans="1:9" x14ac:dyDescent="0.3">
      <c r="A44" t="str">
        <f t="shared" si="2"/>
        <v>s1_pass_41</v>
      </c>
      <c r="B44" t="s">
        <v>0</v>
      </c>
      <c r="C44" t="s">
        <v>26</v>
      </c>
      <c r="D44">
        <v>41</v>
      </c>
      <c r="E44">
        <f t="shared" si="3"/>
        <v>41050</v>
      </c>
      <c r="F44" t="s">
        <v>27</v>
      </c>
      <c r="G44">
        <v>50000</v>
      </c>
    </row>
    <row r="45" spans="1:9" x14ac:dyDescent="0.3">
      <c r="A45" t="str">
        <f t="shared" si="2"/>
        <v>s1_pass_42</v>
      </c>
      <c r="B45" t="s">
        <v>0</v>
      </c>
      <c r="C45" t="s">
        <v>26</v>
      </c>
      <c r="D45">
        <v>42</v>
      </c>
      <c r="E45">
        <f t="shared" si="3"/>
        <v>43100</v>
      </c>
      <c r="F45" t="s">
        <v>29</v>
      </c>
      <c r="G45">
        <v>150</v>
      </c>
    </row>
    <row r="46" spans="1:9" x14ac:dyDescent="0.3">
      <c r="A46" t="str">
        <f t="shared" si="2"/>
        <v>s1_pass_43</v>
      </c>
      <c r="B46" t="s">
        <v>0</v>
      </c>
      <c r="C46" t="s">
        <v>26</v>
      </c>
      <c r="D46">
        <v>43</v>
      </c>
      <c r="E46">
        <f t="shared" si="3"/>
        <v>45200</v>
      </c>
      <c r="F46" t="s">
        <v>30</v>
      </c>
      <c r="G46">
        <v>5</v>
      </c>
    </row>
    <row r="47" spans="1:9" x14ac:dyDescent="0.3">
      <c r="A47" t="str">
        <f t="shared" si="2"/>
        <v>s1_pass_44</v>
      </c>
      <c r="B47" t="s">
        <v>0</v>
      </c>
      <c r="C47" t="s">
        <v>26</v>
      </c>
      <c r="D47">
        <v>44</v>
      </c>
      <c r="E47">
        <f t="shared" si="3"/>
        <v>47350</v>
      </c>
      <c r="F47" t="s">
        <v>27</v>
      </c>
      <c r="G47">
        <v>75000</v>
      </c>
    </row>
    <row r="48" spans="1:9" x14ac:dyDescent="0.3">
      <c r="A48" t="str">
        <f t="shared" si="2"/>
        <v>s1_pass_45</v>
      </c>
      <c r="B48" t="s">
        <v>0</v>
      </c>
      <c r="C48" t="s">
        <v>26</v>
      </c>
      <c r="D48">
        <v>45</v>
      </c>
      <c r="E48">
        <f t="shared" si="3"/>
        <v>49550</v>
      </c>
      <c r="F48" t="s">
        <v>32</v>
      </c>
      <c r="G48">
        <v>30</v>
      </c>
    </row>
    <row r="49" spans="1:9" x14ac:dyDescent="0.3">
      <c r="A49" t="str">
        <f t="shared" si="2"/>
        <v>s1_pass_46</v>
      </c>
      <c r="B49" t="s">
        <v>0</v>
      </c>
      <c r="C49" t="s">
        <v>26</v>
      </c>
      <c r="D49">
        <v>46</v>
      </c>
      <c r="E49">
        <f t="shared" si="3"/>
        <v>51800</v>
      </c>
      <c r="F49" t="s">
        <v>34</v>
      </c>
      <c r="G49">
        <v>15</v>
      </c>
    </row>
    <row r="50" spans="1:9" x14ac:dyDescent="0.3">
      <c r="A50" t="str">
        <f t="shared" si="2"/>
        <v>s1_pass_47</v>
      </c>
      <c r="B50" t="s">
        <v>0</v>
      </c>
      <c r="C50" t="s">
        <v>26</v>
      </c>
      <c r="D50">
        <v>47</v>
      </c>
      <c r="E50">
        <f t="shared" si="3"/>
        <v>54100</v>
      </c>
      <c r="F50" t="s">
        <v>35</v>
      </c>
      <c r="G50">
        <v>3</v>
      </c>
    </row>
    <row r="51" spans="1:9" x14ac:dyDescent="0.3">
      <c r="A51" t="str">
        <f t="shared" si="2"/>
        <v>s1_pass_48</v>
      </c>
      <c r="B51" t="s">
        <v>0</v>
      </c>
      <c r="C51" t="s">
        <v>26</v>
      </c>
      <c r="D51">
        <v>48</v>
      </c>
      <c r="E51">
        <f t="shared" si="3"/>
        <v>56450</v>
      </c>
      <c r="F51" t="s">
        <v>27</v>
      </c>
      <c r="G51">
        <v>100000</v>
      </c>
    </row>
    <row r="52" spans="1:9" x14ac:dyDescent="0.3">
      <c r="A52" t="str">
        <f t="shared" si="2"/>
        <v>s1_pass_49</v>
      </c>
      <c r="B52" t="s">
        <v>0</v>
      </c>
      <c r="C52" t="s">
        <v>26</v>
      </c>
      <c r="D52">
        <v>49</v>
      </c>
      <c r="E52">
        <f t="shared" si="3"/>
        <v>58850</v>
      </c>
      <c r="F52" t="s">
        <v>29</v>
      </c>
      <c r="G52">
        <v>300</v>
      </c>
    </row>
    <row r="53" spans="1:9" x14ac:dyDescent="0.3">
      <c r="A53" t="str">
        <f t="shared" si="2"/>
        <v>s1_pass_50</v>
      </c>
      <c r="B53" t="s">
        <v>0</v>
      </c>
      <c r="C53" t="s">
        <v>26</v>
      </c>
      <c r="D53">
        <v>50</v>
      </c>
      <c r="E53">
        <f t="shared" si="3"/>
        <v>61300</v>
      </c>
      <c r="F53" t="s">
        <v>49</v>
      </c>
      <c r="G53">
        <v>2</v>
      </c>
      <c r="I53" t="s">
        <v>38</v>
      </c>
    </row>
    <row r="54" spans="1:9" x14ac:dyDescent="0.3">
      <c r="A54" t="str">
        <f t="shared" si="2"/>
        <v>s1_pass_51</v>
      </c>
      <c r="B54" t="s">
        <v>0</v>
      </c>
      <c r="C54" t="s">
        <v>26</v>
      </c>
      <c r="D54">
        <v>51</v>
      </c>
      <c r="E54">
        <f t="shared" si="3"/>
        <v>63800</v>
      </c>
      <c r="F54" t="s">
        <v>27</v>
      </c>
      <c r="G54">
        <v>50000</v>
      </c>
    </row>
    <row r="55" spans="1:9" x14ac:dyDescent="0.3">
      <c r="A55" t="str">
        <f t="shared" si="2"/>
        <v>s1_pass_52</v>
      </c>
      <c r="B55" t="s">
        <v>0</v>
      </c>
      <c r="C55" t="s">
        <v>26</v>
      </c>
      <c r="D55">
        <v>52</v>
      </c>
      <c r="E55">
        <f t="shared" si="3"/>
        <v>66350</v>
      </c>
      <c r="F55" t="s">
        <v>29</v>
      </c>
      <c r="G55">
        <v>150</v>
      </c>
    </row>
    <row r="56" spans="1:9" x14ac:dyDescent="0.3">
      <c r="A56" t="str">
        <f t="shared" si="2"/>
        <v>s1_pass_53</v>
      </c>
      <c r="B56" t="s">
        <v>0</v>
      </c>
      <c r="C56" t="s">
        <v>26</v>
      </c>
      <c r="D56">
        <v>53</v>
      </c>
      <c r="E56">
        <f t="shared" si="3"/>
        <v>68950</v>
      </c>
      <c r="F56" t="s">
        <v>30</v>
      </c>
      <c r="G56">
        <v>5</v>
      </c>
    </row>
    <row r="57" spans="1:9" x14ac:dyDescent="0.3">
      <c r="A57" t="str">
        <f t="shared" si="2"/>
        <v>s1_pass_54</v>
      </c>
      <c r="B57" t="s">
        <v>0</v>
      </c>
      <c r="C57" t="s">
        <v>26</v>
      </c>
      <c r="D57">
        <v>54</v>
      </c>
      <c r="E57">
        <f t="shared" si="3"/>
        <v>71600</v>
      </c>
      <c r="F57" t="s">
        <v>27</v>
      </c>
      <c r="G57">
        <v>75000</v>
      </c>
    </row>
    <row r="58" spans="1:9" x14ac:dyDescent="0.3">
      <c r="A58" t="str">
        <f t="shared" si="2"/>
        <v>s1_pass_55</v>
      </c>
      <c r="B58" t="s">
        <v>0</v>
      </c>
      <c r="C58" t="s">
        <v>26</v>
      </c>
      <c r="D58">
        <v>55</v>
      </c>
      <c r="E58">
        <f t="shared" si="3"/>
        <v>74300</v>
      </c>
      <c r="F58" t="s">
        <v>32</v>
      </c>
      <c r="G58">
        <v>30</v>
      </c>
    </row>
    <row r="59" spans="1:9" x14ac:dyDescent="0.3">
      <c r="A59" t="str">
        <f t="shared" si="2"/>
        <v>s1_pass_56</v>
      </c>
      <c r="B59" t="s">
        <v>0</v>
      </c>
      <c r="C59" t="s">
        <v>26</v>
      </c>
      <c r="D59">
        <v>56</v>
      </c>
      <c r="E59">
        <f t="shared" si="3"/>
        <v>77050</v>
      </c>
      <c r="F59" t="s">
        <v>34</v>
      </c>
      <c r="G59">
        <v>15</v>
      </c>
    </row>
    <row r="60" spans="1:9" x14ac:dyDescent="0.3">
      <c r="A60" t="str">
        <f t="shared" si="2"/>
        <v>s1_pass_57</v>
      </c>
      <c r="B60" t="s">
        <v>0</v>
      </c>
      <c r="C60" t="s">
        <v>26</v>
      </c>
      <c r="D60">
        <v>57</v>
      </c>
      <c r="E60">
        <f t="shared" si="3"/>
        <v>79850</v>
      </c>
      <c r="F60" t="s">
        <v>35</v>
      </c>
      <c r="G60">
        <v>3</v>
      </c>
    </row>
    <row r="61" spans="1:9" x14ac:dyDescent="0.3">
      <c r="A61" t="str">
        <f t="shared" si="2"/>
        <v>s1_pass_58</v>
      </c>
      <c r="B61" t="s">
        <v>0</v>
      </c>
      <c r="C61" t="s">
        <v>26</v>
      </c>
      <c r="D61">
        <v>58</v>
      </c>
      <c r="E61">
        <f t="shared" si="3"/>
        <v>82700</v>
      </c>
      <c r="F61" t="s">
        <v>27</v>
      </c>
      <c r="G61">
        <v>100000</v>
      </c>
    </row>
    <row r="62" spans="1:9" x14ac:dyDescent="0.3">
      <c r="A62" t="str">
        <f t="shared" si="2"/>
        <v>s1_pass_59</v>
      </c>
      <c r="B62" t="s">
        <v>0</v>
      </c>
      <c r="C62" t="s">
        <v>26</v>
      </c>
      <c r="D62">
        <v>59</v>
      </c>
      <c r="E62">
        <f t="shared" si="3"/>
        <v>85600</v>
      </c>
      <c r="F62" t="s">
        <v>29</v>
      </c>
      <c r="G62">
        <v>300</v>
      </c>
    </row>
    <row r="63" spans="1:9" x14ac:dyDescent="0.3">
      <c r="A63" t="str">
        <f t="shared" si="2"/>
        <v>s1_pass_60</v>
      </c>
      <c r="B63" t="s">
        <v>0</v>
      </c>
      <c r="C63" t="s">
        <v>26</v>
      </c>
      <c r="D63">
        <v>60</v>
      </c>
      <c r="E63">
        <f t="shared" si="3"/>
        <v>88550</v>
      </c>
      <c r="F63" t="s">
        <v>50</v>
      </c>
      <c r="G63">
        <v>50</v>
      </c>
      <c r="I63" t="s">
        <v>38</v>
      </c>
    </row>
    <row r="64" spans="1:9" x14ac:dyDescent="0.3">
      <c r="A64" t="str">
        <f t="shared" si="2"/>
        <v>s1_pass_61</v>
      </c>
      <c r="B64" t="s">
        <v>0</v>
      </c>
      <c r="C64" t="s">
        <v>26</v>
      </c>
      <c r="D64">
        <v>61</v>
      </c>
      <c r="E64">
        <f t="shared" si="3"/>
        <v>91550</v>
      </c>
      <c r="F64" t="s">
        <v>27</v>
      </c>
      <c r="G64">
        <v>50000</v>
      </c>
    </row>
    <row r="65" spans="1:9" x14ac:dyDescent="0.3">
      <c r="A65" t="str">
        <f t="shared" si="2"/>
        <v>s1_pass_62</v>
      </c>
      <c r="B65" t="s">
        <v>0</v>
      </c>
      <c r="C65" t="s">
        <v>26</v>
      </c>
      <c r="D65">
        <v>62</v>
      </c>
      <c r="E65">
        <f t="shared" si="3"/>
        <v>94600</v>
      </c>
      <c r="F65" t="s">
        <v>29</v>
      </c>
      <c r="G65">
        <v>150</v>
      </c>
    </row>
    <row r="66" spans="1:9" x14ac:dyDescent="0.3">
      <c r="A66" t="str">
        <f t="shared" si="2"/>
        <v>s1_pass_63</v>
      </c>
      <c r="B66" t="s">
        <v>0</v>
      </c>
      <c r="C66" t="s">
        <v>26</v>
      </c>
      <c r="D66">
        <v>63</v>
      </c>
      <c r="E66">
        <f t="shared" si="3"/>
        <v>97700</v>
      </c>
      <c r="F66" t="s">
        <v>30</v>
      </c>
      <c r="G66">
        <v>5</v>
      </c>
    </row>
    <row r="67" spans="1:9" x14ac:dyDescent="0.3">
      <c r="A67" t="str">
        <f t="shared" si="2"/>
        <v>s1_pass_64</v>
      </c>
      <c r="B67" t="s">
        <v>0</v>
      </c>
      <c r="C67" t="s">
        <v>26</v>
      </c>
      <c r="D67">
        <v>64</v>
      </c>
      <c r="E67">
        <f t="shared" si="3"/>
        <v>100850</v>
      </c>
      <c r="F67" t="s">
        <v>27</v>
      </c>
      <c r="G67">
        <v>75000</v>
      </c>
    </row>
    <row r="68" spans="1:9" x14ac:dyDescent="0.3">
      <c r="A68" t="str">
        <f t="shared" ref="A68:A103" si="4">C68&amp;"_pass_"&amp;D68</f>
        <v>s1_pass_65</v>
      </c>
      <c r="B68" t="s">
        <v>0</v>
      </c>
      <c r="C68" t="s">
        <v>26</v>
      </c>
      <c r="D68">
        <v>65</v>
      </c>
      <c r="E68">
        <f t="shared" si="3"/>
        <v>104050</v>
      </c>
      <c r="F68" t="s">
        <v>32</v>
      </c>
      <c r="G68">
        <v>30</v>
      </c>
    </row>
    <row r="69" spans="1:9" x14ac:dyDescent="0.3">
      <c r="A69" t="str">
        <f t="shared" si="4"/>
        <v>s1_pass_66</v>
      </c>
      <c r="B69" t="s">
        <v>0</v>
      </c>
      <c r="C69" t="s">
        <v>26</v>
      </c>
      <c r="D69">
        <v>66</v>
      </c>
      <c r="E69">
        <f t="shared" ref="E69:E103" si="5">E68+ROUNDUP($E$4*D68,-1)</f>
        <v>107300</v>
      </c>
      <c r="F69" t="s">
        <v>34</v>
      </c>
      <c r="G69">
        <v>15</v>
      </c>
    </row>
    <row r="70" spans="1:9" x14ac:dyDescent="0.3">
      <c r="A70" t="str">
        <f t="shared" si="4"/>
        <v>s1_pass_67</v>
      </c>
      <c r="B70" t="s">
        <v>0</v>
      </c>
      <c r="C70" t="s">
        <v>26</v>
      </c>
      <c r="D70">
        <v>67</v>
      </c>
      <c r="E70">
        <f t="shared" si="5"/>
        <v>110600</v>
      </c>
      <c r="F70" t="s">
        <v>35</v>
      </c>
      <c r="G70">
        <v>3</v>
      </c>
    </row>
    <row r="71" spans="1:9" x14ac:dyDescent="0.3">
      <c r="A71" t="str">
        <f t="shared" si="4"/>
        <v>s1_pass_68</v>
      </c>
      <c r="B71" t="s">
        <v>0</v>
      </c>
      <c r="C71" t="s">
        <v>26</v>
      </c>
      <c r="D71">
        <v>68</v>
      </c>
      <c r="E71">
        <f t="shared" si="5"/>
        <v>113950</v>
      </c>
      <c r="F71" t="s">
        <v>27</v>
      </c>
      <c r="G71">
        <v>100000</v>
      </c>
    </row>
    <row r="72" spans="1:9" x14ac:dyDescent="0.3">
      <c r="A72" t="str">
        <f t="shared" si="4"/>
        <v>s1_pass_69</v>
      </c>
      <c r="B72" t="s">
        <v>0</v>
      </c>
      <c r="C72" t="s">
        <v>26</v>
      </c>
      <c r="D72">
        <v>69</v>
      </c>
      <c r="E72">
        <f t="shared" si="5"/>
        <v>117350</v>
      </c>
      <c r="F72" t="s">
        <v>29</v>
      </c>
      <c r="G72">
        <v>300</v>
      </c>
    </row>
    <row r="73" spans="1:9" x14ac:dyDescent="0.3">
      <c r="A73" t="str">
        <f t="shared" si="4"/>
        <v>s1_pass_70</v>
      </c>
      <c r="B73" t="s">
        <v>0</v>
      </c>
      <c r="C73" t="s">
        <v>26</v>
      </c>
      <c r="D73">
        <v>70</v>
      </c>
      <c r="E73">
        <f t="shared" si="5"/>
        <v>120800</v>
      </c>
      <c r="F73" t="s">
        <v>51</v>
      </c>
      <c r="G73">
        <v>1</v>
      </c>
      <c r="I73" t="s">
        <v>38</v>
      </c>
    </row>
    <row r="74" spans="1:9" x14ac:dyDescent="0.3">
      <c r="A74" t="str">
        <f t="shared" si="4"/>
        <v>s1_pass_71</v>
      </c>
      <c r="B74" t="s">
        <v>0</v>
      </c>
      <c r="C74" t="s">
        <v>26</v>
      </c>
      <c r="D74">
        <v>71</v>
      </c>
      <c r="E74">
        <f t="shared" si="5"/>
        <v>124300</v>
      </c>
      <c r="F74" t="s">
        <v>27</v>
      </c>
      <c r="G74">
        <v>50000</v>
      </c>
    </row>
    <row r="75" spans="1:9" x14ac:dyDescent="0.3">
      <c r="A75" t="str">
        <f t="shared" si="4"/>
        <v>s1_pass_72</v>
      </c>
      <c r="B75" t="s">
        <v>0</v>
      </c>
      <c r="C75" t="s">
        <v>26</v>
      </c>
      <c r="D75">
        <v>72</v>
      </c>
      <c r="E75">
        <f t="shared" si="5"/>
        <v>127850</v>
      </c>
      <c r="F75" t="s">
        <v>29</v>
      </c>
      <c r="G75">
        <v>150</v>
      </c>
    </row>
    <row r="76" spans="1:9" x14ac:dyDescent="0.3">
      <c r="A76" t="str">
        <f t="shared" si="4"/>
        <v>s1_pass_73</v>
      </c>
      <c r="B76" t="s">
        <v>0</v>
      </c>
      <c r="C76" t="s">
        <v>26</v>
      </c>
      <c r="D76">
        <v>73</v>
      </c>
      <c r="E76">
        <f t="shared" si="5"/>
        <v>131450</v>
      </c>
      <c r="F76" t="s">
        <v>30</v>
      </c>
      <c r="G76">
        <v>5</v>
      </c>
    </row>
    <row r="77" spans="1:9" x14ac:dyDescent="0.3">
      <c r="A77" t="str">
        <f t="shared" si="4"/>
        <v>s1_pass_74</v>
      </c>
      <c r="B77" t="s">
        <v>0</v>
      </c>
      <c r="C77" t="s">
        <v>26</v>
      </c>
      <c r="D77">
        <v>74</v>
      </c>
      <c r="E77">
        <f t="shared" si="5"/>
        <v>135100</v>
      </c>
      <c r="F77" t="s">
        <v>27</v>
      </c>
      <c r="G77">
        <v>75000</v>
      </c>
    </row>
    <row r="78" spans="1:9" x14ac:dyDescent="0.3">
      <c r="A78" t="str">
        <f t="shared" si="4"/>
        <v>s1_pass_75</v>
      </c>
      <c r="B78" t="s">
        <v>0</v>
      </c>
      <c r="C78" t="s">
        <v>26</v>
      </c>
      <c r="D78">
        <v>75</v>
      </c>
      <c r="E78">
        <f t="shared" si="5"/>
        <v>138800</v>
      </c>
      <c r="F78" t="s">
        <v>32</v>
      </c>
      <c r="G78">
        <v>30</v>
      </c>
    </row>
    <row r="79" spans="1:9" x14ac:dyDescent="0.3">
      <c r="A79" t="str">
        <f t="shared" si="4"/>
        <v>s1_pass_76</v>
      </c>
      <c r="B79" t="s">
        <v>0</v>
      </c>
      <c r="C79" t="s">
        <v>26</v>
      </c>
      <c r="D79">
        <v>76</v>
      </c>
      <c r="E79">
        <f t="shared" si="5"/>
        <v>142550</v>
      </c>
      <c r="F79" t="s">
        <v>34</v>
      </c>
      <c r="G79">
        <v>15</v>
      </c>
    </row>
    <row r="80" spans="1:9" x14ac:dyDescent="0.3">
      <c r="A80" t="str">
        <f t="shared" si="4"/>
        <v>s1_pass_77</v>
      </c>
      <c r="B80" t="s">
        <v>0</v>
      </c>
      <c r="C80" t="s">
        <v>26</v>
      </c>
      <c r="D80">
        <v>77</v>
      </c>
      <c r="E80">
        <f t="shared" si="5"/>
        <v>146350</v>
      </c>
      <c r="F80" t="s">
        <v>35</v>
      </c>
      <c r="G80">
        <v>3</v>
      </c>
    </row>
    <row r="81" spans="1:9" x14ac:dyDescent="0.3">
      <c r="A81" t="str">
        <f t="shared" si="4"/>
        <v>s1_pass_78</v>
      </c>
      <c r="B81" t="s">
        <v>0</v>
      </c>
      <c r="C81" t="s">
        <v>26</v>
      </c>
      <c r="D81">
        <v>78</v>
      </c>
      <c r="E81">
        <f t="shared" si="5"/>
        <v>150200</v>
      </c>
      <c r="F81" t="s">
        <v>27</v>
      </c>
      <c r="G81">
        <v>100000</v>
      </c>
    </row>
    <row r="82" spans="1:9" x14ac:dyDescent="0.3">
      <c r="A82" t="str">
        <f t="shared" si="4"/>
        <v>s1_pass_79</v>
      </c>
      <c r="B82" t="s">
        <v>0</v>
      </c>
      <c r="C82" t="s">
        <v>26</v>
      </c>
      <c r="D82">
        <v>79</v>
      </c>
      <c r="E82">
        <f t="shared" si="5"/>
        <v>154100</v>
      </c>
      <c r="F82" t="s">
        <v>29</v>
      </c>
      <c r="G82">
        <v>300</v>
      </c>
    </row>
    <row r="83" spans="1:9" x14ac:dyDescent="0.3">
      <c r="A83" t="str">
        <f t="shared" si="4"/>
        <v>s1_pass_80</v>
      </c>
      <c r="B83" t="s">
        <v>0</v>
      </c>
      <c r="C83" t="s">
        <v>26</v>
      </c>
      <c r="D83">
        <v>80</v>
      </c>
      <c r="E83">
        <f t="shared" si="5"/>
        <v>158050</v>
      </c>
      <c r="F83" t="s">
        <v>52</v>
      </c>
      <c r="G83">
        <v>5</v>
      </c>
      <c r="I83" t="s">
        <v>38</v>
      </c>
    </row>
    <row r="84" spans="1:9" x14ac:dyDescent="0.3">
      <c r="A84" t="str">
        <f t="shared" si="4"/>
        <v>s1_pass_81</v>
      </c>
      <c r="B84" t="s">
        <v>0</v>
      </c>
      <c r="C84" t="s">
        <v>26</v>
      </c>
      <c r="D84">
        <v>81</v>
      </c>
      <c r="E84">
        <f t="shared" si="5"/>
        <v>162050</v>
      </c>
      <c r="F84" t="s">
        <v>27</v>
      </c>
      <c r="G84">
        <v>50000</v>
      </c>
    </row>
    <row r="85" spans="1:9" x14ac:dyDescent="0.3">
      <c r="A85" t="str">
        <f t="shared" si="4"/>
        <v>s1_pass_82</v>
      </c>
      <c r="B85" t="s">
        <v>0</v>
      </c>
      <c r="C85" t="s">
        <v>26</v>
      </c>
      <c r="D85">
        <v>82</v>
      </c>
      <c r="E85">
        <f t="shared" si="5"/>
        <v>166100</v>
      </c>
      <c r="F85" t="s">
        <v>29</v>
      </c>
      <c r="G85">
        <v>150</v>
      </c>
    </row>
    <row r="86" spans="1:9" x14ac:dyDescent="0.3">
      <c r="A86" t="str">
        <f t="shared" si="4"/>
        <v>s1_pass_83</v>
      </c>
      <c r="B86" t="s">
        <v>0</v>
      </c>
      <c r="C86" t="s">
        <v>26</v>
      </c>
      <c r="D86">
        <v>83</v>
      </c>
      <c r="E86">
        <f t="shared" si="5"/>
        <v>170200</v>
      </c>
      <c r="F86" t="s">
        <v>30</v>
      </c>
      <c r="G86">
        <v>5</v>
      </c>
    </row>
    <row r="87" spans="1:9" x14ac:dyDescent="0.3">
      <c r="A87" t="str">
        <f t="shared" si="4"/>
        <v>s1_pass_84</v>
      </c>
      <c r="B87" t="s">
        <v>0</v>
      </c>
      <c r="C87" t="s">
        <v>26</v>
      </c>
      <c r="D87">
        <v>84</v>
      </c>
      <c r="E87">
        <f t="shared" si="5"/>
        <v>174350</v>
      </c>
      <c r="F87" t="s">
        <v>27</v>
      </c>
      <c r="G87">
        <v>75000</v>
      </c>
    </row>
    <row r="88" spans="1:9" x14ac:dyDescent="0.3">
      <c r="A88" t="str">
        <f t="shared" si="4"/>
        <v>s1_pass_85</v>
      </c>
      <c r="B88" t="s">
        <v>0</v>
      </c>
      <c r="C88" t="s">
        <v>26</v>
      </c>
      <c r="D88">
        <v>85</v>
      </c>
      <c r="E88">
        <f t="shared" si="5"/>
        <v>178550</v>
      </c>
      <c r="F88" t="s">
        <v>32</v>
      </c>
      <c r="G88">
        <v>30</v>
      </c>
    </row>
    <row r="89" spans="1:9" x14ac:dyDescent="0.3">
      <c r="A89" t="str">
        <f t="shared" si="4"/>
        <v>s1_pass_86</v>
      </c>
      <c r="B89" t="s">
        <v>0</v>
      </c>
      <c r="C89" t="s">
        <v>26</v>
      </c>
      <c r="D89">
        <v>86</v>
      </c>
      <c r="E89">
        <f t="shared" si="5"/>
        <v>182800</v>
      </c>
      <c r="F89" t="s">
        <v>34</v>
      </c>
      <c r="G89">
        <v>15</v>
      </c>
    </row>
    <row r="90" spans="1:9" x14ac:dyDescent="0.3">
      <c r="A90" t="str">
        <f t="shared" si="4"/>
        <v>s1_pass_87</v>
      </c>
      <c r="B90" t="s">
        <v>0</v>
      </c>
      <c r="C90" t="s">
        <v>26</v>
      </c>
      <c r="D90">
        <v>87</v>
      </c>
      <c r="E90">
        <f t="shared" si="5"/>
        <v>187100</v>
      </c>
      <c r="F90" t="s">
        <v>35</v>
      </c>
      <c r="G90">
        <v>3</v>
      </c>
    </row>
    <row r="91" spans="1:9" x14ac:dyDescent="0.3">
      <c r="A91" t="str">
        <f t="shared" si="4"/>
        <v>s1_pass_88</v>
      </c>
      <c r="B91" t="s">
        <v>0</v>
      </c>
      <c r="C91" t="s">
        <v>26</v>
      </c>
      <c r="D91">
        <v>88</v>
      </c>
      <c r="E91">
        <f t="shared" si="5"/>
        <v>191450</v>
      </c>
      <c r="F91" t="s">
        <v>27</v>
      </c>
      <c r="G91">
        <v>100000</v>
      </c>
    </row>
    <row r="92" spans="1:9" x14ac:dyDescent="0.3">
      <c r="A92" t="str">
        <f t="shared" si="4"/>
        <v>s1_pass_89</v>
      </c>
      <c r="B92" t="s">
        <v>0</v>
      </c>
      <c r="C92" t="s">
        <v>26</v>
      </c>
      <c r="D92">
        <v>89</v>
      </c>
      <c r="E92">
        <f t="shared" si="5"/>
        <v>195850</v>
      </c>
      <c r="F92" t="s">
        <v>29</v>
      </c>
      <c r="G92">
        <v>300</v>
      </c>
    </row>
    <row r="93" spans="1:9" x14ac:dyDescent="0.3">
      <c r="A93" t="str">
        <f t="shared" si="4"/>
        <v>s1_pass_90</v>
      </c>
      <c r="B93" t="s">
        <v>0</v>
      </c>
      <c r="C93" t="s">
        <v>26</v>
      </c>
      <c r="D93">
        <v>90</v>
      </c>
      <c r="E93">
        <f t="shared" si="5"/>
        <v>200300</v>
      </c>
      <c r="F93" t="s">
        <v>32</v>
      </c>
      <c r="G93">
        <v>300</v>
      </c>
      <c r="I93" t="s">
        <v>38</v>
      </c>
    </row>
    <row r="94" spans="1:9" x14ac:dyDescent="0.3">
      <c r="A94" t="str">
        <f t="shared" si="4"/>
        <v>s1_pass_91</v>
      </c>
      <c r="B94" t="s">
        <v>0</v>
      </c>
      <c r="C94" t="s">
        <v>26</v>
      </c>
      <c r="D94">
        <v>91</v>
      </c>
      <c r="E94">
        <f t="shared" si="5"/>
        <v>204800</v>
      </c>
      <c r="F94" t="s">
        <v>27</v>
      </c>
      <c r="G94">
        <v>50000</v>
      </c>
    </row>
    <row r="95" spans="1:9" x14ac:dyDescent="0.3">
      <c r="A95" t="str">
        <f t="shared" si="4"/>
        <v>s1_pass_92</v>
      </c>
      <c r="B95" t="s">
        <v>0</v>
      </c>
      <c r="C95" t="s">
        <v>26</v>
      </c>
      <c r="D95">
        <v>92</v>
      </c>
      <c r="E95">
        <f t="shared" si="5"/>
        <v>209350</v>
      </c>
      <c r="F95" t="s">
        <v>29</v>
      </c>
      <c r="G95">
        <v>150</v>
      </c>
    </row>
    <row r="96" spans="1:9" x14ac:dyDescent="0.3">
      <c r="A96" t="str">
        <f t="shared" si="4"/>
        <v>s1_pass_93</v>
      </c>
      <c r="B96" t="s">
        <v>0</v>
      </c>
      <c r="C96" t="s">
        <v>26</v>
      </c>
      <c r="D96">
        <v>93</v>
      </c>
      <c r="E96">
        <f t="shared" si="5"/>
        <v>213950</v>
      </c>
      <c r="F96" t="s">
        <v>30</v>
      </c>
      <c r="G96">
        <v>5</v>
      </c>
    </row>
    <row r="97" spans="1:9" x14ac:dyDescent="0.3">
      <c r="A97" t="str">
        <f t="shared" si="4"/>
        <v>s1_pass_94</v>
      </c>
      <c r="B97" t="s">
        <v>0</v>
      </c>
      <c r="C97" t="s">
        <v>26</v>
      </c>
      <c r="D97">
        <v>94</v>
      </c>
      <c r="E97">
        <f t="shared" si="5"/>
        <v>218600</v>
      </c>
      <c r="F97" t="s">
        <v>27</v>
      </c>
      <c r="G97">
        <v>75000</v>
      </c>
    </row>
    <row r="98" spans="1:9" x14ac:dyDescent="0.3">
      <c r="A98" t="str">
        <f t="shared" si="4"/>
        <v>s1_pass_95</v>
      </c>
      <c r="B98" t="s">
        <v>0</v>
      </c>
      <c r="C98" t="s">
        <v>26</v>
      </c>
      <c r="D98">
        <v>95</v>
      </c>
      <c r="E98">
        <f t="shared" si="5"/>
        <v>223300</v>
      </c>
      <c r="F98" t="s">
        <v>32</v>
      </c>
      <c r="G98">
        <v>30</v>
      </c>
    </row>
    <row r="99" spans="1:9" x14ac:dyDescent="0.3">
      <c r="A99" t="str">
        <f t="shared" si="4"/>
        <v>s1_pass_96</v>
      </c>
      <c r="B99" t="s">
        <v>0</v>
      </c>
      <c r="C99" t="s">
        <v>26</v>
      </c>
      <c r="D99">
        <v>96</v>
      </c>
      <c r="E99">
        <f t="shared" si="5"/>
        <v>228050</v>
      </c>
      <c r="F99" t="s">
        <v>34</v>
      </c>
      <c r="G99">
        <v>15</v>
      </c>
    </row>
    <row r="100" spans="1:9" x14ac:dyDescent="0.3">
      <c r="A100" t="str">
        <f t="shared" si="4"/>
        <v>s1_pass_97</v>
      </c>
      <c r="B100" t="s">
        <v>0</v>
      </c>
      <c r="C100" t="s">
        <v>26</v>
      </c>
      <c r="D100">
        <v>97</v>
      </c>
      <c r="E100">
        <f t="shared" si="5"/>
        <v>232850</v>
      </c>
      <c r="F100" t="s">
        <v>35</v>
      </c>
      <c r="G100">
        <v>3</v>
      </c>
    </row>
    <row r="101" spans="1:9" x14ac:dyDescent="0.3">
      <c r="A101" t="str">
        <f t="shared" si="4"/>
        <v>s1_pass_98</v>
      </c>
      <c r="B101" t="s">
        <v>0</v>
      </c>
      <c r="C101" t="s">
        <v>26</v>
      </c>
      <c r="D101">
        <v>98</v>
      </c>
      <c r="E101">
        <f t="shared" si="5"/>
        <v>237700</v>
      </c>
      <c r="F101" t="s">
        <v>27</v>
      </c>
      <c r="G101">
        <v>100000</v>
      </c>
    </row>
    <row r="102" spans="1:9" x14ac:dyDescent="0.3">
      <c r="A102" t="str">
        <f t="shared" si="4"/>
        <v>s1_pass_99</v>
      </c>
      <c r="B102" t="s">
        <v>0</v>
      </c>
      <c r="C102" t="s">
        <v>26</v>
      </c>
      <c r="D102">
        <v>99</v>
      </c>
      <c r="E102">
        <f t="shared" si="5"/>
        <v>242600</v>
      </c>
      <c r="F102" t="s">
        <v>29</v>
      </c>
      <c r="G102">
        <v>300</v>
      </c>
    </row>
    <row r="103" spans="1:9" x14ac:dyDescent="0.3">
      <c r="A103" t="str">
        <f t="shared" si="4"/>
        <v>s1_pass_100</v>
      </c>
      <c r="B103" t="s">
        <v>0</v>
      </c>
      <c r="C103" t="s">
        <v>26</v>
      </c>
      <c r="D103">
        <v>100</v>
      </c>
      <c r="E103">
        <f t="shared" si="5"/>
        <v>247550</v>
      </c>
      <c r="F103" t="s">
        <v>53</v>
      </c>
      <c r="G103">
        <v>1</v>
      </c>
      <c r="I103" t="s">
        <v>38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workbookViewId="0">
      <selection activeCell="J21" sqref="J21"/>
    </sheetView>
  </sheetViews>
  <sheetFormatPr defaultRowHeight="16.5" x14ac:dyDescent="0.3"/>
  <cols>
    <col min="1" max="1" width="13.375" customWidth="1"/>
    <col min="2" max="2" width="14.875" customWidth="1"/>
    <col min="3" max="3" width="19.5" customWidth="1"/>
    <col min="4" max="4" width="14.875" customWidth="1"/>
    <col min="5" max="5" width="20.375" customWidth="1"/>
    <col min="6" max="6" width="15.625" customWidth="1"/>
    <col min="7" max="7" width="20.375" customWidth="1"/>
    <col min="8" max="9" width="23.125" customWidth="1"/>
    <col min="10" max="10" width="15.625" customWidth="1"/>
    <col min="11" max="11" width="16.125" customWidth="1"/>
    <col min="12" max="12" width="22.125" customWidth="1"/>
    <col min="13" max="13" width="13.5" customWidth="1"/>
    <col min="14" max="14" width="11.625" customWidth="1"/>
    <col min="15" max="15" width="13.75" customWidth="1"/>
    <col min="16" max="16" width="36" customWidth="1"/>
    <col min="17" max="17" width="15.625" customWidth="1"/>
    <col min="18" max="18" width="16.125" customWidth="1"/>
    <col min="19" max="19" width="22.125" customWidth="1"/>
    <col min="20" max="20" width="13.5" customWidth="1"/>
    <col min="21" max="21" width="11.625" customWidth="1"/>
    <col min="22" max="22" width="13.75" customWidth="1"/>
    <col min="23" max="23" width="36" customWidth="1"/>
  </cols>
  <sheetData>
    <row r="1" spans="1:23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</row>
    <row r="2" spans="1:23" x14ac:dyDescent="0.3">
      <c r="A2" t="s">
        <v>1</v>
      </c>
      <c r="C2" t="s">
        <v>2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9</v>
      </c>
      <c r="N2" t="s">
        <v>10</v>
      </c>
      <c r="O2" t="s">
        <v>11</v>
      </c>
      <c r="P2" t="s">
        <v>12</v>
      </c>
      <c r="Q2" t="s">
        <v>60</v>
      </c>
      <c r="R2" t="s">
        <v>61</v>
      </c>
      <c r="S2" t="s">
        <v>62</v>
      </c>
      <c r="T2" t="s">
        <v>9</v>
      </c>
      <c r="U2" t="s">
        <v>10</v>
      </c>
      <c r="V2" t="s">
        <v>11</v>
      </c>
      <c r="W2" t="s">
        <v>12</v>
      </c>
    </row>
    <row r="3" spans="1:23" s="1" customForma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68</v>
      </c>
      <c r="J3" s="1" t="s">
        <v>67</v>
      </c>
      <c r="K3" s="1" t="s">
        <v>18</v>
      </c>
      <c r="L3" s="1" t="s">
        <v>69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</row>
    <row r="4" spans="1:23" x14ac:dyDescent="0.3">
      <c r="A4" t="str">
        <f t="shared" ref="A4:A13" si="0">C4&amp;"_level_"&amp;D4</f>
        <v>s1_level_1</v>
      </c>
      <c r="B4" t="s">
        <v>0</v>
      </c>
      <c r="C4" t="s">
        <v>26</v>
      </c>
      <c r="D4">
        <v>1</v>
      </c>
      <c r="E4" t="s">
        <v>77</v>
      </c>
      <c r="F4" t="s">
        <v>78</v>
      </c>
      <c r="G4" s="16" t="s">
        <v>939</v>
      </c>
      <c r="H4">
        <v>0</v>
      </c>
      <c r="I4">
        <v>1</v>
      </c>
      <c r="J4" t="s">
        <v>79</v>
      </c>
      <c r="K4" t="s">
        <v>27</v>
      </c>
      <c r="L4">
        <v>100000</v>
      </c>
      <c r="Q4" t="s">
        <v>80</v>
      </c>
      <c r="R4" t="s">
        <v>27</v>
      </c>
      <c r="S4">
        <v>50000</v>
      </c>
    </row>
    <row r="5" spans="1:23" x14ac:dyDescent="0.3">
      <c r="A5" t="str">
        <f t="shared" si="0"/>
        <v>s1_level_2</v>
      </c>
      <c r="B5" t="s">
        <v>0</v>
      </c>
      <c r="C5" t="s">
        <v>26</v>
      </c>
      <c r="D5">
        <v>2</v>
      </c>
      <c r="E5" t="s">
        <v>77</v>
      </c>
      <c r="F5" t="s">
        <v>81</v>
      </c>
      <c r="G5" s="16" t="s">
        <v>939</v>
      </c>
      <c r="H5">
        <v>200</v>
      </c>
      <c r="I5">
        <v>1</v>
      </c>
      <c r="J5" t="s">
        <v>80</v>
      </c>
      <c r="K5" t="s">
        <v>27</v>
      </c>
      <c r="L5">
        <v>100000</v>
      </c>
      <c r="Q5" t="s">
        <v>80</v>
      </c>
      <c r="R5" t="s">
        <v>29</v>
      </c>
      <c r="S5">
        <v>200</v>
      </c>
    </row>
    <row r="6" spans="1:23" x14ac:dyDescent="0.3">
      <c r="A6" t="str">
        <f t="shared" si="0"/>
        <v>s1_level_3</v>
      </c>
      <c r="B6" t="s">
        <v>0</v>
      </c>
      <c r="C6" t="s">
        <v>26</v>
      </c>
      <c r="D6">
        <v>3</v>
      </c>
      <c r="E6" t="s">
        <v>82</v>
      </c>
      <c r="F6" t="s">
        <v>83</v>
      </c>
      <c r="G6" s="16" t="s">
        <v>939</v>
      </c>
      <c r="H6">
        <v>450</v>
      </c>
      <c r="I6">
        <v>2</v>
      </c>
      <c r="J6" t="s">
        <v>79</v>
      </c>
      <c r="K6" t="s">
        <v>27</v>
      </c>
      <c r="L6">
        <v>100000</v>
      </c>
      <c r="Q6" t="s">
        <v>80</v>
      </c>
      <c r="R6" t="s">
        <v>32</v>
      </c>
      <c r="S6">
        <v>50</v>
      </c>
    </row>
    <row r="7" spans="1:23" x14ac:dyDescent="0.3">
      <c r="A7" t="str">
        <f t="shared" si="0"/>
        <v>s1_level_4</v>
      </c>
      <c r="B7" t="s">
        <v>0</v>
      </c>
      <c r="C7" t="s">
        <v>26</v>
      </c>
      <c r="D7">
        <v>4</v>
      </c>
      <c r="E7" t="s">
        <v>82</v>
      </c>
      <c r="F7" t="s">
        <v>84</v>
      </c>
      <c r="G7" s="16" t="s">
        <v>939</v>
      </c>
      <c r="H7">
        <v>800</v>
      </c>
      <c r="I7">
        <v>2</v>
      </c>
      <c r="J7" t="s">
        <v>80</v>
      </c>
      <c r="K7" t="s">
        <v>30</v>
      </c>
      <c r="L7">
        <v>5</v>
      </c>
      <c r="Q7" t="s">
        <v>80</v>
      </c>
      <c r="R7" t="s">
        <v>27</v>
      </c>
      <c r="S7">
        <v>150000</v>
      </c>
    </row>
    <row r="8" spans="1:23" x14ac:dyDescent="0.3">
      <c r="A8" t="str">
        <f t="shared" si="0"/>
        <v>s1_level_5</v>
      </c>
      <c r="B8" t="s">
        <v>0</v>
      </c>
      <c r="C8" t="s">
        <v>26</v>
      </c>
      <c r="D8">
        <v>5</v>
      </c>
      <c r="E8" t="s">
        <v>85</v>
      </c>
      <c r="F8" t="s">
        <v>86</v>
      </c>
      <c r="G8" s="16" t="s">
        <v>939</v>
      </c>
      <c r="H8">
        <v>1250</v>
      </c>
      <c r="I8">
        <v>3</v>
      </c>
      <c r="J8" t="s">
        <v>79</v>
      </c>
      <c r="K8" t="s">
        <v>27</v>
      </c>
      <c r="L8">
        <v>100000</v>
      </c>
      <c r="Q8" t="s">
        <v>80</v>
      </c>
      <c r="R8" t="s">
        <v>34</v>
      </c>
      <c r="S8">
        <v>30</v>
      </c>
    </row>
    <row r="9" spans="1:23" x14ac:dyDescent="0.3">
      <c r="A9" t="str">
        <f t="shared" si="0"/>
        <v>s1_level_6</v>
      </c>
      <c r="B9" t="s">
        <v>0</v>
      </c>
      <c r="C9" t="s">
        <v>26</v>
      </c>
      <c r="D9">
        <v>6</v>
      </c>
      <c r="E9" t="s">
        <v>85</v>
      </c>
      <c r="F9" t="s">
        <v>87</v>
      </c>
      <c r="G9" s="16" t="s">
        <v>939</v>
      </c>
      <c r="H9">
        <v>1800</v>
      </c>
      <c r="I9">
        <v>3</v>
      </c>
      <c r="J9" t="s">
        <v>80</v>
      </c>
      <c r="K9" t="s">
        <v>35</v>
      </c>
      <c r="L9">
        <v>5</v>
      </c>
      <c r="Q9" t="s">
        <v>80</v>
      </c>
      <c r="R9" t="s">
        <v>29</v>
      </c>
      <c r="S9">
        <v>400</v>
      </c>
    </row>
    <row r="10" spans="1:23" x14ac:dyDescent="0.3">
      <c r="A10" t="str">
        <f t="shared" si="0"/>
        <v>s1_level_7</v>
      </c>
      <c r="B10" t="s">
        <v>0</v>
      </c>
      <c r="C10" t="s">
        <v>26</v>
      </c>
      <c r="D10">
        <v>7</v>
      </c>
      <c r="E10" t="s">
        <v>88</v>
      </c>
      <c r="F10" t="s">
        <v>89</v>
      </c>
      <c r="G10" s="16" t="s">
        <v>939</v>
      </c>
      <c r="H10">
        <v>2450</v>
      </c>
      <c r="I10">
        <v>4</v>
      </c>
      <c r="J10" t="s">
        <v>79</v>
      </c>
      <c r="K10" t="s">
        <v>27</v>
      </c>
      <c r="L10">
        <v>100000</v>
      </c>
      <c r="Q10" t="s">
        <v>80</v>
      </c>
      <c r="R10" t="s">
        <v>50</v>
      </c>
      <c r="S10">
        <v>30</v>
      </c>
    </row>
    <row r="11" spans="1:23" x14ac:dyDescent="0.3">
      <c r="A11" t="str">
        <f t="shared" si="0"/>
        <v>s1_level_8</v>
      </c>
      <c r="B11" t="s">
        <v>0</v>
      </c>
      <c r="C11" t="s">
        <v>26</v>
      </c>
      <c r="D11">
        <v>8</v>
      </c>
      <c r="E11" t="s">
        <v>88</v>
      </c>
      <c r="F11" t="s">
        <v>90</v>
      </c>
      <c r="G11" s="16" t="s">
        <v>939</v>
      </c>
      <c r="H11">
        <v>3200</v>
      </c>
      <c r="I11">
        <v>4</v>
      </c>
      <c r="J11" t="s">
        <v>80</v>
      </c>
      <c r="K11" t="s">
        <v>32</v>
      </c>
      <c r="L11">
        <v>150</v>
      </c>
      <c r="Q11" t="s">
        <v>80</v>
      </c>
      <c r="R11" t="s">
        <v>34</v>
      </c>
      <c r="S11">
        <v>60</v>
      </c>
    </row>
    <row r="12" spans="1:23" x14ac:dyDescent="0.3">
      <c r="A12" t="str">
        <f t="shared" si="0"/>
        <v>s1_level_9</v>
      </c>
      <c r="B12" t="s">
        <v>0</v>
      </c>
      <c r="C12" t="s">
        <v>26</v>
      </c>
      <c r="D12">
        <v>9</v>
      </c>
      <c r="E12" t="s">
        <v>91</v>
      </c>
      <c r="F12" t="s">
        <v>92</v>
      </c>
      <c r="G12" s="16" t="s">
        <v>939</v>
      </c>
      <c r="H12">
        <v>4050</v>
      </c>
      <c r="I12">
        <v>5</v>
      </c>
      <c r="J12" t="s">
        <v>79</v>
      </c>
      <c r="K12" t="s">
        <v>27</v>
      </c>
      <c r="L12">
        <v>100000</v>
      </c>
      <c r="Q12" t="s">
        <v>80</v>
      </c>
      <c r="R12" t="s">
        <v>49</v>
      </c>
      <c r="S12">
        <v>2</v>
      </c>
    </row>
    <row r="13" spans="1:23" x14ac:dyDescent="0.3">
      <c r="A13" t="str">
        <f t="shared" si="0"/>
        <v>s1_level_10</v>
      </c>
      <c r="B13" t="s">
        <v>0</v>
      </c>
      <c r="C13" t="s">
        <v>26</v>
      </c>
      <c r="D13">
        <v>10</v>
      </c>
      <c r="E13" t="s">
        <v>91</v>
      </c>
      <c r="F13" t="s">
        <v>93</v>
      </c>
      <c r="G13" s="16" t="s">
        <v>939</v>
      </c>
      <c r="H13">
        <v>5000</v>
      </c>
      <c r="I13">
        <v>5</v>
      </c>
      <c r="J13" t="s">
        <v>80</v>
      </c>
      <c r="K13" t="s">
        <v>52</v>
      </c>
      <c r="L13">
        <v>5</v>
      </c>
      <c r="Q13" t="s">
        <v>80</v>
      </c>
      <c r="R13" t="s">
        <v>53</v>
      </c>
      <c r="S13">
        <v>1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6.5" x14ac:dyDescent="0.3"/>
  <cols>
    <col min="1" max="1" width="14.5" customWidth="1"/>
    <col min="2" max="2" width="14.875" customWidth="1"/>
    <col min="3" max="3" width="11.375" customWidth="1"/>
    <col min="4" max="5" width="17.75" customWidth="1"/>
    <col min="6" max="6" width="23.625" customWidth="1"/>
  </cols>
  <sheetData>
    <row r="1" spans="1:6" x14ac:dyDescent="0.3">
      <c r="A1" t="s">
        <v>0</v>
      </c>
      <c r="B1" t="s">
        <v>0</v>
      </c>
      <c r="E1" t="s">
        <v>0</v>
      </c>
      <c r="F1" t="s">
        <v>0</v>
      </c>
    </row>
    <row r="2" spans="1:6" s="10" customFormat="1" x14ac:dyDescent="0.3">
      <c r="A2" s="10" t="s">
        <v>94</v>
      </c>
      <c r="C2" s="10" t="s">
        <v>95</v>
      </c>
      <c r="D2" s="10" t="s">
        <v>96</v>
      </c>
      <c r="E2" s="10" t="s">
        <v>97</v>
      </c>
      <c r="F2" s="10" t="s">
        <v>98</v>
      </c>
    </row>
    <row r="3" spans="1:6" s="1" customFormat="1" x14ac:dyDescent="0.3">
      <c r="A3" s="1" t="s">
        <v>99</v>
      </c>
      <c r="B3" s="1" t="s">
        <v>14</v>
      </c>
      <c r="E3" s="1" t="s">
        <v>100</v>
      </c>
      <c r="F3" s="1" t="s">
        <v>101</v>
      </c>
    </row>
    <row r="4" spans="1:6" x14ac:dyDescent="0.3">
      <c r="A4" s="10" t="str">
        <f>_xlfn.TEXTJOIN("_",TRUE,C4,D4)</f>
        <v>survival</v>
      </c>
      <c r="B4" s="10" t="s">
        <v>0</v>
      </c>
      <c r="C4" s="10"/>
      <c r="D4" s="10" t="s">
        <v>102</v>
      </c>
      <c r="E4" s="10">
        <v>1</v>
      </c>
      <c r="F4" s="10" t="str">
        <f>"s1_node_"&amp;D4&amp;"_name"</f>
        <v>s1_node_survival_name</v>
      </c>
    </row>
    <row r="5" spans="1:6" x14ac:dyDescent="0.3">
      <c r="A5" s="10" t="str">
        <f>_xlfn.TEXTJOIN("_",TRUE,C5,D5)</f>
        <v>economy</v>
      </c>
      <c r="B5" s="10" t="s">
        <v>0</v>
      </c>
      <c r="C5" s="10"/>
      <c r="D5" s="10" t="s">
        <v>103</v>
      </c>
      <c r="E5" s="10">
        <v>2</v>
      </c>
      <c r="F5" s="10" t="str">
        <f>"s1_node_"&amp;D5&amp;"_name"</f>
        <v>s1_node_economy_name</v>
      </c>
    </row>
    <row r="6" spans="1:6" x14ac:dyDescent="0.3">
      <c r="A6" s="10" t="str">
        <f>_xlfn.TEXTJOIN("_",TRUE,C6,D6)</f>
        <v>relic</v>
      </c>
      <c r="B6" s="10" t="s">
        <v>0</v>
      </c>
      <c r="C6" s="10"/>
      <c r="D6" s="10" t="s">
        <v>104</v>
      </c>
      <c r="E6" s="10">
        <v>3</v>
      </c>
      <c r="F6" s="10" t="str">
        <f>"s1_node_"&amp;D6&amp;"_name"</f>
        <v>s1_node_relic_name</v>
      </c>
    </row>
    <row r="7" spans="1:6" x14ac:dyDescent="0.3">
      <c r="A7" s="10" t="str">
        <f>_xlfn.TEXTJOIN("_",TRUE,C7,D7)</f>
        <v>battle</v>
      </c>
      <c r="B7" s="10" t="s">
        <v>0</v>
      </c>
      <c r="C7" s="10"/>
      <c r="D7" s="10" t="s">
        <v>105</v>
      </c>
      <c r="E7" s="10">
        <v>4</v>
      </c>
      <c r="F7" s="10" t="str">
        <f>"s1_node_"&amp;D7&amp;"_name"</f>
        <v>s1_node_battle_name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7"/>
  <sheetViews>
    <sheetView tabSelected="1" workbookViewId="0">
      <selection activeCell="I15" sqref="I15"/>
    </sheetView>
  </sheetViews>
  <sheetFormatPr defaultRowHeight="16.5" x14ac:dyDescent="0.3"/>
  <cols>
    <col min="1" max="1" width="23.625" customWidth="1"/>
    <col min="2" max="2" width="14.875" customWidth="1"/>
    <col min="3" max="3" width="17.375" customWidth="1"/>
    <col min="4" max="4" width="13.125" customWidth="1"/>
    <col min="5" max="6" width="25.375" customWidth="1"/>
    <col min="7" max="7" width="23" customWidth="1"/>
    <col min="8" max="8" width="16.375" customWidth="1"/>
    <col min="9" max="9" width="22.375" customWidth="1"/>
    <col min="10" max="11" width="20.375" customWidth="1"/>
    <col min="12" max="12" width="15.75" customWidth="1"/>
    <col min="13" max="14" width="14.875" customWidth="1"/>
    <col min="15" max="15" width="24.375" customWidth="1"/>
    <col min="16" max="16" width="21.75" customWidth="1"/>
    <col min="17" max="19" width="20.375" customWidth="1"/>
    <col min="20" max="20" width="27.125" customWidth="1"/>
  </cols>
  <sheetData>
    <row r="1" spans="1:2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 x14ac:dyDescent="0.3">
      <c r="A2" t="s">
        <v>1</v>
      </c>
      <c r="C2" t="s">
        <v>2</v>
      </c>
      <c r="D2" t="s">
        <v>106</v>
      </c>
      <c r="E2" t="s">
        <v>107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s="10" t="s">
        <v>113</v>
      </c>
      <c r="L2" t="s">
        <v>112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</row>
    <row r="3" spans="1:20" s="1" customFormat="1" x14ac:dyDescent="0.3">
      <c r="A3" s="1" t="s">
        <v>13</v>
      </c>
      <c r="B3" s="1" t="s">
        <v>14</v>
      </c>
      <c r="C3" s="1" t="s">
        <v>15</v>
      </c>
      <c r="D3" s="1" t="s">
        <v>99</v>
      </c>
      <c r="E3" s="1" t="s">
        <v>122</v>
      </c>
      <c r="F3" s="1" t="s">
        <v>124</v>
      </c>
      <c r="G3" s="1" t="s">
        <v>123</v>
      </c>
      <c r="H3" s="1" t="s">
        <v>68</v>
      </c>
      <c r="I3" s="1" t="s">
        <v>125</v>
      </c>
      <c r="J3" s="1" t="s">
        <v>126</v>
      </c>
      <c r="L3" s="1" t="s">
        <v>127</v>
      </c>
      <c r="M3" s="1" t="s">
        <v>128</v>
      </c>
      <c r="N3" s="1" t="s">
        <v>129</v>
      </c>
      <c r="O3" s="1" t="s">
        <v>131</v>
      </c>
      <c r="P3" s="1" t="s">
        <v>132</v>
      </c>
      <c r="Q3" s="1" t="s">
        <v>133</v>
      </c>
      <c r="R3" s="1" t="s">
        <v>130</v>
      </c>
      <c r="S3" s="1" t="s">
        <v>134</v>
      </c>
      <c r="T3" s="1" t="s">
        <v>135</v>
      </c>
    </row>
    <row r="4" spans="1:20" x14ac:dyDescent="0.3">
      <c r="A4" s="10" t="str">
        <f t="shared" ref="A4:A67" si="0">_xlfn.TEXTJOIN("_",TRUE,C4,"node",D4,M4,N4)</f>
        <v>s1_node_survival_1_4</v>
      </c>
      <c r="B4" s="10" t="s">
        <v>0</v>
      </c>
      <c r="C4" s="10" t="s">
        <v>26</v>
      </c>
      <c r="D4" s="10" t="s">
        <v>102</v>
      </c>
      <c r="E4" s="10" t="s">
        <v>325</v>
      </c>
      <c r="F4" s="10" t="s">
        <v>326</v>
      </c>
      <c r="G4" s="10" t="s">
        <v>136</v>
      </c>
      <c r="H4" s="10">
        <v>1</v>
      </c>
      <c r="I4" s="10" t="s">
        <v>959</v>
      </c>
      <c r="J4" s="10" t="s">
        <v>137</v>
      </c>
      <c r="K4" s="10">
        <v>80</v>
      </c>
      <c r="L4" s="10">
        <v>3</v>
      </c>
      <c r="M4" s="10">
        <v>1</v>
      </c>
      <c r="N4" s="10">
        <v>4</v>
      </c>
      <c r="O4" s="10"/>
      <c r="P4" s="10"/>
      <c r="Q4" s="10"/>
      <c r="R4" s="10"/>
      <c r="S4" s="10"/>
      <c r="T4" s="10" t="str">
        <f t="shared" ref="T4:T67" si="1">_xlfn.TEXTJOIN("_",TRUE,C4,"node_eff",D4,M4,N4)</f>
        <v>s1_node_eff_survival_1_4</v>
      </c>
    </row>
    <row r="5" spans="1:20" x14ac:dyDescent="0.3">
      <c r="A5" s="10" t="str">
        <f t="shared" si="0"/>
        <v>s1_node_survival_2_2</v>
      </c>
      <c r="B5" s="10" t="s">
        <v>0</v>
      </c>
      <c r="C5" s="10" t="s">
        <v>26</v>
      </c>
      <c r="D5" s="10" t="s">
        <v>102</v>
      </c>
      <c r="E5" s="10" t="s">
        <v>328</v>
      </c>
      <c r="F5" s="10" t="s">
        <v>329</v>
      </c>
      <c r="G5" s="10" t="s">
        <v>136</v>
      </c>
      <c r="H5" s="10">
        <v>1</v>
      </c>
      <c r="I5" s="10" t="s">
        <v>959</v>
      </c>
      <c r="J5" s="10" t="s">
        <v>138</v>
      </c>
      <c r="K5" s="10">
        <v>120</v>
      </c>
      <c r="L5" s="10">
        <v>3</v>
      </c>
      <c r="M5" s="10">
        <v>2</v>
      </c>
      <c r="N5" s="10">
        <v>2</v>
      </c>
      <c r="O5" s="10" t="s">
        <v>139</v>
      </c>
      <c r="P5" s="10"/>
      <c r="Q5" s="10"/>
      <c r="R5" s="10"/>
      <c r="S5" s="10"/>
      <c r="T5" s="10" t="str">
        <f t="shared" si="1"/>
        <v>s1_node_eff_survival_2_2</v>
      </c>
    </row>
    <row r="6" spans="1:20" x14ac:dyDescent="0.3">
      <c r="A6" s="10" t="str">
        <f t="shared" si="0"/>
        <v>s1_node_survival_2_6</v>
      </c>
      <c r="B6" s="10" t="s">
        <v>0</v>
      </c>
      <c r="C6" s="10" t="s">
        <v>26</v>
      </c>
      <c r="D6" s="10" t="s">
        <v>102</v>
      </c>
      <c r="E6" s="10" t="s">
        <v>331</v>
      </c>
      <c r="F6" s="10" t="s">
        <v>332</v>
      </c>
      <c r="G6" s="10" t="s">
        <v>140</v>
      </c>
      <c r="H6" s="10">
        <v>1</v>
      </c>
      <c r="I6" s="10" t="s">
        <v>959</v>
      </c>
      <c r="J6" s="10" t="s">
        <v>138</v>
      </c>
      <c r="K6" s="10">
        <v>120</v>
      </c>
      <c r="L6" s="10">
        <v>3</v>
      </c>
      <c r="M6" s="10">
        <v>2</v>
      </c>
      <c r="N6" s="10">
        <v>6</v>
      </c>
      <c r="O6" s="10" t="s">
        <v>139</v>
      </c>
      <c r="P6" s="10"/>
      <c r="Q6" s="10"/>
      <c r="R6" s="10"/>
      <c r="S6" s="10"/>
      <c r="T6" s="10" t="str">
        <f t="shared" si="1"/>
        <v>s1_node_eff_survival_2_6</v>
      </c>
    </row>
    <row r="7" spans="1:20" x14ac:dyDescent="0.3">
      <c r="A7" s="10" t="str">
        <f t="shared" si="0"/>
        <v>s1_node_survival_3_2</v>
      </c>
      <c r="B7" s="10" t="s">
        <v>0</v>
      </c>
      <c r="C7" s="10" t="s">
        <v>26</v>
      </c>
      <c r="D7" s="10" t="s">
        <v>102</v>
      </c>
      <c r="E7" s="10" t="s">
        <v>337</v>
      </c>
      <c r="F7" s="10" t="s">
        <v>338</v>
      </c>
      <c r="G7" s="10" t="s">
        <v>140</v>
      </c>
      <c r="H7" s="10">
        <v>1</v>
      </c>
      <c r="I7" s="10" t="s">
        <v>959</v>
      </c>
      <c r="J7" s="10" t="s">
        <v>141</v>
      </c>
      <c r="K7" s="10">
        <v>150</v>
      </c>
      <c r="L7" s="10">
        <v>3</v>
      </c>
      <c r="M7" s="10">
        <v>3</v>
      </c>
      <c r="N7" s="10">
        <v>2</v>
      </c>
      <c r="O7" s="10" t="s">
        <v>142</v>
      </c>
      <c r="P7" s="10"/>
      <c r="Q7" s="10"/>
      <c r="R7" s="10"/>
      <c r="S7" s="10"/>
      <c r="T7" s="10" t="str">
        <f t="shared" si="1"/>
        <v>s1_node_eff_survival_3_2</v>
      </c>
    </row>
    <row r="8" spans="1:20" x14ac:dyDescent="0.3">
      <c r="A8" s="10" t="str">
        <f t="shared" si="0"/>
        <v>s1_node_survival_3_6</v>
      </c>
      <c r="B8" s="10" t="s">
        <v>0</v>
      </c>
      <c r="C8" s="10" t="s">
        <v>26</v>
      </c>
      <c r="D8" s="10" t="s">
        <v>102</v>
      </c>
      <c r="E8" s="10" t="s">
        <v>340</v>
      </c>
      <c r="F8" s="10" t="s">
        <v>341</v>
      </c>
      <c r="G8" s="10" t="s">
        <v>136</v>
      </c>
      <c r="H8" s="10">
        <v>1</v>
      </c>
      <c r="I8" s="10" t="s">
        <v>959</v>
      </c>
      <c r="J8" s="10" t="s">
        <v>141</v>
      </c>
      <c r="K8" s="10">
        <v>150</v>
      </c>
      <c r="L8" s="10">
        <v>3</v>
      </c>
      <c r="M8" s="10">
        <v>3</v>
      </c>
      <c r="N8" s="10">
        <v>6</v>
      </c>
      <c r="O8" s="10" t="s">
        <v>143</v>
      </c>
      <c r="P8" s="10"/>
      <c r="Q8" s="10"/>
      <c r="R8" s="10"/>
      <c r="S8" s="10"/>
      <c r="T8" s="10" t="str">
        <f t="shared" si="1"/>
        <v>s1_node_eff_survival_3_6</v>
      </c>
    </row>
    <row r="9" spans="1:20" x14ac:dyDescent="0.3">
      <c r="A9" s="10" t="str">
        <f t="shared" si="0"/>
        <v>s1_node_survival_4_2</v>
      </c>
      <c r="B9" s="10" t="s">
        <v>0</v>
      </c>
      <c r="C9" s="10" t="s">
        <v>26</v>
      </c>
      <c r="D9" s="10" t="s">
        <v>102</v>
      </c>
      <c r="E9" s="10" t="s">
        <v>343</v>
      </c>
      <c r="F9" s="10" t="s">
        <v>344</v>
      </c>
      <c r="G9" s="10" t="s">
        <v>136</v>
      </c>
      <c r="H9" s="10">
        <v>1</v>
      </c>
      <c r="I9" s="10" t="s">
        <v>959</v>
      </c>
      <c r="J9" s="10" t="s">
        <v>144</v>
      </c>
      <c r="K9" s="10">
        <v>180</v>
      </c>
      <c r="L9" s="10">
        <v>3</v>
      </c>
      <c r="M9" s="10">
        <v>4</v>
      </c>
      <c r="N9" s="10">
        <v>2</v>
      </c>
      <c r="O9" s="10" t="s">
        <v>145</v>
      </c>
      <c r="P9" s="10"/>
      <c r="Q9" s="10"/>
      <c r="R9" s="10"/>
      <c r="S9" s="10"/>
      <c r="T9" s="10" t="str">
        <f t="shared" si="1"/>
        <v>s1_node_eff_survival_4_2</v>
      </c>
    </row>
    <row r="10" spans="1:20" x14ac:dyDescent="0.3">
      <c r="A10" s="10" t="str">
        <f t="shared" si="0"/>
        <v>s1_node_survival_4_6</v>
      </c>
      <c r="B10" s="10" t="s">
        <v>0</v>
      </c>
      <c r="C10" s="10" t="s">
        <v>26</v>
      </c>
      <c r="D10" s="10" t="s">
        <v>102</v>
      </c>
      <c r="E10" s="10" t="s">
        <v>346</v>
      </c>
      <c r="F10" s="10" t="s">
        <v>347</v>
      </c>
      <c r="G10" s="10" t="s">
        <v>136</v>
      </c>
      <c r="H10" s="10">
        <v>1</v>
      </c>
      <c r="I10" s="10" t="s">
        <v>959</v>
      </c>
      <c r="J10" s="10" t="s">
        <v>144</v>
      </c>
      <c r="K10" s="10">
        <v>180</v>
      </c>
      <c r="L10" s="10">
        <v>3</v>
      </c>
      <c r="M10" s="10">
        <v>4</v>
      </c>
      <c r="N10" s="10">
        <v>6</v>
      </c>
      <c r="O10" s="10" t="s">
        <v>146</v>
      </c>
      <c r="P10" s="10"/>
      <c r="Q10" s="10"/>
      <c r="R10" s="10"/>
      <c r="S10" s="10"/>
      <c r="T10" s="10" t="str">
        <f t="shared" si="1"/>
        <v>s1_node_eff_survival_4_6</v>
      </c>
    </row>
    <row r="11" spans="1:20" x14ac:dyDescent="0.3">
      <c r="A11" s="10" t="str">
        <f t="shared" si="0"/>
        <v>s1_node_survival_5_2</v>
      </c>
      <c r="B11" s="10" t="s">
        <v>0</v>
      </c>
      <c r="C11" s="10" t="s">
        <v>26</v>
      </c>
      <c r="D11" s="10" t="s">
        <v>102</v>
      </c>
      <c r="E11" s="10" t="s">
        <v>349</v>
      </c>
      <c r="F11" s="10" t="s">
        <v>350</v>
      </c>
      <c r="G11" s="10" t="s">
        <v>147</v>
      </c>
      <c r="H11" s="10">
        <v>1</v>
      </c>
      <c r="I11" s="10" t="s">
        <v>959</v>
      </c>
      <c r="J11" s="10" t="s">
        <v>148</v>
      </c>
      <c r="K11" s="10">
        <v>220</v>
      </c>
      <c r="L11" s="10">
        <v>3</v>
      </c>
      <c r="M11" s="10">
        <v>5</v>
      </c>
      <c r="N11" s="10">
        <v>2</v>
      </c>
      <c r="O11" s="10" t="s">
        <v>149</v>
      </c>
      <c r="P11" s="10"/>
      <c r="Q11" s="10"/>
      <c r="R11" s="10"/>
      <c r="S11" s="10"/>
      <c r="T11" s="10" t="str">
        <f t="shared" si="1"/>
        <v>s1_node_eff_survival_5_2</v>
      </c>
    </row>
    <row r="12" spans="1:20" x14ac:dyDescent="0.3">
      <c r="A12" s="10" t="str">
        <f t="shared" si="0"/>
        <v>s1_node_survival_5_6</v>
      </c>
      <c r="B12" s="10" t="s">
        <v>0</v>
      </c>
      <c r="C12" s="10" t="s">
        <v>26</v>
      </c>
      <c r="D12" s="10" t="s">
        <v>102</v>
      </c>
      <c r="E12" s="10" t="s">
        <v>355</v>
      </c>
      <c r="F12" s="10" t="s">
        <v>356</v>
      </c>
      <c r="G12" s="10" t="s">
        <v>147</v>
      </c>
      <c r="H12" s="10">
        <v>1</v>
      </c>
      <c r="I12" s="10" t="s">
        <v>959</v>
      </c>
      <c r="J12" s="10" t="s">
        <v>148</v>
      </c>
      <c r="K12" s="10">
        <v>220</v>
      </c>
      <c r="L12" s="10">
        <v>3</v>
      </c>
      <c r="M12" s="10">
        <v>5</v>
      </c>
      <c r="N12" s="10">
        <v>6</v>
      </c>
      <c r="O12" s="10" t="s">
        <v>150</v>
      </c>
      <c r="P12" s="10"/>
      <c r="Q12" s="10"/>
      <c r="R12" s="10"/>
      <c r="S12" s="10"/>
      <c r="T12" s="10" t="str">
        <f t="shared" si="1"/>
        <v>s1_node_eff_survival_5_6</v>
      </c>
    </row>
    <row r="13" spans="1:20" x14ac:dyDescent="0.3">
      <c r="A13" s="10" t="str">
        <f t="shared" si="0"/>
        <v>s1_node_survival_6_4</v>
      </c>
      <c r="B13" s="10" t="s">
        <v>0</v>
      </c>
      <c r="C13" s="10" t="s">
        <v>26</v>
      </c>
      <c r="D13" s="10" t="s">
        <v>102</v>
      </c>
      <c r="E13" s="10" t="s">
        <v>358</v>
      </c>
      <c r="F13" s="10" t="s">
        <v>359</v>
      </c>
      <c r="G13" s="10" t="s">
        <v>136</v>
      </c>
      <c r="H13" s="10">
        <v>1</v>
      </c>
      <c r="I13" s="10" t="s">
        <v>959</v>
      </c>
      <c r="J13" s="10" t="s">
        <v>151</v>
      </c>
      <c r="K13" s="10">
        <v>250</v>
      </c>
      <c r="L13" s="10">
        <v>3</v>
      </c>
      <c r="M13" s="10">
        <v>6</v>
      </c>
      <c r="N13" s="10">
        <v>4</v>
      </c>
      <c r="O13" s="10" t="s">
        <v>152</v>
      </c>
      <c r="P13" s="10" t="s">
        <v>153</v>
      </c>
      <c r="Q13" s="10"/>
      <c r="R13" s="10"/>
      <c r="S13" s="10"/>
      <c r="T13" s="10" t="str">
        <f t="shared" si="1"/>
        <v>s1_node_eff_survival_6_4</v>
      </c>
    </row>
    <row r="14" spans="1:20" x14ac:dyDescent="0.3">
      <c r="A14" s="10" t="str">
        <f t="shared" si="0"/>
        <v>s1_node_survival_7_2</v>
      </c>
      <c r="B14" s="10" t="s">
        <v>0</v>
      </c>
      <c r="C14" s="10" t="s">
        <v>26</v>
      </c>
      <c r="D14" s="10" t="s">
        <v>102</v>
      </c>
      <c r="E14" s="10" t="s">
        <v>361</v>
      </c>
      <c r="F14" s="10" t="s">
        <v>362</v>
      </c>
      <c r="G14" s="10" t="s">
        <v>136</v>
      </c>
      <c r="H14" s="10">
        <v>1</v>
      </c>
      <c r="I14" s="10" t="s">
        <v>959</v>
      </c>
      <c r="J14" s="10" t="s">
        <v>154</v>
      </c>
      <c r="K14" s="10">
        <v>290</v>
      </c>
      <c r="L14" s="10">
        <v>3</v>
      </c>
      <c r="M14" s="10">
        <v>7</v>
      </c>
      <c r="N14" s="10">
        <v>2</v>
      </c>
      <c r="O14" s="10" t="s">
        <v>155</v>
      </c>
      <c r="P14" s="10"/>
      <c r="Q14" s="10"/>
      <c r="R14" s="10"/>
      <c r="S14" s="10"/>
      <c r="T14" s="10" t="str">
        <f t="shared" si="1"/>
        <v>s1_node_eff_survival_7_2</v>
      </c>
    </row>
    <row r="15" spans="1:20" x14ac:dyDescent="0.3">
      <c r="A15" s="10" t="str">
        <f t="shared" si="0"/>
        <v>s1_node_survival_7_6</v>
      </c>
      <c r="B15" s="10" t="s">
        <v>0</v>
      </c>
      <c r="C15" s="10" t="s">
        <v>26</v>
      </c>
      <c r="D15" s="10" t="s">
        <v>102</v>
      </c>
      <c r="E15" s="10" t="s">
        <v>364</v>
      </c>
      <c r="F15" s="10" t="s">
        <v>365</v>
      </c>
      <c r="G15" s="10" t="s">
        <v>140</v>
      </c>
      <c r="H15" s="10">
        <v>1</v>
      </c>
      <c r="I15" s="10" t="s">
        <v>959</v>
      </c>
      <c r="J15" s="10" t="s">
        <v>154</v>
      </c>
      <c r="K15" s="10">
        <v>290</v>
      </c>
      <c r="L15" s="10">
        <v>3</v>
      </c>
      <c r="M15" s="10">
        <v>7</v>
      </c>
      <c r="N15" s="10">
        <v>6</v>
      </c>
      <c r="O15" s="10" t="s">
        <v>155</v>
      </c>
      <c r="P15" s="10"/>
      <c r="Q15" s="10"/>
      <c r="R15" s="10"/>
      <c r="S15" s="10"/>
      <c r="T15" s="10" t="str">
        <f t="shared" si="1"/>
        <v>s1_node_eff_survival_7_6</v>
      </c>
    </row>
    <row r="16" spans="1:20" x14ac:dyDescent="0.3">
      <c r="A16" s="10" t="str">
        <f t="shared" si="0"/>
        <v>s1_node_survival_8_2</v>
      </c>
      <c r="B16" s="10" t="s">
        <v>0</v>
      </c>
      <c r="C16" s="10" t="s">
        <v>26</v>
      </c>
      <c r="D16" s="10" t="s">
        <v>102</v>
      </c>
      <c r="E16" s="10" t="s">
        <v>367</v>
      </c>
      <c r="F16" s="10" t="s">
        <v>368</v>
      </c>
      <c r="G16" s="10" t="s">
        <v>140</v>
      </c>
      <c r="H16" s="10">
        <v>1</v>
      </c>
      <c r="I16" s="10" t="s">
        <v>959</v>
      </c>
      <c r="J16" s="10" t="s">
        <v>156</v>
      </c>
      <c r="K16" s="10">
        <v>320</v>
      </c>
      <c r="L16" s="10">
        <v>3</v>
      </c>
      <c r="M16" s="10">
        <v>8</v>
      </c>
      <c r="N16" s="10">
        <v>2</v>
      </c>
      <c r="O16" s="10" t="s">
        <v>157</v>
      </c>
      <c r="P16" s="10"/>
      <c r="Q16" s="10"/>
      <c r="R16" s="10"/>
      <c r="S16" s="10"/>
      <c r="T16" s="10" t="str">
        <f t="shared" si="1"/>
        <v>s1_node_eff_survival_8_2</v>
      </c>
    </row>
    <row r="17" spans="1:20" x14ac:dyDescent="0.3">
      <c r="A17" s="10" t="str">
        <f t="shared" si="0"/>
        <v>s1_node_survival_8_6</v>
      </c>
      <c r="B17" s="10" t="s">
        <v>0</v>
      </c>
      <c r="C17" s="10" t="s">
        <v>26</v>
      </c>
      <c r="D17" s="10" t="s">
        <v>102</v>
      </c>
      <c r="E17" s="10" t="s">
        <v>370</v>
      </c>
      <c r="F17" s="10" t="s">
        <v>371</v>
      </c>
      <c r="G17" s="10" t="s">
        <v>136</v>
      </c>
      <c r="H17" s="10">
        <v>1</v>
      </c>
      <c r="I17" s="10" t="s">
        <v>959</v>
      </c>
      <c r="J17" s="10" t="s">
        <v>156</v>
      </c>
      <c r="K17" s="10">
        <v>320</v>
      </c>
      <c r="L17" s="10">
        <v>3</v>
      </c>
      <c r="M17" s="10">
        <v>8</v>
      </c>
      <c r="N17" s="10">
        <v>6</v>
      </c>
      <c r="O17" s="10" t="s">
        <v>158</v>
      </c>
      <c r="P17" s="10"/>
      <c r="Q17" s="10"/>
      <c r="R17" s="10"/>
      <c r="S17" s="10"/>
      <c r="T17" s="10" t="str">
        <f t="shared" si="1"/>
        <v>s1_node_eff_survival_8_6</v>
      </c>
    </row>
    <row r="18" spans="1:20" x14ac:dyDescent="0.3">
      <c r="A18" s="10" t="str">
        <f t="shared" si="0"/>
        <v>s1_node_survival_9_2</v>
      </c>
      <c r="B18" s="10" t="s">
        <v>0</v>
      </c>
      <c r="C18" s="10" t="s">
        <v>26</v>
      </c>
      <c r="D18" s="10" t="s">
        <v>102</v>
      </c>
      <c r="E18" s="10" t="s">
        <v>373</v>
      </c>
      <c r="F18" s="10" t="s">
        <v>374</v>
      </c>
      <c r="G18" s="10" t="s">
        <v>136</v>
      </c>
      <c r="H18" s="10">
        <v>1</v>
      </c>
      <c r="I18" s="10" t="s">
        <v>959</v>
      </c>
      <c r="J18" s="10" t="s">
        <v>159</v>
      </c>
      <c r="K18" s="10">
        <v>360</v>
      </c>
      <c r="L18" s="10">
        <v>3</v>
      </c>
      <c r="M18" s="10">
        <v>9</v>
      </c>
      <c r="N18" s="10">
        <v>2</v>
      </c>
      <c r="O18" s="10" t="s">
        <v>160</v>
      </c>
      <c r="P18" s="10"/>
      <c r="Q18" s="10"/>
      <c r="R18" s="10"/>
      <c r="S18" s="10"/>
      <c r="T18" s="10" t="str">
        <f t="shared" si="1"/>
        <v>s1_node_eff_survival_9_2</v>
      </c>
    </row>
    <row r="19" spans="1:20" x14ac:dyDescent="0.3">
      <c r="A19" s="10" t="str">
        <f t="shared" si="0"/>
        <v>s1_node_survival_9_6</v>
      </c>
      <c r="B19" s="10" t="s">
        <v>0</v>
      </c>
      <c r="C19" s="10" t="s">
        <v>26</v>
      </c>
      <c r="D19" s="10" t="s">
        <v>102</v>
      </c>
      <c r="E19" s="10" t="s">
        <v>376</v>
      </c>
      <c r="F19" s="10" t="s">
        <v>377</v>
      </c>
      <c r="G19" s="10" t="s">
        <v>136</v>
      </c>
      <c r="H19" s="10">
        <v>1</v>
      </c>
      <c r="I19" s="10" t="s">
        <v>959</v>
      </c>
      <c r="J19" s="10" t="s">
        <v>159</v>
      </c>
      <c r="K19" s="10">
        <v>360</v>
      </c>
      <c r="L19" s="10">
        <v>3</v>
      </c>
      <c r="M19" s="10">
        <v>9</v>
      </c>
      <c r="N19" s="10">
        <v>6</v>
      </c>
      <c r="O19" s="10" t="s">
        <v>161</v>
      </c>
      <c r="P19" s="10"/>
      <c r="Q19" s="10"/>
      <c r="R19" s="10"/>
      <c r="S19" s="10"/>
      <c r="T19" s="10" t="str">
        <f t="shared" si="1"/>
        <v>s1_node_eff_survival_9_6</v>
      </c>
    </row>
    <row r="20" spans="1:20" x14ac:dyDescent="0.3">
      <c r="A20" s="10" t="str">
        <f t="shared" si="0"/>
        <v>s1_node_survival_10_2</v>
      </c>
      <c r="B20" s="10" t="s">
        <v>0</v>
      </c>
      <c r="C20" s="10" t="s">
        <v>26</v>
      </c>
      <c r="D20" s="10" t="s">
        <v>102</v>
      </c>
      <c r="E20" s="10" t="s">
        <v>379</v>
      </c>
      <c r="F20" s="10" t="s">
        <v>380</v>
      </c>
      <c r="G20" s="10" t="s">
        <v>147</v>
      </c>
      <c r="H20" s="10">
        <v>1</v>
      </c>
      <c r="I20" s="10" t="s">
        <v>959</v>
      </c>
      <c r="J20" s="10" t="s">
        <v>162</v>
      </c>
      <c r="K20" s="10">
        <v>390</v>
      </c>
      <c r="L20" s="10">
        <v>3</v>
      </c>
      <c r="M20" s="10">
        <v>10</v>
      </c>
      <c r="N20" s="10">
        <v>2</v>
      </c>
      <c r="O20" s="10" t="s">
        <v>163</v>
      </c>
      <c r="P20" s="10"/>
      <c r="Q20" s="10"/>
      <c r="R20" s="10"/>
      <c r="S20" s="10"/>
      <c r="T20" s="10" t="str">
        <f t="shared" si="1"/>
        <v>s1_node_eff_survival_10_2</v>
      </c>
    </row>
    <row r="21" spans="1:20" x14ac:dyDescent="0.3">
      <c r="A21" s="10" t="str">
        <f t="shared" si="0"/>
        <v>s1_node_survival_10_6</v>
      </c>
      <c r="B21" s="10" t="s">
        <v>0</v>
      </c>
      <c r="C21" s="10" t="s">
        <v>26</v>
      </c>
      <c r="D21" s="10" t="s">
        <v>102</v>
      </c>
      <c r="E21" s="10" t="s">
        <v>388</v>
      </c>
      <c r="F21" s="10" t="s">
        <v>389</v>
      </c>
      <c r="G21" s="10" t="s">
        <v>147</v>
      </c>
      <c r="H21" s="10">
        <v>1</v>
      </c>
      <c r="I21" s="10" t="s">
        <v>959</v>
      </c>
      <c r="J21" s="10" t="s">
        <v>162</v>
      </c>
      <c r="K21" s="10">
        <v>390</v>
      </c>
      <c r="L21" s="10">
        <v>3</v>
      </c>
      <c r="M21" s="10">
        <v>10</v>
      </c>
      <c r="N21" s="10">
        <v>6</v>
      </c>
      <c r="O21" s="10" t="s">
        <v>164</v>
      </c>
      <c r="P21" s="10"/>
      <c r="Q21" s="10"/>
      <c r="R21" s="10"/>
      <c r="S21" s="10"/>
      <c r="T21" s="10" t="str">
        <f t="shared" si="1"/>
        <v>s1_node_eff_survival_10_6</v>
      </c>
    </row>
    <row r="22" spans="1:20" x14ac:dyDescent="0.3">
      <c r="A22" s="10" t="str">
        <f t="shared" si="0"/>
        <v>s1_node_survival_11_4</v>
      </c>
      <c r="B22" s="10" t="s">
        <v>0</v>
      </c>
      <c r="C22" s="10" t="s">
        <v>26</v>
      </c>
      <c r="D22" s="10" t="s">
        <v>102</v>
      </c>
      <c r="E22" s="10" t="s">
        <v>394</v>
      </c>
      <c r="F22" s="10" t="s">
        <v>395</v>
      </c>
      <c r="G22" s="10" t="s">
        <v>136</v>
      </c>
      <c r="H22" s="10">
        <v>1</v>
      </c>
      <c r="I22" s="10" t="s">
        <v>959</v>
      </c>
      <c r="J22" s="10" t="s">
        <v>165</v>
      </c>
      <c r="K22" s="10">
        <v>430</v>
      </c>
      <c r="L22" s="10">
        <v>3</v>
      </c>
      <c r="M22" s="10">
        <v>11</v>
      </c>
      <c r="N22" s="10">
        <v>4</v>
      </c>
      <c r="O22" s="10" t="s">
        <v>166</v>
      </c>
      <c r="P22" s="10" t="s">
        <v>167</v>
      </c>
      <c r="Q22" s="10"/>
      <c r="R22" s="10"/>
      <c r="S22" s="10"/>
      <c r="T22" s="10" t="str">
        <f t="shared" si="1"/>
        <v>s1_node_eff_survival_11_4</v>
      </c>
    </row>
    <row r="23" spans="1:20" x14ac:dyDescent="0.3">
      <c r="A23" s="10" t="str">
        <f t="shared" si="0"/>
        <v>s1_node_survival_12_2</v>
      </c>
      <c r="B23" s="10" t="s">
        <v>0</v>
      </c>
      <c r="C23" s="10" t="s">
        <v>26</v>
      </c>
      <c r="D23" s="10" t="s">
        <v>102</v>
      </c>
      <c r="E23" s="10" t="s">
        <v>397</v>
      </c>
      <c r="F23" s="10" t="s">
        <v>398</v>
      </c>
      <c r="G23" s="10" t="s">
        <v>136</v>
      </c>
      <c r="H23" s="10">
        <v>1</v>
      </c>
      <c r="I23" s="10" t="s">
        <v>959</v>
      </c>
      <c r="J23" s="10" t="s">
        <v>168</v>
      </c>
      <c r="K23" s="10">
        <v>460</v>
      </c>
      <c r="L23" s="10">
        <v>3</v>
      </c>
      <c r="M23" s="10">
        <v>12</v>
      </c>
      <c r="N23" s="10">
        <v>2</v>
      </c>
      <c r="O23" s="10" t="s">
        <v>169</v>
      </c>
      <c r="P23" s="10"/>
      <c r="Q23" s="10"/>
      <c r="R23" s="10"/>
      <c r="S23" s="10"/>
      <c r="T23" s="10" t="str">
        <f t="shared" si="1"/>
        <v>s1_node_eff_survival_12_2</v>
      </c>
    </row>
    <row r="24" spans="1:20" x14ac:dyDescent="0.3">
      <c r="A24" s="10" t="str">
        <f t="shared" si="0"/>
        <v>s1_node_survival_12_6</v>
      </c>
      <c r="B24" s="10" t="s">
        <v>0</v>
      </c>
      <c r="C24" s="10" t="s">
        <v>26</v>
      </c>
      <c r="D24" s="10" t="s">
        <v>102</v>
      </c>
      <c r="E24" s="10" t="s">
        <v>400</v>
      </c>
      <c r="F24" s="10" t="s">
        <v>401</v>
      </c>
      <c r="G24" s="10" t="s">
        <v>140</v>
      </c>
      <c r="H24" s="10">
        <v>1</v>
      </c>
      <c r="I24" s="10" t="s">
        <v>959</v>
      </c>
      <c r="J24" s="10" t="s">
        <v>168</v>
      </c>
      <c r="K24" s="10">
        <v>460</v>
      </c>
      <c r="L24" s="10">
        <v>3</v>
      </c>
      <c r="M24" s="10">
        <v>12</v>
      </c>
      <c r="N24" s="10">
        <v>6</v>
      </c>
      <c r="O24" s="10" t="s">
        <v>169</v>
      </c>
      <c r="P24" s="10"/>
      <c r="Q24" s="10"/>
      <c r="R24" s="10"/>
      <c r="S24" s="10"/>
      <c r="T24" s="10" t="str">
        <f t="shared" si="1"/>
        <v>s1_node_eff_survival_12_6</v>
      </c>
    </row>
    <row r="25" spans="1:20" x14ac:dyDescent="0.3">
      <c r="A25" s="10" t="str">
        <f t="shared" si="0"/>
        <v>s1_node_survival_13_2</v>
      </c>
      <c r="B25" s="10" t="s">
        <v>0</v>
      </c>
      <c r="C25" s="10" t="s">
        <v>26</v>
      </c>
      <c r="D25" s="10" t="s">
        <v>102</v>
      </c>
      <c r="E25" s="10" t="s">
        <v>403</v>
      </c>
      <c r="F25" s="10" t="s">
        <v>404</v>
      </c>
      <c r="G25" s="10" t="s">
        <v>140</v>
      </c>
      <c r="H25" s="10">
        <v>1</v>
      </c>
      <c r="I25" s="10" t="s">
        <v>959</v>
      </c>
      <c r="J25" s="10" t="s">
        <v>170</v>
      </c>
      <c r="K25" s="10">
        <v>500</v>
      </c>
      <c r="L25" s="10">
        <v>3</v>
      </c>
      <c r="M25" s="10">
        <v>13</v>
      </c>
      <c r="N25" s="10">
        <v>2</v>
      </c>
      <c r="O25" s="10" t="s">
        <v>171</v>
      </c>
      <c r="P25" s="10"/>
      <c r="Q25" s="10"/>
      <c r="R25" s="10"/>
      <c r="S25" s="10"/>
      <c r="T25" s="10" t="str">
        <f t="shared" si="1"/>
        <v>s1_node_eff_survival_13_2</v>
      </c>
    </row>
    <row r="26" spans="1:20" x14ac:dyDescent="0.3">
      <c r="A26" s="10" t="str">
        <f t="shared" si="0"/>
        <v>s1_node_survival_13_6</v>
      </c>
      <c r="B26" s="10" t="s">
        <v>0</v>
      </c>
      <c r="C26" s="10" t="s">
        <v>26</v>
      </c>
      <c r="D26" s="10" t="s">
        <v>102</v>
      </c>
      <c r="E26" s="10" t="s">
        <v>406</v>
      </c>
      <c r="F26" s="10" t="s">
        <v>407</v>
      </c>
      <c r="G26" s="10" t="s">
        <v>136</v>
      </c>
      <c r="H26" s="10">
        <v>1</v>
      </c>
      <c r="I26" s="10" t="s">
        <v>959</v>
      </c>
      <c r="J26" s="10" t="s">
        <v>170</v>
      </c>
      <c r="K26" s="10">
        <v>500</v>
      </c>
      <c r="L26" s="10">
        <v>3</v>
      </c>
      <c r="M26" s="10">
        <v>13</v>
      </c>
      <c r="N26" s="10">
        <v>6</v>
      </c>
      <c r="O26" s="10" t="s">
        <v>172</v>
      </c>
      <c r="P26" s="10"/>
      <c r="Q26" s="10"/>
      <c r="R26" s="10"/>
      <c r="S26" s="10"/>
      <c r="T26" s="10" t="str">
        <f t="shared" si="1"/>
        <v>s1_node_eff_survival_13_6</v>
      </c>
    </row>
    <row r="27" spans="1:20" x14ac:dyDescent="0.3">
      <c r="A27" s="10" t="str">
        <f t="shared" si="0"/>
        <v>s1_node_survival_14_2</v>
      </c>
      <c r="B27" s="10" t="s">
        <v>0</v>
      </c>
      <c r="C27" s="10" t="s">
        <v>26</v>
      </c>
      <c r="D27" s="10" t="s">
        <v>102</v>
      </c>
      <c r="E27" s="10" t="s">
        <v>409</v>
      </c>
      <c r="F27" s="10" t="s">
        <v>410</v>
      </c>
      <c r="G27" s="10" t="s">
        <v>136</v>
      </c>
      <c r="H27" s="10">
        <v>1</v>
      </c>
      <c r="I27" s="10" t="s">
        <v>959</v>
      </c>
      <c r="J27" s="10" t="s">
        <v>173</v>
      </c>
      <c r="K27" s="10">
        <v>530</v>
      </c>
      <c r="L27" s="10">
        <v>3</v>
      </c>
      <c r="M27" s="10">
        <v>14</v>
      </c>
      <c r="N27" s="10">
        <v>2</v>
      </c>
      <c r="O27" s="10" t="s">
        <v>174</v>
      </c>
      <c r="P27" s="10"/>
      <c r="Q27" s="10"/>
      <c r="R27" s="10"/>
      <c r="S27" s="10"/>
      <c r="T27" s="10" t="str">
        <f t="shared" si="1"/>
        <v>s1_node_eff_survival_14_2</v>
      </c>
    </row>
    <row r="28" spans="1:20" x14ac:dyDescent="0.3">
      <c r="A28" s="10" t="str">
        <f t="shared" si="0"/>
        <v>s1_node_survival_14_6</v>
      </c>
      <c r="B28" s="10" t="s">
        <v>0</v>
      </c>
      <c r="C28" s="10" t="s">
        <v>26</v>
      </c>
      <c r="D28" s="10" t="s">
        <v>102</v>
      </c>
      <c r="E28" s="10" t="s">
        <v>412</v>
      </c>
      <c r="F28" s="10" t="s">
        <v>413</v>
      </c>
      <c r="G28" s="10" t="s">
        <v>136</v>
      </c>
      <c r="H28" s="10">
        <v>1</v>
      </c>
      <c r="I28" s="10" t="s">
        <v>959</v>
      </c>
      <c r="J28" s="10" t="s">
        <v>173</v>
      </c>
      <c r="K28" s="10">
        <v>530</v>
      </c>
      <c r="L28" s="10">
        <v>3</v>
      </c>
      <c r="M28" s="10">
        <v>14</v>
      </c>
      <c r="N28" s="10">
        <v>6</v>
      </c>
      <c r="O28" s="10" t="s">
        <v>175</v>
      </c>
      <c r="P28" s="10"/>
      <c r="Q28" s="10"/>
      <c r="R28" s="10"/>
      <c r="S28" s="10"/>
      <c r="T28" s="10" t="str">
        <f t="shared" si="1"/>
        <v>s1_node_eff_survival_14_6</v>
      </c>
    </row>
    <row r="29" spans="1:20" x14ac:dyDescent="0.3">
      <c r="A29" s="10" t="str">
        <f t="shared" si="0"/>
        <v>s1_node_survival_15_2</v>
      </c>
      <c r="B29" s="10" t="s">
        <v>0</v>
      </c>
      <c r="C29" s="10" t="s">
        <v>26</v>
      </c>
      <c r="D29" s="10" t="s">
        <v>102</v>
      </c>
      <c r="E29" s="10" t="s">
        <v>415</v>
      </c>
      <c r="F29" s="10" t="s">
        <v>416</v>
      </c>
      <c r="G29" s="10" t="s">
        <v>147</v>
      </c>
      <c r="H29" s="10">
        <v>1</v>
      </c>
      <c r="I29" s="10" t="s">
        <v>959</v>
      </c>
      <c r="J29" s="10" t="s">
        <v>176</v>
      </c>
      <c r="K29" s="10">
        <v>570</v>
      </c>
      <c r="L29" s="10">
        <v>3</v>
      </c>
      <c r="M29" s="10">
        <v>15</v>
      </c>
      <c r="N29" s="10">
        <v>2</v>
      </c>
      <c r="O29" s="10" t="s">
        <v>177</v>
      </c>
      <c r="P29" s="10"/>
      <c r="Q29" s="10"/>
      <c r="R29" s="10"/>
      <c r="S29" s="10"/>
      <c r="T29" s="10" t="str">
        <f t="shared" si="1"/>
        <v>s1_node_eff_survival_15_2</v>
      </c>
    </row>
    <row r="30" spans="1:20" x14ac:dyDescent="0.3">
      <c r="A30" s="10" t="str">
        <f t="shared" si="0"/>
        <v>s1_node_survival_15_6</v>
      </c>
      <c r="B30" s="10" t="s">
        <v>0</v>
      </c>
      <c r="C30" s="10" t="s">
        <v>26</v>
      </c>
      <c r="D30" s="10" t="s">
        <v>102</v>
      </c>
      <c r="E30" s="10" t="s">
        <v>418</v>
      </c>
      <c r="F30" s="10" t="s">
        <v>419</v>
      </c>
      <c r="G30" s="10" t="s">
        <v>147</v>
      </c>
      <c r="H30" s="10">
        <v>1</v>
      </c>
      <c r="I30" s="10" t="s">
        <v>959</v>
      </c>
      <c r="J30" s="10" t="s">
        <v>176</v>
      </c>
      <c r="K30" s="10">
        <v>570</v>
      </c>
      <c r="L30" s="10">
        <v>3</v>
      </c>
      <c r="M30" s="10">
        <v>15</v>
      </c>
      <c r="N30" s="10">
        <v>6</v>
      </c>
      <c r="O30" s="10" t="s">
        <v>178</v>
      </c>
      <c r="P30" s="10"/>
      <c r="Q30" s="10"/>
      <c r="R30" s="10"/>
      <c r="S30" s="10"/>
      <c r="T30" s="10" t="str">
        <f t="shared" si="1"/>
        <v>s1_node_eff_survival_15_6</v>
      </c>
    </row>
    <row r="31" spans="1:20" x14ac:dyDescent="0.3">
      <c r="A31" s="10" t="str">
        <f t="shared" si="0"/>
        <v>s1_node_survival_16_4</v>
      </c>
      <c r="B31" s="10" t="s">
        <v>0</v>
      </c>
      <c r="C31" s="10" t="s">
        <v>26</v>
      </c>
      <c r="D31" s="10" t="s">
        <v>102</v>
      </c>
      <c r="E31" s="10" t="s">
        <v>424</v>
      </c>
      <c r="F31" s="10" t="s">
        <v>425</v>
      </c>
      <c r="G31" s="10" t="s">
        <v>136</v>
      </c>
      <c r="H31" s="10">
        <v>1</v>
      </c>
      <c r="I31" s="10" t="s">
        <v>959</v>
      </c>
      <c r="J31" s="10" t="s">
        <v>179</v>
      </c>
      <c r="K31" s="10">
        <v>600</v>
      </c>
      <c r="L31" s="10">
        <v>3</v>
      </c>
      <c r="M31" s="10">
        <v>16</v>
      </c>
      <c r="N31" s="10">
        <v>4</v>
      </c>
      <c r="O31" s="10" t="s">
        <v>180</v>
      </c>
      <c r="P31" s="10" t="s">
        <v>181</v>
      </c>
      <c r="Q31" s="10"/>
      <c r="R31" s="10"/>
      <c r="S31" s="10"/>
      <c r="T31" s="10" t="str">
        <f t="shared" si="1"/>
        <v>s1_node_eff_survival_16_4</v>
      </c>
    </row>
    <row r="32" spans="1:20" x14ac:dyDescent="0.3">
      <c r="A32" s="10" t="str">
        <f t="shared" si="0"/>
        <v>s1_node_survival_17_2</v>
      </c>
      <c r="B32" s="10" t="s">
        <v>0</v>
      </c>
      <c r="C32" s="10" t="s">
        <v>26</v>
      </c>
      <c r="D32" s="10" t="s">
        <v>102</v>
      </c>
      <c r="E32" s="10" t="s">
        <v>427</v>
      </c>
      <c r="F32" s="10" t="s">
        <v>428</v>
      </c>
      <c r="G32" s="10" t="s">
        <v>136</v>
      </c>
      <c r="H32" s="10">
        <v>1</v>
      </c>
      <c r="I32" s="10" t="s">
        <v>959</v>
      </c>
      <c r="J32" s="10" t="s">
        <v>182</v>
      </c>
      <c r="K32" s="10">
        <v>640</v>
      </c>
      <c r="L32" s="10">
        <v>3</v>
      </c>
      <c r="M32" s="10">
        <v>17</v>
      </c>
      <c r="N32" s="10">
        <v>2</v>
      </c>
      <c r="O32" s="10" t="s">
        <v>183</v>
      </c>
      <c r="P32" s="10"/>
      <c r="Q32" s="10"/>
      <c r="R32" s="10"/>
      <c r="S32" s="10"/>
      <c r="T32" s="10" t="str">
        <f t="shared" si="1"/>
        <v>s1_node_eff_survival_17_2</v>
      </c>
    </row>
    <row r="33" spans="1:20" x14ac:dyDescent="0.3">
      <c r="A33" s="10" t="str">
        <f t="shared" si="0"/>
        <v>s1_node_survival_17_6</v>
      </c>
      <c r="B33" s="10" t="s">
        <v>0</v>
      </c>
      <c r="C33" s="10" t="s">
        <v>26</v>
      </c>
      <c r="D33" s="10" t="s">
        <v>102</v>
      </c>
      <c r="E33" s="10" t="s">
        <v>430</v>
      </c>
      <c r="F33" s="10" t="s">
        <v>431</v>
      </c>
      <c r="G33" s="10" t="s">
        <v>140</v>
      </c>
      <c r="H33" s="10">
        <v>1</v>
      </c>
      <c r="I33" s="10" t="s">
        <v>959</v>
      </c>
      <c r="J33" s="10" t="s">
        <v>182</v>
      </c>
      <c r="K33" s="10">
        <v>640</v>
      </c>
      <c r="L33" s="10">
        <v>3</v>
      </c>
      <c r="M33" s="10">
        <v>17</v>
      </c>
      <c r="N33" s="10">
        <v>6</v>
      </c>
      <c r="O33" s="10" t="s">
        <v>183</v>
      </c>
      <c r="P33" s="10"/>
      <c r="Q33" s="10"/>
      <c r="R33" s="10"/>
      <c r="S33" s="10"/>
      <c r="T33" s="10" t="str">
        <f t="shared" si="1"/>
        <v>s1_node_eff_survival_17_6</v>
      </c>
    </row>
    <row r="34" spans="1:20" x14ac:dyDescent="0.3">
      <c r="A34" s="10" t="str">
        <f t="shared" si="0"/>
        <v>s1_node_survival_18_2</v>
      </c>
      <c r="B34" s="10" t="s">
        <v>0</v>
      </c>
      <c r="C34" s="10" t="s">
        <v>26</v>
      </c>
      <c r="D34" s="10" t="s">
        <v>102</v>
      </c>
      <c r="E34" s="10" t="s">
        <v>433</v>
      </c>
      <c r="F34" s="10" t="s">
        <v>434</v>
      </c>
      <c r="G34" s="10" t="s">
        <v>140</v>
      </c>
      <c r="H34" s="10">
        <v>1</v>
      </c>
      <c r="I34" s="10" t="s">
        <v>959</v>
      </c>
      <c r="J34" s="10" t="s">
        <v>184</v>
      </c>
      <c r="K34" s="10">
        <v>670</v>
      </c>
      <c r="L34" s="10">
        <v>3</v>
      </c>
      <c r="M34" s="10">
        <v>18</v>
      </c>
      <c r="N34" s="10">
        <v>2</v>
      </c>
      <c r="O34" s="10" t="s">
        <v>185</v>
      </c>
      <c r="P34" s="10"/>
      <c r="Q34" s="10"/>
      <c r="R34" s="10"/>
      <c r="S34" s="10"/>
      <c r="T34" s="10" t="str">
        <f t="shared" si="1"/>
        <v>s1_node_eff_survival_18_2</v>
      </c>
    </row>
    <row r="35" spans="1:20" x14ac:dyDescent="0.3">
      <c r="A35" s="10" t="str">
        <f t="shared" si="0"/>
        <v>s1_node_survival_18_6</v>
      </c>
      <c r="B35" s="10" t="s">
        <v>0</v>
      </c>
      <c r="C35" s="10" t="s">
        <v>26</v>
      </c>
      <c r="D35" s="10" t="s">
        <v>102</v>
      </c>
      <c r="E35" s="10" t="s">
        <v>436</v>
      </c>
      <c r="F35" s="10" t="s">
        <v>437</v>
      </c>
      <c r="G35" s="10" t="s">
        <v>136</v>
      </c>
      <c r="H35" s="10">
        <v>1</v>
      </c>
      <c r="I35" s="10" t="s">
        <v>959</v>
      </c>
      <c r="J35" s="10" t="s">
        <v>184</v>
      </c>
      <c r="K35" s="10">
        <v>670</v>
      </c>
      <c r="L35" s="10">
        <v>3</v>
      </c>
      <c r="M35" s="10">
        <v>18</v>
      </c>
      <c r="N35" s="10">
        <v>6</v>
      </c>
      <c r="O35" s="10" t="s">
        <v>186</v>
      </c>
      <c r="P35" s="10"/>
      <c r="Q35" s="10"/>
      <c r="R35" s="10"/>
      <c r="S35" s="10"/>
      <c r="T35" s="10" t="str">
        <f t="shared" si="1"/>
        <v>s1_node_eff_survival_18_6</v>
      </c>
    </row>
    <row r="36" spans="1:20" x14ac:dyDescent="0.3">
      <c r="A36" s="10" t="str">
        <f t="shared" si="0"/>
        <v>s1_node_survival_19_2</v>
      </c>
      <c r="B36" s="10" t="s">
        <v>0</v>
      </c>
      <c r="C36" s="10" t="s">
        <v>26</v>
      </c>
      <c r="D36" s="10" t="s">
        <v>102</v>
      </c>
      <c r="E36" s="10" t="s">
        <v>445</v>
      </c>
      <c r="F36" s="10" t="s">
        <v>446</v>
      </c>
      <c r="G36" s="10" t="s">
        <v>136</v>
      </c>
      <c r="H36" s="10">
        <v>1</v>
      </c>
      <c r="I36" s="10" t="s">
        <v>959</v>
      </c>
      <c r="J36" s="10" t="s">
        <v>187</v>
      </c>
      <c r="K36" s="10">
        <v>710</v>
      </c>
      <c r="L36" s="10">
        <v>3</v>
      </c>
      <c r="M36" s="10">
        <v>19</v>
      </c>
      <c r="N36" s="10">
        <v>2</v>
      </c>
      <c r="O36" s="10" t="s">
        <v>188</v>
      </c>
      <c r="P36" s="10"/>
      <c r="Q36" s="10"/>
      <c r="R36" s="10"/>
      <c r="S36" s="10"/>
      <c r="T36" s="10" t="str">
        <f t="shared" si="1"/>
        <v>s1_node_eff_survival_19_2</v>
      </c>
    </row>
    <row r="37" spans="1:20" x14ac:dyDescent="0.3">
      <c r="A37" s="10" t="str">
        <f t="shared" si="0"/>
        <v>s1_node_survival_19_6</v>
      </c>
      <c r="B37" s="10" t="s">
        <v>0</v>
      </c>
      <c r="C37" s="10" t="s">
        <v>26</v>
      </c>
      <c r="D37" s="10" t="s">
        <v>102</v>
      </c>
      <c r="E37" s="10" t="s">
        <v>448</v>
      </c>
      <c r="F37" s="10" t="s">
        <v>449</v>
      </c>
      <c r="G37" s="10" t="s">
        <v>136</v>
      </c>
      <c r="H37" s="10">
        <v>1</v>
      </c>
      <c r="I37" s="10" t="s">
        <v>959</v>
      </c>
      <c r="J37" s="10" t="s">
        <v>187</v>
      </c>
      <c r="K37" s="10">
        <v>710</v>
      </c>
      <c r="L37" s="10">
        <v>3</v>
      </c>
      <c r="M37" s="10">
        <v>19</v>
      </c>
      <c r="N37" s="10">
        <v>6</v>
      </c>
      <c r="O37" s="10" t="s">
        <v>189</v>
      </c>
      <c r="P37" s="10"/>
      <c r="Q37" s="10"/>
      <c r="R37" s="10"/>
      <c r="S37" s="10"/>
      <c r="T37" s="10" t="str">
        <f t="shared" si="1"/>
        <v>s1_node_eff_survival_19_6</v>
      </c>
    </row>
    <row r="38" spans="1:20" x14ac:dyDescent="0.3">
      <c r="A38" s="10" t="str">
        <f t="shared" si="0"/>
        <v>s1_node_survival_20_2</v>
      </c>
      <c r="B38" s="10" t="s">
        <v>0</v>
      </c>
      <c r="C38" s="10" t="s">
        <v>26</v>
      </c>
      <c r="D38" s="10" t="s">
        <v>102</v>
      </c>
      <c r="E38" s="10" t="s">
        <v>451</v>
      </c>
      <c r="F38" s="10" t="s">
        <v>452</v>
      </c>
      <c r="G38" s="10" t="s">
        <v>147</v>
      </c>
      <c r="H38" s="10">
        <v>1</v>
      </c>
      <c r="I38" s="10" t="s">
        <v>959</v>
      </c>
      <c r="J38" s="10" t="s">
        <v>190</v>
      </c>
      <c r="K38" s="10">
        <v>740</v>
      </c>
      <c r="L38" s="10">
        <v>3</v>
      </c>
      <c r="M38" s="10">
        <v>20</v>
      </c>
      <c r="N38" s="10">
        <v>2</v>
      </c>
      <c r="O38" s="10" t="s">
        <v>191</v>
      </c>
      <c r="P38" s="10"/>
      <c r="Q38" s="10"/>
      <c r="R38" s="10"/>
      <c r="S38" s="10"/>
      <c r="T38" s="10" t="str">
        <f t="shared" si="1"/>
        <v>s1_node_eff_survival_20_2</v>
      </c>
    </row>
    <row r="39" spans="1:20" x14ac:dyDescent="0.3">
      <c r="A39" s="10" t="str">
        <f t="shared" si="0"/>
        <v>s1_node_survival_20_6</v>
      </c>
      <c r="B39" s="10" t="s">
        <v>0</v>
      </c>
      <c r="C39" s="10" t="s">
        <v>26</v>
      </c>
      <c r="D39" s="10" t="s">
        <v>102</v>
      </c>
      <c r="E39" s="10" t="s">
        <v>454</v>
      </c>
      <c r="F39" s="10" t="s">
        <v>455</v>
      </c>
      <c r="G39" s="10" t="s">
        <v>147</v>
      </c>
      <c r="H39" s="10">
        <v>1</v>
      </c>
      <c r="I39" s="10" t="s">
        <v>959</v>
      </c>
      <c r="J39" s="10" t="s">
        <v>190</v>
      </c>
      <c r="K39" s="10">
        <v>740</v>
      </c>
      <c r="L39" s="10">
        <v>3</v>
      </c>
      <c r="M39" s="10">
        <v>20</v>
      </c>
      <c r="N39" s="10">
        <v>6</v>
      </c>
      <c r="O39" s="10" t="s">
        <v>192</v>
      </c>
      <c r="P39" s="10"/>
      <c r="Q39" s="10"/>
      <c r="R39" s="10"/>
      <c r="S39" s="10"/>
      <c r="T39" s="10" t="str">
        <f t="shared" si="1"/>
        <v>s1_node_eff_survival_20_6</v>
      </c>
    </row>
    <row r="40" spans="1:20" x14ac:dyDescent="0.3">
      <c r="A40" s="17" t="str">
        <f t="shared" si="0"/>
        <v>s1_node_economy_1_4</v>
      </c>
      <c r="B40" s="17" t="s">
        <v>0</v>
      </c>
      <c r="C40" s="17" t="s">
        <v>26</v>
      </c>
      <c r="D40" s="17" t="s">
        <v>103</v>
      </c>
      <c r="E40" s="17" t="s">
        <v>457</v>
      </c>
      <c r="F40" s="18" t="s">
        <v>458</v>
      </c>
      <c r="G40" s="17" t="s">
        <v>196</v>
      </c>
      <c r="H40" s="17">
        <v>1</v>
      </c>
      <c r="I40" s="17" t="s">
        <v>959</v>
      </c>
      <c r="J40" s="17" t="s">
        <v>197</v>
      </c>
      <c r="K40" s="17">
        <v>110</v>
      </c>
      <c r="L40" s="18">
        <v>3</v>
      </c>
      <c r="M40" s="17">
        <v>1</v>
      </c>
      <c r="N40" s="17">
        <v>4</v>
      </c>
      <c r="O40" s="18"/>
      <c r="P40" s="18"/>
      <c r="Q40" s="17"/>
      <c r="R40" s="17"/>
      <c r="S40" s="17"/>
      <c r="T40" s="17" t="str">
        <f t="shared" si="1"/>
        <v>s1_node_eff_economy_1_4</v>
      </c>
    </row>
    <row r="41" spans="1:20" x14ac:dyDescent="0.3">
      <c r="A41" t="str">
        <f t="shared" si="0"/>
        <v>s1_node_economy_2_2</v>
      </c>
      <c r="B41" t="s">
        <v>0</v>
      </c>
      <c r="C41" t="s">
        <v>26</v>
      </c>
      <c r="D41" t="s">
        <v>103</v>
      </c>
      <c r="E41" t="s">
        <v>460</v>
      </c>
      <c r="F41" s="10" t="s">
        <v>461</v>
      </c>
      <c r="G41" t="s">
        <v>196</v>
      </c>
      <c r="H41">
        <v>1</v>
      </c>
      <c r="I41" t="s">
        <v>959</v>
      </c>
      <c r="J41" t="s">
        <v>141</v>
      </c>
      <c r="K41">
        <v>150</v>
      </c>
      <c r="L41" s="10">
        <v>3</v>
      </c>
      <c r="M41">
        <v>2</v>
      </c>
      <c r="N41">
        <v>2</v>
      </c>
      <c r="O41" s="10" t="s">
        <v>879</v>
      </c>
      <c r="P41" s="10"/>
      <c r="T41" t="str">
        <f t="shared" si="1"/>
        <v>s1_node_eff_economy_2_2</v>
      </c>
    </row>
    <row r="42" spans="1:20" x14ac:dyDescent="0.3">
      <c r="A42" t="str">
        <f t="shared" si="0"/>
        <v>s1_node_economy_2_6</v>
      </c>
      <c r="B42" t="s">
        <v>0</v>
      </c>
      <c r="C42" t="s">
        <v>26</v>
      </c>
      <c r="D42" t="s">
        <v>103</v>
      </c>
      <c r="E42" t="s">
        <v>463</v>
      </c>
      <c r="F42" s="10" t="s">
        <v>464</v>
      </c>
      <c r="G42" t="s">
        <v>196</v>
      </c>
      <c r="H42">
        <v>1</v>
      </c>
      <c r="I42" t="s">
        <v>959</v>
      </c>
      <c r="J42" t="s">
        <v>141</v>
      </c>
      <c r="K42">
        <v>150</v>
      </c>
      <c r="L42" s="10">
        <v>3</v>
      </c>
      <c r="M42">
        <v>2</v>
      </c>
      <c r="N42">
        <v>6</v>
      </c>
      <c r="O42" s="10" t="s">
        <v>879</v>
      </c>
      <c r="P42" s="10"/>
      <c r="T42" t="str">
        <f t="shared" si="1"/>
        <v>s1_node_eff_economy_2_6</v>
      </c>
    </row>
    <row r="43" spans="1:20" x14ac:dyDescent="0.3">
      <c r="A43" t="str">
        <f t="shared" si="0"/>
        <v>s1_node_economy_3_2</v>
      </c>
      <c r="B43" t="s">
        <v>0</v>
      </c>
      <c r="C43" t="s">
        <v>26</v>
      </c>
      <c r="D43" t="s">
        <v>103</v>
      </c>
      <c r="E43" t="s">
        <v>466</v>
      </c>
      <c r="F43" s="10" t="s">
        <v>467</v>
      </c>
      <c r="G43" t="s">
        <v>196</v>
      </c>
      <c r="H43">
        <v>1</v>
      </c>
      <c r="I43" t="s">
        <v>959</v>
      </c>
      <c r="J43" t="s">
        <v>144</v>
      </c>
      <c r="K43">
        <v>180</v>
      </c>
      <c r="L43" s="10">
        <v>3</v>
      </c>
      <c r="M43">
        <v>3</v>
      </c>
      <c r="N43">
        <v>2</v>
      </c>
      <c r="O43" s="10" t="s">
        <v>880</v>
      </c>
      <c r="P43" s="10"/>
      <c r="T43" t="str">
        <f t="shared" si="1"/>
        <v>s1_node_eff_economy_3_2</v>
      </c>
    </row>
    <row r="44" spans="1:20" x14ac:dyDescent="0.3">
      <c r="A44" t="str">
        <f t="shared" si="0"/>
        <v>s1_node_economy_3_6</v>
      </c>
      <c r="B44" t="s">
        <v>0</v>
      </c>
      <c r="C44" t="s">
        <v>26</v>
      </c>
      <c r="D44" t="s">
        <v>103</v>
      </c>
      <c r="E44" t="s">
        <v>469</v>
      </c>
      <c r="F44" s="10" t="s">
        <v>470</v>
      </c>
      <c r="G44" t="s">
        <v>198</v>
      </c>
      <c r="H44">
        <v>1</v>
      </c>
      <c r="I44" t="s">
        <v>959</v>
      </c>
      <c r="J44" t="s">
        <v>144</v>
      </c>
      <c r="K44">
        <v>180</v>
      </c>
      <c r="L44" s="10">
        <v>3</v>
      </c>
      <c r="M44">
        <v>3</v>
      </c>
      <c r="N44">
        <v>6</v>
      </c>
      <c r="O44" s="10" t="s">
        <v>199</v>
      </c>
      <c r="P44" s="10"/>
      <c r="T44" t="str">
        <f t="shared" si="1"/>
        <v>s1_node_eff_economy_3_6</v>
      </c>
    </row>
    <row r="45" spans="1:20" x14ac:dyDescent="0.3">
      <c r="A45" t="str">
        <f t="shared" si="0"/>
        <v>s1_node_economy_4_2</v>
      </c>
      <c r="B45" t="s">
        <v>0</v>
      </c>
      <c r="C45" t="s">
        <v>26</v>
      </c>
      <c r="D45" t="s">
        <v>103</v>
      </c>
      <c r="E45" t="s">
        <v>472</v>
      </c>
      <c r="F45" s="10" t="s">
        <v>473</v>
      </c>
      <c r="G45" t="s">
        <v>196</v>
      </c>
      <c r="H45">
        <v>1</v>
      </c>
      <c r="I45" t="s">
        <v>959</v>
      </c>
      <c r="J45" t="s">
        <v>148</v>
      </c>
      <c r="K45">
        <v>220</v>
      </c>
      <c r="L45" s="10">
        <v>3</v>
      </c>
      <c r="M45">
        <v>4</v>
      </c>
      <c r="N45">
        <v>2</v>
      </c>
      <c r="O45" s="10" t="s">
        <v>881</v>
      </c>
      <c r="P45" s="10"/>
      <c r="T45" t="str">
        <f t="shared" si="1"/>
        <v>s1_node_eff_economy_4_2</v>
      </c>
    </row>
    <row r="46" spans="1:20" x14ac:dyDescent="0.3">
      <c r="A46" t="str">
        <f t="shared" si="0"/>
        <v>s1_node_economy_4_6</v>
      </c>
      <c r="B46" t="s">
        <v>0</v>
      </c>
      <c r="C46" t="s">
        <v>26</v>
      </c>
      <c r="D46" t="s">
        <v>103</v>
      </c>
      <c r="E46" t="s">
        <v>475</v>
      </c>
      <c r="F46" s="10" t="s">
        <v>476</v>
      </c>
      <c r="G46" t="s">
        <v>196</v>
      </c>
      <c r="H46">
        <v>1</v>
      </c>
      <c r="I46" t="s">
        <v>959</v>
      </c>
      <c r="J46" t="s">
        <v>148</v>
      </c>
      <c r="K46">
        <v>220</v>
      </c>
      <c r="L46" s="10">
        <v>3</v>
      </c>
      <c r="M46">
        <v>4</v>
      </c>
      <c r="N46">
        <v>6</v>
      </c>
      <c r="O46" s="10" t="s">
        <v>882</v>
      </c>
      <c r="P46" s="10"/>
      <c r="T46" t="str">
        <f t="shared" si="1"/>
        <v>s1_node_eff_economy_4_6</v>
      </c>
    </row>
    <row r="47" spans="1:20" x14ac:dyDescent="0.3">
      <c r="A47" t="str">
        <f t="shared" si="0"/>
        <v>s1_node_economy_5_2</v>
      </c>
      <c r="B47" t="s">
        <v>0</v>
      </c>
      <c r="C47" t="s">
        <v>26</v>
      </c>
      <c r="D47" t="s">
        <v>103</v>
      </c>
      <c r="E47" t="s">
        <v>478</v>
      </c>
      <c r="F47" s="10" t="s">
        <v>479</v>
      </c>
      <c r="G47" t="s">
        <v>196</v>
      </c>
      <c r="H47">
        <v>1</v>
      </c>
      <c r="I47" t="s">
        <v>959</v>
      </c>
      <c r="J47" t="s">
        <v>151</v>
      </c>
      <c r="K47">
        <v>250</v>
      </c>
      <c r="L47" s="10">
        <v>3</v>
      </c>
      <c r="M47">
        <v>5</v>
      </c>
      <c r="N47">
        <v>2</v>
      </c>
      <c r="O47" s="10" t="s">
        <v>883</v>
      </c>
      <c r="P47" s="10"/>
      <c r="T47" t="str">
        <f t="shared" si="1"/>
        <v>s1_node_eff_economy_5_2</v>
      </c>
    </row>
    <row r="48" spans="1:20" x14ac:dyDescent="0.3">
      <c r="A48" t="str">
        <f t="shared" si="0"/>
        <v>s1_node_economy_5_6</v>
      </c>
      <c r="B48" t="s">
        <v>0</v>
      </c>
      <c r="C48" t="s">
        <v>26</v>
      </c>
      <c r="D48" t="s">
        <v>103</v>
      </c>
      <c r="E48" t="s">
        <v>481</v>
      </c>
      <c r="F48" s="10" t="s">
        <v>482</v>
      </c>
      <c r="G48" t="s">
        <v>196</v>
      </c>
      <c r="H48">
        <v>1</v>
      </c>
      <c r="I48" t="s">
        <v>959</v>
      </c>
      <c r="J48" t="s">
        <v>151</v>
      </c>
      <c r="K48">
        <v>250</v>
      </c>
      <c r="L48" s="10">
        <v>3</v>
      </c>
      <c r="M48">
        <v>5</v>
      </c>
      <c r="N48">
        <v>6</v>
      </c>
      <c r="O48" s="10" t="s">
        <v>200</v>
      </c>
      <c r="P48" s="10"/>
      <c r="T48" t="str">
        <f t="shared" si="1"/>
        <v>s1_node_eff_economy_5_6</v>
      </c>
    </row>
    <row r="49" spans="1:20" x14ac:dyDescent="0.3">
      <c r="A49" t="str">
        <f t="shared" si="0"/>
        <v>s1_node_economy_6_4</v>
      </c>
      <c r="B49" t="s">
        <v>0</v>
      </c>
      <c r="C49" t="s">
        <v>26</v>
      </c>
      <c r="D49" t="s">
        <v>103</v>
      </c>
      <c r="E49" t="s">
        <v>484</v>
      </c>
      <c r="F49" s="10" t="s">
        <v>485</v>
      </c>
      <c r="G49" t="s">
        <v>198</v>
      </c>
      <c r="H49">
        <v>1</v>
      </c>
      <c r="I49" t="s">
        <v>959</v>
      </c>
      <c r="J49" t="s">
        <v>154</v>
      </c>
      <c r="K49">
        <v>290</v>
      </c>
      <c r="L49" s="10">
        <v>3</v>
      </c>
      <c r="M49">
        <v>6</v>
      </c>
      <c r="N49">
        <v>4</v>
      </c>
      <c r="O49" s="10" t="s">
        <v>884</v>
      </c>
      <c r="P49" s="10" t="s">
        <v>201</v>
      </c>
      <c r="T49" t="str">
        <f t="shared" si="1"/>
        <v>s1_node_eff_economy_6_4</v>
      </c>
    </row>
    <row r="50" spans="1:20" x14ac:dyDescent="0.3">
      <c r="A50" t="str">
        <f t="shared" si="0"/>
        <v>s1_node_economy_7_2</v>
      </c>
      <c r="B50" t="s">
        <v>0</v>
      </c>
      <c r="C50" t="s">
        <v>26</v>
      </c>
      <c r="D50" t="s">
        <v>103</v>
      </c>
      <c r="E50" t="s">
        <v>487</v>
      </c>
      <c r="F50" s="10" t="s">
        <v>488</v>
      </c>
      <c r="G50" t="s">
        <v>196</v>
      </c>
      <c r="H50">
        <v>1</v>
      </c>
      <c r="I50" t="s">
        <v>959</v>
      </c>
      <c r="J50" t="s">
        <v>202</v>
      </c>
      <c r="K50">
        <v>330</v>
      </c>
      <c r="L50" s="10">
        <v>3</v>
      </c>
      <c r="M50">
        <v>7</v>
      </c>
      <c r="N50">
        <v>2</v>
      </c>
      <c r="O50" s="10" t="s">
        <v>885</v>
      </c>
      <c r="P50" s="10"/>
      <c r="T50" t="str">
        <f t="shared" si="1"/>
        <v>s1_node_eff_economy_7_2</v>
      </c>
    </row>
    <row r="51" spans="1:20" x14ac:dyDescent="0.3">
      <c r="A51" t="str">
        <f t="shared" si="0"/>
        <v>s1_node_economy_7_6</v>
      </c>
      <c r="B51" t="s">
        <v>0</v>
      </c>
      <c r="C51" t="s">
        <v>26</v>
      </c>
      <c r="D51" t="s">
        <v>103</v>
      </c>
      <c r="E51" t="s">
        <v>490</v>
      </c>
      <c r="F51" s="10" t="s">
        <v>491</v>
      </c>
      <c r="G51" t="s">
        <v>196</v>
      </c>
      <c r="H51">
        <v>1</v>
      </c>
      <c r="I51" t="s">
        <v>959</v>
      </c>
      <c r="J51" t="s">
        <v>202</v>
      </c>
      <c r="K51">
        <v>330</v>
      </c>
      <c r="L51" s="10">
        <v>3</v>
      </c>
      <c r="M51">
        <v>7</v>
      </c>
      <c r="N51">
        <v>6</v>
      </c>
      <c r="O51" s="10" t="s">
        <v>885</v>
      </c>
      <c r="P51" s="10"/>
      <c r="T51" t="str">
        <f t="shared" si="1"/>
        <v>s1_node_eff_economy_7_6</v>
      </c>
    </row>
    <row r="52" spans="1:20" x14ac:dyDescent="0.3">
      <c r="A52" t="str">
        <f t="shared" si="0"/>
        <v>s1_node_economy_8_2</v>
      </c>
      <c r="B52" t="s">
        <v>0</v>
      </c>
      <c r="C52" t="s">
        <v>26</v>
      </c>
      <c r="D52" t="s">
        <v>103</v>
      </c>
      <c r="E52" t="s">
        <v>493</v>
      </c>
      <c r="F52" s="10" t="s">
        <v>494</v>
      </c>
      <c r="G52" t="s">
        <v>196</v>
      </c>
      <c r="H52">
        <v>1</v>
      </c>
      <c r="I52" t="s">
        <v>959</v>
      </c>
      <c r="J52" t="s">
        <v>159</v>
      </c>
      <c r="K52">
        <v>360</v>
      </c>
      <c r="L52" s="10">
        <v>3</v>
      </c>
      <c r="M52">
        <v>8</v>
      </c>
      <c r="N52">
        <v>2</v>
      </c>
      <c r="O52" s="10" t="s">
        <v>886</v>
      </c>
      <c r="P52" s="10"/>
      <c r="T52" t="str">
        <f t="shared" si="1"/>
        <v>s1_node_eff_economy_8_2</v>
      </c>
    </row>
    <row r="53" spans="1:20" x14ac:dyDescent="0.3">
      <c r="A53" t="str">
        <f t="shared" si="0"/>
        <v>s1_node_economy_8_6</v>
      </c>
      <c r="B53" t="s">
        <v>0</v>
      </c>
      <c r="C53" t="s">
        <v>26</v>
      </c>
      <c r="D53" t="s">
        <v>103</v>
      </c>
      <c r="E53" t="s">
        <v>496</v>
      </c>
      <c r="F53" s="10" t="s">
        <v>497</v>
      </c>
      <c r="G53" t="s">
        <v>196</v>
      </c>
      <c r="H53">
        <v>1</v>
      </c>
      <c r="I53" t="s">
        <v>959</v>
      </c>
      <c r="J53" t="s">
        <v>159</v>
      </c>
      <c r="K53">
        <v>360</v>
      </c>
      <c r="L53" s="10">
        <v>3</v>
      </c>
      <c r="M53">
        <v>8</v>
      </c>
      <c r="N53">
        <v>6</v>
      </c>
      <c r="O53" s="10" t="s">
        <v>203</v>
      </c>
      <c r="P53" s="10"/>
      <c r="T53" t="str">
        <f t="shared" si="1"/>
        <v>s1_node_eff_economy_8_6</v>
      </c>
    </row>
    <row r="54" spans="1:20" x14ac:dyDescent="0.3">
      <c r="A54" t="str">
        <f t="shared" si="0"/>
        <v>s1_node_economy_9_2</v>
      </c>
      <c r="B54" t="s">
        <v>0</v>
      </c>
      <c r="C54" t="s">
        <v>26</v>
      </c>
      <c r="D54" t="s">
        <v>103</v>
      </c>
      <c r="E54" t="s">
        <v>499</v>
      </c>
      <c r="F54" s="10" t="s">
        <v>500</v>
      </c>
      <c r="G54" t="s">
        <v>198</v>
      </c>
      <c r="H54">
        <v>1</v>
      </c>
      <c r="I54" t="s">
        <v>959</v>
      </c>
      <c r="J54" t="s">
        <v>204</v>
      </c>
      <c r="K54">
        <v>400</v>
      </c>
      <c r="L54" s="10">
        <v>3</v>
      </c>
      <c r="M54">
        <v>9</v>
      </c>
      <c r="N54">
        <v>2</v>
      </c>
      <c r="O54" s="10" t="s">
        <v>887</v>
      </c>
      <c r="P54" s="10"/>
      <c r="T54" t="str">
        <f t="shared" si="1"/>
        <v>s1_node_eff_economy_9_2</v>
      </c>
    </row>
    <row r="55" spans="1:20" x14ac:dyDescent="0.3">
      <c r="A55" t="str">
        <f t="shared" si="0"/>
        <v>s1_node_economy_9_6</v>
      </c>
      <c r="B55" t="s">
        <v>0</v>
      </c>
      <c r="C55" t="s">
        <v>26</v>
      </c>
      <c r="D55" t="s">
        <v>103</v>
      </c>
      <c r="E55" t="s">
        <v>505</v>
      </c>
      <c r="F55" s="10" t="s">
        <v>506</v>
      </c>
      <c r="G55" t="s">
        <v>196</v>
      </c>
      <c r="H55">
        <v>1</v>
      </c>
      <c r="I55" t="s">
        <v>959</v>
      </c>
      <c r="J55" t="s">
        <v>204</v>
      </c>
      <c r="K55">
        <v>400</v>
      </c>
      <c r="L55" s="10">
        <v>3</v>
      </c>
      <c r="M55">
        <v>9</v>
      </c>
      <c r="N55">
        <v>6</v>
      </c>
      <c r="O55" s="10" t="s">
        <v>888</v>
      </c>
      <c r="P55" s="10"/>
      <c r="T55" t="str">
        <f t="shared" si="1"/>
        <v>s1_node_eff_economy_9_6</v>
      </c>
    </row>
    <row r="56" spans="1:20" x14ac:dyDescent="0.3">
      <c r="A56" t="str">
        <f t="shared" si="0"/>
        <v>s1_node_economy_10_2</v>
      </c>
      <c r="B56" t="s">
        <v>0</v>
      </c>
      <c r="C56" t="s">
        <v>26</v>
      </c>
      <c r="D56" t="s">
        <v>103</v>
      </c>
      <c r="E56" t="s">
        <v>508</v>
      </c>
      <c r="F56" s="10" t="s">
        <v>509</v>
      </c>
      <c r="G56" t="s">
        <v>196</v>
      </c>
      <c r="H56">
        <v>1</v>
      </c>
      <c r="I56" t="s">
        <v>959</v>
      </c>
      <c r="J56" t="s">
        <v>165</v>
      </c>
      <c r="K56">
        <v>430</v>
      </c>
      <c r="L56" s="10">
        <v>3</v>
      </c>
      <c r="M56">
        <v>10</v>
      </c>
      <c r="N56">
        <v>2</v>
      </c>
      <c r="O56" s="10" t="s">
        <v>889</v>
      </c>
      <c r="P56" s="10"/>
      <c r="T56" t="str">
        <f t="shared" si="1"/>
        <v>s1_node_eff_economy_10_2</v>
      </c>
    </row>
    <row r="57" spans="1:20" x14ac:dyDescent="0.3">
      <c r="A57" t="str">
        <f t="shared" si="0"/>
        <v>s1_node_economy_10_6</v>
      </c>
      <c r="B57" t="s">
        <v>0</v>
      </c>
      <c r="C57" t="s">
        <v>26</v>
      </c>
      <c r="D57" t="s">
        <v>103</v>
      </c>
      <c r="E57" t="s">
        <v>511</v>
      </c>
      <c r="F57" s="10" t="s">
        <v>512</v>
      </c>
      <c r="G57" t="s">
        <v>196</v>
      </c>
      <c r="H57">
        <v>1</v>
      </c>
      <c r="I57" t="s">
        <v>959</v>
      </c>
      <c r="J57" t="s">
        <v>165</v>
      </c>
      <c r="K57">
        <v>430</v>
      </c>
      <c r="L57" s="10">
        <v>3</v>
      </c>
      <c r="M57">
        <v>10</v>
      </c>
      <c r="N57">
        <v>6</v>
      </c>
      <c r="O57" s="10" t="s">
        <v>205</v>
      </c>
      <c r="P57" s="10"/>
      <c r="T57" t="str">
        <f t="shared" si="1"/>
        <v>s1_node_eff_economy_10_6</v>
      </c>
    </row>
    <row r="58" spans="1:20" x14ac:dyDescent="0.3">
      <c r="A58" t="str">
        <f t="shared" si="0"/>
        <v>s1_node_economy_11_4</v>
      </c>
      <c r="B58" t="s">
        <v>0</v>
      </c>
      <c r="C58" t="s">
        <v>26</v>
      </c>
      <c r="D58" t="s">
        <v>103</v>
      </c>
      <c r="E58" t="s">
        <v>514</v>
      </c>
      <c r="F58" s="10" t="s">
        <v>515</v>
      </c>
      <c r="G58" t="s">
        <v>196</v>
      </c>
      <c r="H58">
        <v>1</v>
      </c>
      <c r="I58" t="s">
        <v>959</v>
      </c>
      <c r="J58" t="s">
        <v>206</v>
      </c>
      <c r="K58">
        <v>470</v>
      </c>
      <c r="L58" s="10">
        <v>3</v>
      </c>
      <c r="M58">
        <v>11</v>
      </c>
      <c r="N58">
        <v>4</v>
      </c>
      <c r="O58" s="10" t="s">
        <v>890</v>
      </c>
      <c r="P58" s="10" t="s">
        <v>207</v>
      </c>
      <c r="T58" t="str">
        <f t="shared" si="1"/>
        <v>s1_node_eff_economy_11_4</v>
      </c>
    </row>
    <row r="59" spans="1:20" x14ac:dyDescent="0.3">
      <c r="A59" t="str">
        <f t="shared" si="0"/>
        <v>s1_node_economy_12_2</v>
      </c>
      <c r="B59" t="s">
        <v>0</v>
      </c>
      <c r="C59" t="s">
        <v>26</v>
      </c>
      <c r="D59" t="s">
        <v>103</v>
      </c>
      <c r="E59" t="s">
        <v>517</v>
      </c>
      <c r="F59" s="10" t="s">
        <v>518</v>
      </c>
      <c r="G59" t="s">
        <v>198</v>
      </c>
      <c r="H59">
        <v>1</v>
      </c>
      <c r="I59" t="s">
        <v>959</v>
      </c>
      <c r="J59" t="s">
        <v>170</v>
      </c>
      <c r="K59">
        <v>500</v>
      </c>
      <c r="L59" s="10">
        <v>3</v>
      </c>
      <c r="M59">
        <v>12</v>
      </c>
      <c r="N59">
        <v>2</v>
      </c>
      <c r="O59" s="10" t="s">
        <v>891</v>
      </c>
      <c r="P59" s="10"/>
      <c r="T59" t="str">
        <f t="shared" si="1"/>
        <v>s1_node_eff_economy_12_2</v>
      </c>
    </row>
    <row r="60" spans="1:20" x14ac:dyDescent="0.3">
      <c r="A60" t="str">
        <f t="shared" si="0"/>
        <v>s1_node_economy_12_6</v>
      </c>
      <c r="B60" t="s">
        <v>0</v>
      </c>
      <c r="C60" t="s">
        <v>26</v>
      </c>
      <c r="D60" t="s">
        <v>103</v>
      </c>
      <c r="E60" t="s">
        <v>520</v>
      </c>
      <c r="F60" s="10" t="s">
        <v>521</v>
      </c>
      <c r="G60" t="s">
        <v>196</v>
      </c>
      <c r="H60">
        <v>1</v>
      </c>
      <c r="I60" t="s">
        <v>959</v>
      </c>
      <c r="J60" t="s">
        <v>170</v>
      </c>
      <c r="K60">
        <v>500</v>
      </c>
      <c r="L60" s="10">
        <v>3</v>
      </c>
      <c r="M60">
        <v>12</v>
      </c>
      <c r="N60">
        <v>6</v>
      </c>
      <c r="O60" s="10" t="s">
        <v>891</v>
      </c>
      <c r="P60" s="10"/>
      <c r="T60" t="str">
        <f t="shared" si="1"/>
        <v>s1_node_eff_economy_12_6</v>
      </c>
    </row>
    <row r="61" spans="1:20" x14ac:dyDescent="0.3">
      <c r="A61" t="str">
        <f t="shared" si="0"/>
        <v>s1_node_economy_13_2</v>
      </c>
      <c r="B61" t="s">
        <v>0</v>
      </c>
      <c r="C61" t="s">
        <v>26</v>
      </c>
      <c r="D61" t="s">
        <v>103</v>
      </c>
      <c r="E61" t="s">
        <v>523</v>
      </c>
      <c r="F61" s="10" t="s">
        <v>524</v>
      </c>
      <c r="G61" t="s">
        <v>196</v>
      </c>
      <c r="H61">
        <v>1</v>
      </c>
      <c r="I61" t="s">
        <v>959</v>
      </c>
      <c r="J61" t="s">
        <v>208</v>
      </c>
      <c r="K61">
        <v>540</v>
      </c>
      <c r="L61" s="10">
        <v>3</v>
      </c>
      <c r="M61">
        <v>13</v>
      </c>
      <c r="N61">
        <v>2</v>
      </c>
      <c r="O61" s="10" t="s">
        <v>892</v>
      </c>
      <c r="P61" s="10"/>
      <c r="T61" t="str">
        <f t="shared" si="1"/>
        <v>s1_node_eff_economy_13_2</v>
      </c>
    </row>
    <row r="62" spans="1:20" x14ac:dyDescent="0.3">
      <c r="A62" t="str">
        <f t="shared" si="0"/>
        <v>s1_node_economy_13_6</v>
      </c>
      <c r="B62" t="s">
        <v>0</v>
      </c>
      <c r="C62" t="s">
        <v>26</v>
      </c>
      <c r="D62" t="s">
        <v>103</v>
      </c>
      <c r="E62" t="s">
        <v>526</v>
      </c>
      <c r="F62" s="10" t="s">
        <v>527</v>
      </c>
      <c r="G62" t="s">
        <v>196</v>
      </c>
      <c r="H62">
        <v>1</v>
      </c>
      <c r="I62" t="s">
        <v>959</v>
      </c>
      <c r="J62" t="s">
        <v>208</v>
      </c>
      <c r="K62">
        <v>540</v>
      </c>
      <c r="L62" s="10">
        <v>3</v>
      </c>
      <c r="M62">
        <v>13</v>
      </c>
      <c r="N62">
        <v>6</v>
      </c>
      <c r="O62" s="10" t="s">
        <v>209</v>
      </c>
      <c r="P62" s="10"/>
      <c r="T62" t="str">
        <f t="shared" si="1"/>
        <v>s1_node_eff_economy_13_6</v>
      </c>
    </row>
    <row r="63" spans="1:20" x14ac:dyDescent="0.3">
      <c r="A63" t="str">
        <f t="shared" si="0"/>
        <v>s1_node_economy_14_2</v>
      </c>
      <c r="B63" t="s">
        <v>0</v>
      </c>
      <c r="C63" t="s">
        <v>26</v>
      </c>
      <c r="D63" t="s">
        <v>103</v>
      </c>
      <c r="E63" t="s">
        <v>529</v>
      </c>
      <c r="F63" s="10" t="s">
        <v>530</v>
      </c>
      <c r="G63" t="s">
        <v>196</v>
      </c>
      <c r="H63">
        <v>1</v>
      </c>
      <c r="I63" t="s">
        <v>959</v>
      </c>
      <c r="J63" t="s">
        <v>210</v>
      </c>
      <c r="K63">
        <v>580</v>
      </c>
      <c r="L63" s="10">
        <v>3</v>
      </c>
      <c r="M63">
        <v>14</v>
      </c>
      <c r="N63">
        <v>2</v>
      </c>
      <c r="O63" s="10" t="s">
        <v>893</v>
      </c>
      <c r="P63" s="10"/>
      <c r="T63" t="str">
        <f t="shared" si="1"/>
        <v>s1_node_eff_economy_14_2</v>
      </c>
    </row>
    <row r="64" spans="1:20" x14ac:dyDescent="0.3">
      <c r="A64" t="str">
        <f t="shared" si="0"/>
        <v>s1_node_economy_14_6</v>
      </c>
      <c r="B64" t="s">
        <v>0</v>
      </c>
      <c r="C64" t="s">
        <v>26</v>
      </c>
      <c r="D64" t="s">
        <v>103</v>
      </c>
      <c r="E64" t="s">
        <v>532</v>
      </c>
      <c r="F64" s="10" t="s">
        <v>533</v>
      </c>
      <c r="G64" t="s">
        <v>196</v>
      </c>
      <c r="H64">
        <v>1</v>
      </c>
      <c r="I64" t="s">
        <v>959</v>
      </c>
      <c r="J64" t="s">
        <v>210</v>
      </c>
      <c r="K64">
        <v>580</v>
      </c>
      <c r="L64" s="10">
        <v>3</v>
      </c>
      <c r="M64">
        <v>14</v>
      </c>
      <c r="N64">
        <v>6</v>
      </c>
      <c r="O64" s="10" t="s">
        <v>894</v>
      </c>
      <c r="P64" s="10"/>
      <c r="T64" t="str">
        <f t="shared" si="1"/>
        <v>s1_node_eff_economy_14_6</v>
      </c>
    </row>
    <row r="65" spans="1:20" x14ac:dyDescent="0.3">
      <c r="A65" t="str">
        <f t="shared" si="0"/>
        <v>s1_node_economy_15_2</v>
      </c>
      <c r="B65" t="s">
        <v>0</v>
      </c>
      <c r="C65" t="s">
        <v>26</v>
      </c>
      <c r="D65" t="s">
        <v>103</v>
      </c>
      <c r="E65" t="s">
        <v>535</v>
      </c>
      <c r="F65" s="10" t="s">
        <v>536</v>
      </c>
      <c r="G65" t="s">
        <v>196</v>
      </c>
      <c r="H65">
        <v>1</v>
      </c>
      <c r="I65" t="s">
        <v>959</v>
      </c>
      <c r="J65" t="s">
        <v>211</v>
      </c>
      <c r="K65">
        <v>610</v>
      </c>
      <c r="L65" s="10">
        <v>3</v>
      </c>
      <c r="M65">
        <v>15</v>
      </c>
      <c r="N65">
        <v>2</v>
      </c>
      <c r="O65" s="10" t="s">
        <v>895</v>
      </c>
      <c r="P65" s="10"/>
      <c r="T65" t="str">
        <f t="shared" si="1"/>
        <v>s1_node_eff_economy_15_2</v>
      </c>
    </row>
    <row r="66" spans="1:20" x14ac:dyDescent="0.3">
      <c r="A66" t="str">
        <f t="shared" si="0"/>
        <v>s1_node_economy_15_6</v>
      </c>
      <c r="B66" t="s">
        <v>0</v>
      </c>
      <c r="C66" t="s">
        <v>26</v>
      </c>
      <c r="D66" t="s">
        <v>103</v>
      </c>
      <c r="E66" t="s">
        <v>538</v>
      </c>
      <c r="F66" s="10" t="s">
        <v>539</v>
      </c>
      <c r="G66" t="s">
        <v>196</v>
      </c>
      <c r="H66">
        <v>1</v>
      </c>
      <c r="I66" t="s">
        <v>959</v>
      </c>
      <c r="J66" t="s">
        <v>211</v>
      </c>
      <c r="K66">
        <v>610</v>
      </c>
      <c r="L66" s="10">
        <v>3</v>
      </c>
      <c r="M66">
        <v>15</v>
      </c>
      <c r="N66">
        <v>6</v>
      </c>
      <c r="O66" s="10" t="s">
        <v>212</v>
      </c>
      <c r="P66" s="10"/>
      <c r="T66" t="str">
        <f t="shared" si="1"/>
        <v>s1_node_eff_economy_15_6</v>
      </c>
    </row>
    <row r="67" spans="1:20" x14ac:dyDescent="0.3">
      <c r="A67" t="str">
        <f t="shared" si="0"/>
        <v>s1_node_economy_16_4</v>
      </c>
      <c r="B67" t="s">
        <v>0</v>
      </c>
      <c r="C67" t="s">
        <v>26</v>
      </c>
      <c r="D67" t="s">
        <v>103</v>
      </c>
      <c r="E67" t="s">
        <v>535</v>
      </c>
      <c r="F67" s="10" t="s">
        <v>536</v>
      </c>
      <c r="G67" t="s">
        <v>196</v>
      </c>
      <c r="H67">
        <v>1</v>
      </c>
      <c r="I67" t="s">
        <v>959</v>
      </c>
      <c r="J67" t="s">
        <v>213</v>
      </c>
      <c r="K67">
        <v>650</v>
      </c>
      <c r="L67" s="10">
        <v>3</v>
      </c>
      <c r="M67">
        <v>16</v>
      </c>
      <c r="N67">
        <v>4</v>
      </c>
      <c r="O67" s="10" t="s">
        <v>896</v>
      </c>
      <c r="P67" s="10" t="s">
        <v>214</v>
      </c>
      <c r="T67" t="str">
        <f t="shared" si="1"/>
        <v>s1_node_eff_economy_16_4</v>
      </c>
    </row>
    <row r="68" spans="1:20" x14ac:dyDescent="0.3">
      <c r="A68" t="str">
        <f t="shared" ref="A68:A131" si="2">_xlfn.TEXTJOIN("_",TRUE,C68,"node",D68,M68,N68)</f>
        <v>s1_node_economy_17_2</v>
      </c>
      <c r="B68" t="s">
        <v>0</v>
      </c>
      <c r="C68" t="s">
        <v>26</v>
      </c>
      <c r="D68" t="s">
        <v>103</v>
      </c>
      <c r="E68" t="s">
        <v>538</v>
      </c>
      <c r="F68" s="10" t="s">
        <v>539</v>
      </c>
      <c r="G68" t="s">
        <v>196</v>
      </c>
      <c r="H68">
        <v>1</v>
      </c>
      <c r="I68" t="s">
        <v>959</v>
      </c>
      <c r="J68" t="s">
        <v>215</v>
      </c>
      <c r="K68">
        <v>680</v>
      </c>
      <c r="L68" s="10">
        <v>3</v>
      </c>
      <c r="M68">
        <v>17</v>
      </c>
      <c r="N68">
        <v>2</v>
      </c>
      <c r="O68" s="10" t="s">
        <v>897</v>
      </c>
      <c r="P68" s="10"/>
      <c r="T68" t="str">
        <f t="shared" ref="T68:T131" si="3">_xlfn.TEXTJOIN("_",TRUE,C68,"node_eff",D68,M68,N68)</f>
        <v>s1_node_eff_economy_17_2</v>
      </c>
    </row>
    <row r="69" spans="1:20" x14ac:dyDescent="0.3">
      <c r="A69" t="str">
        <f t="shared" si="2"/>
        <v>s1_node_economy_17_6</v>
      </c>
      <c r="B69" t="s">
        <v>0</v>
      </c>
      <c r="C69" t="s">
        <v>26</v>
      </c>
      <c r="D69" t="s">
        <v>103</v>
      </c>
      <c r="E69" t="s">
        <v>547</v>
      </c>
      <c r="F69" s="10" t="s">
        <v>548</v>
      </c>
      <c r="G69" t="s">
        <v>196</v>
      </c>
      <c r="H69">
        <v>1</v>
      </c>
      <c r="I69" t="s">
        <v>959</v>
      </c>
      <c r="J69" t="s">
        <v>215</v>
      </c>
      <c r="K69">
        <v>680</v>
      </c>
      <c r="L69" s="10">
        <v>3</v>
      </c>
      <c r="M69">
        <v>17</v>
      </c>
      <c r="N69">
        <v>6</v>
      </c>
      <c r="O69" s="10" t="s">
        <v>897</v>
      </c>
      <c r="P69" s="10"/>
      <c r="T69" t="str">
        <f t="shared" si="3"/>
        <v>s1_node_eff_economy_17_6</v>
      </c>
    </row>
    <row r="70" spans="1:20" x14ac:dyDescent="0.3">
      <c r="A70" t="str">
        <f t="shared" si="2"/>
        <v>s1_node_economy_18_2</v>
      </c>
      <c r="B70" t="s">
        <v>0</v>
      </c>
      <c r="C70" t="s">
        <v>26</v>
      </c>
      <c r="D70" t="s">
        <v>103</v>
      </c>
      <c r="E70" t="s">
        <v>553</v>
      </c>
      <c r="F70" s="10" t="s">
        <v>554</v>
      </c>
      <c r="G70" t="s">
        <v>196</v>
      </c>
      <c r="H70">
        <v>1</v>
      </c>
      <c r="I70" t="s">
        <v>959</v>
      </c>
      <c r="J70" t="s">
        <v>216</v>
      </c>
      <c r="K70">
        <v>720</v>
      </c>
      <c r="L70" s="10">
        <v>3</v>
      </c>
      <c r="M70">
        <v>18</v>
      </c>
      <c r="N70">
        <v>2</v>
      </c>
      <c r="O70" s="10" t="s">
        <v>898</v>
      </c>
      <c r="P70" s="10"/>
      <c r="T70" t="str">
        <f t="shared" si="3"/>
        <v>s1_node_eff_economy_18_2</v>
      </c>
    </row>
    <row r="71" spans="1:20" x14ac:dyDescent="0.3">
      <c r="A71" t="str">
        <f t="shared" si="2"/>
        <v>s1_node_economy_18_6</v>
      </c>
      <c r="B71" t="s">
        <v>0</v>
      </c>
      <c r="C71" t="s">
        <v>26</v>
      </c>
      <c r="D71" t="s">
        <v>103</v>
      </c>
      <c r="E71" t="s">
        <v>556</v>
      </c>
      <c r="F71" s="10" t="s">
        <v>557</v>
      </c>
      <c r="G71" t="s">
        <v>196</v>
      </c>
      <c r="H71">
        <v>1</v>
      </c>
      <c r="I71" t="s">
        <v>959</v>
      </c>
      <c r="J71" t="s">
        <v>216</v>
      </c>
      <c r="K71">
        <v>720</v>
      </c>
      <c r="L71" s="10">
        <v>3</v>
      </c>
      <c r="M71">
        <v>18</v>
      </c>
      <c r="N71">
        <v>6</v>
      </c>
      <c r="O71" s="10" t="s">
        <v>217</v>
      </c>
      <c r="P71" s="10"/>
      <c r="T71" t="str">
        <f t="shared" si="3"/>
        <v>s1_node_eff_economy_18_6</v>
      </c>
    </row>
    <row r="72" spans="1:20" x14ac:dyDescent="0.3">
      <c r="A72" t="str">
        <f t="shared" si="2"/>
        <v>s1_node_economy_19_2</v>
      </c>
      <c r="B72" t="s">
        <v>0</v>
      </c>
      <c r="C72" t="s">
        <v>26</v>
      </c>
      <c r="D72" t="s">
        <v>103</v>
      </c>
      <c r="E72" t="s">
        <v>559</v>
      </c>
      <c r="F72" s="10" t="s">
        <v>560</v>
      </c>
      <c r="G72" t="s">
        <v>196</v>
      </c>
      <c r="H72">
        <v>1</v>
      </c>
      <c r="I72" t="s">
        <v>959</v>
      </c>
      <c r="J72" t="s">
        <v>218</v>
      </c>
      <c r="K72">
        <v>750</v>
      </c>
      <c r="L72" s="10">
        <v>3</v>
      </c>
      <c r="M72">
        <v>19</v>
      </c>
      <c r="N72">
        <v>2</v>
      </c>
      <c r="O72" s="10" t="s">
        <v>899</v>
      </c>
      <c r="P72" s="10"/>
      <c r="T72" t="str">
        <f t="shared" si="3"/>
        <v>s1_node_eff_economy_19_2</v>
      </c>
    </row>
    <row r="73" spans="1:20" x14ac:dyDescent="0.3">
      <c r="A73" t="str">
        <f t="shared" si="2"/>
        <v>s1_node_economy_19_6</v>
      </c>
      <c r="B73" t="s">
        <v>0</v>
      </c>
      <c r="C73" t="s">
        <v>26</v>
      </c>
      <c r="D73" t="s">
        <v>103</v>
      </c>
      <c r="E73" t="s">
        <v>562</v>
      </c>
      <c r="F73" s="10" t="s">
        <v>563</v>
      </c>
      <c r="G73" t="s">
        <v>198</v>
      </c>
      <c r="H73">
        <v>1</v>
      </c>
      <c r="I73" t="s">
        <v>959</v>
      </c>
      <c r="J73" t="s">
        <v>218</v>
      </c>
      <c r="K73">
        <v>750</v>
      </c>
      <c r="L73" s="10">
        <v>3</v>
      </c>
      <c r="M73">
        <v>19</v>
      </c>
      <c r="N73">
        <v>6</v>
      </c>
      <c r="O73" s="10" t="s">
        <v>900</v>
      </c>
      <c r="P73" s="10"/>
      <c r="T73" t="str">
        <f t="shared" si="3"/>
        <v>s1_node_eff_economy_19_6</v>
      </c>
    </row>
    <row r="74" spans="1:20" x14ac:dyDescent="0.3">
      <c r="A74" t="str">
        <f t="shared" si="2"/>
        <v>s1_node_economy_20_2</v>
      </c>
      <c r="B74" t="s">
        <v>0</v>
      </c>
      <c r="C74" t="s">
        <v>26</v>
      </c>
      <c r="D74" t="s">
        <v>103</v>
      </c>
      <c r="E74" t="s">
        <v>565</v>
      </c>
      <c r="F74" s="10" t="s">
        <v>566</v>
      </c>
      <c r="G74" t="s">
        <v>196</v>
      </c>
      <c r="H74">
        <v>1</v>
      </c>
      <c r="I74" t="s">
        <v>959</v>
      </c>
      <c r="J74" t="s">
        <v>219</v>
      </c>
      <c r="K74">
        <v>790</v>
      </c>
      <c r="L74" s="10">
        <v>3</v>
      </c>
      <c r="M74">
        <v>20</v>
      </c>
      <c r="N74">
        <v>2</v>
      </c>
      <c r="O74" s="10" t="s">
        <v>901</v>
      </c>
      <c r="P74" s="10"/>
      <c r="T74" t="str">
        <f t="shared" si="3"/>
        <v>s1_node_eff_economy_20_2</v>
      </c>
    </row>
    <row r="75" spans="1:20" x14ac:dyDescent="0.3">
      <c r="A75" t="str">
        <f t="shared" si="2"/>
        <v>s1_node_economy_20_6</v>
      </c>
      <c r="B75" t="s">
        <v>0</v>
      </c>
      <c r="C75" t="s">
        <v>26</v>
      </c>
      <c r="D75" t="s">
        <v>103</v>
      </c>
      <c r="E75" t="s">
        <v>568</v>
      </c>
      <c r="F75" s="10" t="s">
        <v>569</v>
      </c>
      <c r="G75" t="s">
        <v>196</v>
      </c>
      <c r="H75">
        <v>1</v>
      </c>
      <c r="I75" t="s">
        <v>959</v>
      </c>
      <c r="J75" t="s">
        <v>219</v>
      </c>
      <c r="K75">
        <v>790</v>
      </c>
      <c r="L75" s="10">
        <v>3</v>
      </c>
      <c r="M75">
        <v>20</v>
      </c>
      <c r="N75">
        <v>6</v>
      </c>
      <c r="O75" s="10" t="s">
        <v>220</v>
      </c>
      <c r="P75" s="10"/>
      <c r="T75" t="str">
        <f t="shared" si="3"/>
        <v>s1_node_eff_economy_20_6</v>
      </c>
    </row>
    <row r="76" spans="1:20" x14ac:dyDescent="0.3">
      <c r="A76" s="17" t="str">
        <f t="shared" si="2"/>
        <v>s1_node_relic_1_4</v>
      </c>
      <c r="B76" s="17" t="s">
        <v>0</v>
      </c>
      <c r="C76" s="17" t="s">
        <v>26</v>
      </c>
      <c r="D76" s="17" t="s">
        <v>104</v>
      </c>
      <c r="E76" s="17" t="s">
        <v>571</v>
      </c>
      <c r="F76" s="18" t="s">
        <v>572</v>
      </c>
      <c r="G76" s="17" t="s">
        <v>222</v>
      </c>
      <c r="H76" s="17">
        <v>1</v>
      </c>
      <c r="I76" s="17" t="s">
        <v>959</v>
      </c>
      <c r="J76" s="17" t="s">
        <v>223</v>
      </c>
      <c r="K76" s="17">
        <v>160</v>
      </c>
      <c r="L76" s="18">
        <v>3</v>
      </c>
      <c r="M76" s="17">
        <v>1</v>
      </c>
      <c r="N76" s="17">
        <v>4</v>
      </c>
      <c r="O76" s="18"/>
      <c r="P76" s="18"/>
      <c r="Q76" s="17"/>
      <c r="R76" s="17"/>
      <c r="S76" s="17"/>
      <c r="T76" s="17" t="str">
        <f t="shared" si="3"/>
        <v>s1_node_eff_relic_1_4</v>
      </c>
    </row>
    <row r="77" spans="1:20" x14ac:dyDescent="0.3">
      <c r="A77" t="str">
        <f t="shared" si="2"/>
        <v>s1_node_relic_2_2</v>
      </c>
      <c r="B77" t="s">
        <v>0</v>
      </c>
      <c r="C77" t="s">
        <v>26</v>
      </c>
      <c r="D77" t="s">
        <v>104</v>
      </c>
      <c r="E77" t="s">
        <v>574</v>
      </c>
      <c r="F77" s="10" t="s">
        <v>575</v>
      </c>
      <c r="G77" t="s">
        <v>147</v>
      </c>
      <c r="H77">
        <v>1</v>
      </c>
      <c r="I77" t="s">
        <v>959</v>
      </c>
      <c r="J77" t="s">
        <v>224</v>
      </c>
      <c r="K77">
        <v>200</v>
      </c>
      <c r="L77" s="10">
        <v>3</v>
      </c>
      <c r="M77">
        <v>2</v>
      </c>
      <c r="N77">
        <v>2</v>
      </c>
      <c r="O77" s="10" t="s">
        <v>856</v>
      </c>
      <c r="P77" s="10"/>
      <c r="T77" t="str">
        <f t="shared" si="3"/>
        <v>s1_node_eff_relic_2_2</v>
      </c>
    </row>
    <row r="78" spans="1:20" x14ac:dyDescent="0.3">
      <c r="A78" t="str">
        <f t="shared" si="2"/>
        <v>s1_node_relic_2_6</v>
      </c>
      <c r="B78" t="s">
        <v>0</v>
      </c>
      <c r="C78" t="s">
        <v>26</v>
      </c>
      <c r="D78" t="s">
        <v>104</v>
      </c>
      <c r="E78" t="s">
        <v>577</v>
      </c>
      <c r="F78" s="10" t="s">
        <v>578</v>
      </c>
      <c r="G78" t="s">
        <v>196</v>
      </c>
      <c r="H78">
        <v>1</v>
      </c>
      <c r="I78" t="s">
        <v>959</v>
      </c>
      <c r="J78" t="s">
        <v>224</v>
      </c>
      <c r="K78">
        <v>200</v>
      </c>
      <c r="L78" s="10">
        <v>3</v>
      </c>
      <c r="M78">
        <v>2</v>
      </c>
      <c r="N78">
        <v>6</v>
      </c>
      <c r="O78" s="10" t="s">
        <v>856</v>
      </c>
      <c r="P78" s="10"/>
      <c r="T78" t="str">
        <f t="shared" si="3"/>
        <v>s1_node_eff_relic_2_6</v>
      </c>
    </row>
    <row r="79" spans="1:20" x14ac:dyDescent="0.3">
      <c r="A79" t="str">
        <f t="shared" si="2"/>
        <v>s1_node_relic_3_2</v>
      </c>
      <c r="B79" t="s">
        <v>0</v>
      </c>
      <c r="C79" t="s">
        <v>26</v>
      </c>
      <c r="D79" t="s">
        <v>104</v>
      </c>
      <c r="E79" t="s">
        <v>583</v>
      </c>
      <c r="F79" s="10" t="s">
        <v>584</v>
      </c>
      <c r="G79" t="s">
        <v>136</v>
      </c>
      <c r="H79">
        <v>1</v>
      </c>
      <c r="I79" t="s">
        <v>959</v>
      </c>
      <c r="J79" t="s">
        <v>225</v>
      </c>
      <c r="K79">
        <v>240</v>
      </c>
      <c r="L79" s="10">
        <v>3</v>
      </c>
      <c r="M79">
        <v>3</v>
      </c>
      <c r="N79">
        <v>2</v>
      </c>
      <c r="O79" s="10" t="s">
        <v>857</v>
      </c>
      <c r="P79" s="10"/>
      <c r="T79" t="str">
        <f t="shared" si="3"/>
        <v>s1_node_eff_relic_3_2</v>
      </c>
    </row>
    <row r="80" spans="1:20" x14ac:dyDescent="0.3">
      <c r="A80" t="str">
        <f t="shared" si="2"/>
        <v>s1_node_relic_3_6</v>
      </c>
      <c r="B80" t="s">
        <v>0</v>
      </c>
      <c r="C80" t="s">
        <v>26</v>
      </c>
      <c r="D80" t="s">
        <v>104</v>
      </c>
      <c r="E80" t="s">
        <v>583</v>
      </c>
      <c r="F80" s="10" t="s">
        <v>584</v>
      </c>
      <c r="G80" t="s">
        <v>147</v>
      </c>
      <c r="H80">
        <v>1</v>
      </c>
      <c r="I80" t="s">
        <v>959</v>
      </c>
      <c r="J80" t="s">
        <v>225</v>
      </c>
      <c r="K80">
        <v>240</v>
      </c>
      <c r="L80" s="10">
        <v>3</v>
      </c>
      <c r="M80">
        <v>3</v>
      </c>
      <c r="N80">
        <v>6</v>
      </c>
      <c r="O80" s="10" t="s">
        <v>226</v>
      </c>
      <c r="P80" s="10"/>
      <c r="T80" t="str">
        <f t="shared" si="3"/>
        <v>s1_node_eff_relic_3_6</v>
      </c>
    </row>
    <row r="81" spans="1:20" x14ac:dyDescent="0.3">
      <c r="A81" t="str">
        <f t="shared" si="2"/>
        <v>s1_node_relic_4_2</v>
      </c>
      <c r="B81" t="s">
        <v>0</v>
      </c>
      <c r="C81" t="s">
        <v>26</v>
      </c>
      <c r="D81" t="s">
        <v>104</v>
      </c>
      <c r="E81" t="s">
        <v>589</v>
      </c>
      <c r="F81" s="10" t="s">
        <v>590</v>
      </c>
      <c r="G81" t="s">
        <v>147</v>
      </c>
      <c r="H81">
        <v>1</v>
      </c>
      <c r="I81" t="s">
        <v>959</v>
      </c>
      <c r="J81" t="s">
        <v>227</v>
      </c>
      <c r="K81">
        <v>270</v>
      </c>
      <c r="L81" s="10">
        <v>3</v>
      </c>
      <c r="M81">
        <v>4</v>
      </c>
      <c r="N81">
        <v>2</v>
      </c>
      <c r="O81" s="10" t="s">
        <v>858</v>
      </c>
      <c r="P81" s="10"/>
      <c r="T81" t="str">
        <f t="shared" si="3"/>
        <v>s1_node_eff_relic_4_2</v>
      </c>
    </row>
    <row r="82" spans="1:20" x14ac:dyDescent="0.3">
      <c r="A82" t="str">
        <f t="shared" si="2"/>
        <v>s1_node_relic_4_6</v>
      </c>
      <c r="B82" t="s">
        <v>0</v>
      </c>
      <c r="C82" t="s">
        <v>26</v>
      </c>
      <c r="D82" t="s">
        <v>104</v>
      </c>
      <c r="E82" t="s">
        <v>592</v>
      </c>
      <c r="F82" s="10" t="s">
        <v>593</v>
      </c>
      <c r="G82" t="s">
        <v>136</v>
      </c>
      <c r="H82">
        <v>1</v>
      </c>
      <c r="I82" t="s">
        <v>959</v>
      </c>
      <c r="J82" t="s">
        <v>227</v>
      </c>
      <c r="K82">
        <v>270</v>
      </c>
      <c r="L82" s="10">
        <v>3</v>
      </c>
      <c r="M82">
        <v>4</v>
      </c>
      <c r="N82">
        <v>6</v>
      </c>
      <c r="O82" s="10" t="s">
        <v>859</v>
      </c>
      <c r="P82" s="10"/>
      <c r="T82" t="str">
        <f t="shared" si="3"/>
        <v>s1_node_eff_relic_4_6</v>
      </c>
    </row>
    <row r="83" spans="1:20" x14ac:dyDescent="0.3">
      <c r="A83" t="str">
        <f t="shared" si="2"/>
        <v>s1_node_relic_5_2</v>
      </c>
      <c r="B83" t="s">
        <v>0</v>
      </c>
      <c r="C83" t="s">
        <v>26</v>
      </c>
      <c r="D83" t="s">
        <v>104</v>
      </c>
      <c r="E83" t="s">
        <v>595</v>
      </c>
      <c r="F83" s="10" t="s">
        <v>596</v>
      </c>
      <c r="G83" t="s">
        <v>147</v>
      </c>
      <c r="H83">
        <v>1</v>
      </c>
      <c r="I83" t="s">
        <v>959</v>
      </c>
      <c r="J83" t="s">
        <v>229</v>
      </c>
      <c r="K83">
        <v>310</v>
      </c>
      <c r="L83" s="10">
        <v>3</v>
      </c>
      <c r="M83">
        <v>5</v>
      </c>
      <c r="N83">
        <v>2</v>
      </c>
      <c r="O83" s="10" t="s">
        <v>860</v>
      </c>
      <c r="P83" s="10"/>
      <c r="T83" t="str">
        <f t="shared" si="3"/>
        <v>s1_node_eff_relic_5_2</v>
      </c>
    </row>
    <row r="84" spans="1:20" x14ac:dyDescent="0.3">
      <c r="A84" t="str">
        <f t="shared" si="2"/>
        <v>s1_node_relic_5_6</v>
      </c>
      <c r="B84" t="s">
        <v>0</v>
      </c>
      <c r="C84" t="s">
        <v>26</v>
      </c>
      <c r="D84" t="s">
        <v>104</v>
      </c>
      <c r="E84" t="s">
        <v>598</v>
      </c>
      <c r="F84" s="10" t="s">
        <v>599</v>
      </c>
      <c r="G84" t="s">
        <v>222</v>
      </c>
      <c r="H84">
        <v>1</v>
      </c>
      <c r="I84" t="s">
        <v>959</v>
      </c>
      <c r="J84" t="s">
        <v>229</v>
      </c>
      <c r="K84">
        <v>310</v>
      </c>
      <c r="L84" s="10">
        <v>3</v>
      </c>
      <c r="M84">
        <v>5</v>
      </c>
      <c r="N84">
        <v>6</v>
      </c>
      <c r="O84" s="10" t="s">
        <v>230</v>
      </c>
      <c r="P84" s="10"/>
      <c r="T84" t="str">
        <f t="shared" si="3"/>
        <v>s1_node_eff_relic_5_6</v>
      </c>
    </row>
    <row r="85" spans="1:20" x14ac:dyDescent="0.3">
      <c r="A85" t="str">
        <f t="shared" si="2"/>
        <v>s1_node_relic_6_4</v>
      </c>
      <c r="B85" t="s">
        <v>0</v>
      </c>
      <c r="C85" t="s">
        <v>26</v>
      </c>
      <c r="D85" t="s">
        <v>104</v>
      </c>
      <c r="E85" t="s">
        <v>601</v>
      </c>
      <c r="F85" s="10" t="s">
        <v>602</v>
      </c>
      <c r="G85" t="s">
        <v>147</v>
      </c>
      <c r="H85">
        <v>1</v>
      </c>
      <c r="I85" t="s">
        <v>959</v>
      </c>
      <c r="J85" t="s">
        <v>231</v>
      </c>
      <c r="K85">
        <v>350</v>
      </c>
      <c r="L85" s="10">
        <v>3</v>
      </c>
      <c r="M85">
        <v>6</v>
      </c>
      <c r="N85">
        <v>4</v>
      </c>
      <c r="O85" s="10" t="s">
        <v>861</v>
      </c>
      <c r="P85" s="10" t="s">
        <v>232</v>
      </c>
      <c r="T85" t="str">
        <f t="shared" si="3"/>
        <v>s1_node_eff_relic_6_4</v>
      </c>
    </row>
    <row r="86" spans="1:20" x14ac:dyDescent="0.3">
      <c r="A86" t="str">
        <f t="shared" si="2"/>
        <v>s1_node_relic_7_2</v>
      </c>
      <c r="B86" t="s">
        <v>0</v>
      </c>
      <c r="C86" t="s">
        <v>26</v>
      </c>
      <c r="D86" t="s">
        <v>104</v>
      </c>
      <c r="E86" t="s">
        <v>604</v>
      </c>
      <c r="F86" s="10" t="s">
        <v>605</v>
      </c>
      <c r="G86" t="s">
        <v>140</v>
      </c>
      <c r="H86">
        <v>1</v>
      </c>
      <c r="I86" t="s">
        <v>959</v>
      </c>
      <c r="J86" t="s">
        <v>162</v>
      </c>
      <c r="K86">
        <v>390</v>
      </c>
      <c r="L86" s="10">
        <v>3</v>
      </c>
      <c r="M86">
        <v>7</v>
      </c>
      <c r="N86">
        <v>2</v>
      </c>
      <c r="O86" s="10" t="s">
        <v>862</v>
      </c>
      <c r="P86" s="10"/>
      <c r="T86" t="str">
        <f t="shared" si="3"/>
        <v>s1_node_eff_relic_7_2</v>
      </c>
    </row>
    <row r="87" spans="1:20" x14ac:dyDescent="0.3">
      <c r="A87" t="str">
        <f t="shared" si="2"/>
        <v>s1_node_relic_7_6</v>
      </c>
      <c r="B87" t="s">
        <v>0</v>
      </c>
      <c r="C87" t="s">
        <v>26</v>
      </c>
      <c r="D87" t="s">
        <v>104</v>
      </c>
      <c r="E87" t="s">
        <v>607</v>
      </c>
      <c r="F87" s="10" t="s">
        <v>608</v>
      </c>
      <c r="G87" t="s">
        <v>136</v>
      </c>
      <c r="H87">
        <v>1</v>
      </c>
      <c r="I87" t="s">
        <v>959</v>
      </c>
      <c r="J87" t="s">
        <v>162</v>
      </c>
      <c r="K87">
        <v>390</v>
      </c>
      <c r="L87" s="10">
        <v>3</v>
      </c>
      <c r="M87">
        <v>7</v>
      </c>
      <c r="N87">
        <v>6</v>
      </c>
      <c r="O87" s="10" t="s">
        <v>862</v>
      </c>
      <c r="P87" s="10"/>
      <c r="T87" t="str">
        <f t="shared" si="3"/>
        <v>s1_node_eff_relic_7_6</v>
      </c>
    </row>
    <row r="88" spans="1:20" x14ac:dyDescent="0.3">
      <c r="A88" t="str">
        <f t="shared" si="2"/>
        <v>s1_node_relic_8_2</v>
      </c>
      <c r="B88" t="s">
        <v>0</v>
      </c>
      <c r="C88" t="s">
        <v>26</v>
      </c>
      <c r="D88" t="s">
        <v>104</v>
      </c>
      <c r="E88" t="s">
        <v>610</v>
      </c>
      <c r="F88" s="10" t="s">
        <v>611</v>
      </c>
      <c r="G88" t="s">
        <v>147</v>
      </c>
      <c r="H88">
        <v>1</v>
      </c>
      <c r="I88" t="s">
        <v>959</v>
      </c>
      <c r="J88" t="s">
        <v>165</v>
      </c>
      <c r="K88">
        <v>430</v>
      </c>
      <c r="L88" s="10">
        <v>3</v>
      </c>
      <c r="M88">
        <v>8</v>
      </c>
      <c r="N88">
        <v>2</v>
      </c>
      <c r="O88" s="10" t="s">
        <v>863</v>
      </c>
      <c r="P88" s="10"/>
      <c r="T88" t="str">
        <f t="shared" si="3"/>
        <v>s1_node_eff_relic_8_2</v>
      </c>
    </row>
    <row r="89" spans="1:20" x14ac:dyDescent="0.3">
      <c r="A89" t="str">
        <f t="shared" si="2"/>
        <v>s1_node_relic_8_6</v>
      </c>
      <c r="B89" t="s">
        <v>0</v>
      </c>
      <c r="C89" t="s">
        <v>26</v>
      </c>
      <c r="D89" t="s">
        <v>104</v>
      </c>
      <c r="E89" t="s">
        <v>613</v>
      </c>
      <c r="F89" s="10" t="s">
        <v>614</v>
      </c>
      <c r="G89" t="s">
        <v>147</v>
      </c>
      <c r="H89">
        <v>1</v>
      </c>
      <c r="I89" t="s">
        <v>959</v>
      </c>
      <c r="J89" t="s">
        <v>165</v>
      </c>
      <c r="K89">
        <v>430</v>
      </c>
      <c r="L89" s="10">
        <v>3</v>
      </c>
      <c r="M89">
        <v>8</v>
      </c>
      <c r="N89">
        <v>6</v>
      </c>
      <c r="O89" s="10" t="s">
        <v>233</v>
      </c>
      <c r="P89" s="10"/>
      <c r="T89" t="str">
        <f t="shared" si="3"/>
        <v>s1_node_eff_relic_8_6</v>
      </c>
    </row>
    <row r="90" spans="1:20" x14ac:dyDescent="0.3">
      <c r="A90" t="str">
        <f t="shared" si="2"/>
        <v>s1_node_relic_9_2</v>
      </c>
      <c r="B90" t="s">
        <v>0</v>
      </c>
      <c r="C90" t="s">
        <v>26</v>
      </c>
      <c r="D90" t="s">
        <v>104</v>
      </c>
      <c r="E90" t="s">
        <v>613</v>
      </c>
      <c r="F90" s="10" t="s">
        <v>614</v>
      </c>
      <c r="G90" t="s">
        <v>228</v>
      </c>
      <c r="H90">
        <v>1</v>
      </c>
      <c r="I90" t="s">
        <v>959</v>
      </c>
      <c r="J90" t="s">
        <v>168</v>
      </c>
      <c r="K90">
        <v>460</v>
      </c>
      <c r="L90" s="10">
        <v>3</v>
      </c>
      <c r="M90">
        <v>9</v>
      </c>
      <c r="N90">
        <v>2</v>
      </c>
      <c r="O90" s="10" t="s">
        <v>864</v>
      </c>
      <c r="P90" s="10"/>
      <c r="T90" t="str">
        <f t="shared" si="3"/>
        <v>s1_node_eff_relic_9_2</v>
      </c>
    </row>
    <row r="91" spans="1:20" x14ac:dyDescent="0.3">
      <c r="A91" t="str">
        <f t="shared" si="2"/>
        <v>s1_node_relic_9_6</v>
      </c>
      <c r="B91" t="s">
        <v>0</v>
      </c>
      <c r="C91" t="s">
        <v>26</v>
      </c>
      <c r="D91" t="s">
        <v>104</v>
      </c>
      <c r="E91" t="s">
        <v>619</v>
      </c>
      <c r="F91" s="10" t="s">
        <v>620</v>
      </c>
      <c r="G91" t="s">
        <v>147</v>
      </c>
      <c r="H91">
        <v>1</v>
      </c>
      <c r="I91" t="s">
        <v>959</v>
      </c>
      <c r="J91" t="s">
        <v>168</v>
      </c>
      <c r="K91">
        <v>460</v>
      </c>
      <c r="L91" s="10">
        <v>3</v>
      </c>
      <c r="M91">
        <v>9</v>
      </c>
      <c r="N91">
        <v>6</v>
      </c>
      <c r="O91" s="10" t="s">
        <v>865</v>
      </c>
      <c r="P91" s="10"/>
      <c r="T91" t="str">
        <f t="shared" si="3"/>
        <v>s1_node_eff_relic_9_6</v>
      </c>
    </row>
    <row r="92" spans="1:20" x14ac:dyDescent="0.3">
      <c r="A92" t="str">
        <f t="shared" si="2"/>
        <v>s1_node_relic_10_2</v>
      </c>
      <c r="B92" t="s">
        <v>0</v>
      </c>
      <c r="C92" t="s">
        <v>26</v>
      </c>
      <c r="D92" t="s">
        <v>104</v>
      </c>
      <c r="E92" t="s">
        <v>619</v>
      </c>
      <c r="F92" s="10" t="s">
        <v>620</v>
      </c>
      <c r="G92" t="s">
        <v>222</v>
      </c>
      <c r="H92">
        <v>1</v>
      </c>
      <c r="I92" t="s">
        <v>959</v>
      </c>
      <c r="J92" t="s">
        <v>170</v>
      </c>
      <c r="K92">
        <v>500</v>
      </c>
      <c r="L92" s="10">
        <v>3</v>
      </c>
      <c r="M92">
        <v>10</v>
      </c>
      <c r="N92">
        <v>2</v>
      </c>
      <c r="O92" s="10" t="s">
        <v>866</v>
      </c>
      <c r="P92" s="10"/>
      <c r="T92" t="str">
        <f t="shared" si="3"/>
        <v>s1_node_eff_relic_10_2</v>
      </c>
    </row>
    <row r="93" spans="1:20" x14ac:dyDescent="0.3">
      <c r="A93" t="str">
        <f t="shared" si="2"/>
        <v>s1_node_relic_10_6</v>
      </c>
      <c r="B93" t="s">
        <v>0</v>
      </c>
      <c r="C93" t="s">
        <v>26</v>
      </c>
      <c r="D93" t="s">
        <v>104</v>
      </c>
      <c r="E93" t="s">
        <v>940</v>
      </c>
      <c r="F93" s="10" t="s">
        <v>941</v>
      </c>
      <c r="G93" t="s">
        <v>147</v>
      </c>
      <c r="H93">
        <v>1</v>
      </c>
      <c r="I93" t="s">
        <v>959</v>
      </c>
      <c r="J93" t="s">
        <v>170</v>
      </c>
      <c r="K93">
        <v>500</v>
      </c>
      <c r="L93" s="10">
        <v>3</v>
      </c>
      <c r="M93">
        <v>10</v>
      </c>
      <c r="N93">
        <v>6</v>
      </c>
      <c r="O93" s="10" t="s">
        <v>234</v>
      </c>
      <c r="P93" s="10"/>
      <c r="T93" t="str">
        <f t="shared" si="3"/>
        <v>s1_node_eff_relic_10_6</v>
      </c>
    </row>
    <row r="94" spans="1:20" x14ac:dyDescent="0.3">
      <c r="A94" t="str">
        <f t="shared" si="2"/>
        <v>s1_node_relic_11_4</v>
      </c>
      <c r="B94" t="s">
        <v>0</v>
      </c>
      <c r="C94" t="s">
        <v>26</v>
      </c>
      <c r="D94" t="s">
        <v>104</v>
      </c>
      <c r="E94" t="s">
        <v>942</v>
      </c>
      <c r="F94" s="10" t="s">
        <v>943</v>
      </c>
      <c r="G94" t="s">
        <v>140</v>
      </c>
      <c r="H94">
        <v>1</v>
      </c>
      <c r="I94" t="s">
        <v>959</v>
      </c>
      <c r="J94" t="s">
        <v>208</v>
      </c>
      <c r="K94">
        <v>540</v>
      </c>
      <c r="L94" s="10">
        <v>3</v>
      </c>
      <c r="M94">
        <v>11</v>
      </c>
      <c r="N94">
        <v>4</v>
      </c>
      <c r="O94" s="10" t="s">
        <v>867</v>
      </c>
      <c r="P94" s="10" t="s">
        <v>235</v>
      </c>
      <c r="T94" t="str">
        <f t="shared" si="3"/>
        <v>s1_node_eff_relic_11_4</v>
      </c>
    </row>
    <row r="95" spans="1:20" x14ac:dyDescent="0.3">
      <c r="A95" t="str">
        <f t="shared" si="2"/>
        <v>s1_node_relic_12_2</v>
      </c>
      <c r="B95" t="s">
        <v>0</v>
      </c>
      <c r="C95" t="s">
        <v>26</v>
      </c>
      <c r="D95" t="s">
        <v>104</v>
      </c>
      <c r="E95" t="s">
        <v>944</v>
      </c>
      <c r="F95" s="10" t="s">
        <v>945</v>
      </c>
      <c r="G95" t="s">
        <v>196</v>
      </c>
      <c r="H95">
        <v>1</v>
      </c>
      <c r="I95" t="s">
        <v>959</v>
      </c>
      <c r="J95" t="s">
        <v>210</v>
      </c>
      <c r="K95">
        <v>580</v>
      </c>
      <c r="L95" s="10">
        <v>3</v>
      </c>
      <c r="M95">
        <v>12</v>
      </c>
      <c r="N95">
        <v>2</v>
      </c>
      <c r="O95" s="10" t="s">
        <v>868</v>
      </c>
      <c r="P95" s="10"/>
      <c r="T95" t="str">
        <f t="shared" si="3"/>
        <v>s1_node_eff_relic_12_2</v>
      </c>
    </row>
    <row r="96" spans="1:20" x14ac:dyDescent="0.3">
      <c r="A96" t="str">
        <f t="shared" si="2"/>
        <v>s1_node_relic_12_6</v>
      </c>
      <c r="B96" t="s">
        <v>0</v>
      </c>
      <c r="C96" t="s">
        <v>26</v>
      </c>
      <c r="D96" t="s">
        <v>104</v>
      </c>
      <c r="E96" t="s">
        <v>946</v>
      </c>
      <c r="F96" s="10" t="s">
        <v>947</v>
      </c>
      <c r="G96" t="s">
        <v>147</v>
      </c>
      <c r="H96">
        <v>1</v>
      </c>
      <c r="I96" t="s">
        <v>959</v>
      </c>
      <c r="J96" t="s">
        <v>210</v>
      </c>
      <c r="K96">
        <v>580</v>
      </c>
      <c r="L96" s="10">
        <v>3</v>
      </c>
      <c r="M96">
        <v>12</v>
      </c>
      <c r="N96">
        <v>6</v>
      </c>
      <c r="O96" s="10" t="s">
        <v>868</v>
      </c>
      <c r="P96" s="10"/>
      <c r="T96" t="str">
        <f t="shared" si="3"/>
        <v>s1_node_eff_relic_12_6</v>
      </c>
    </row>
    <row r="97" spans="1:20" x14ac:dyDescent="0.3">
      <c r="A97" t="str">
        <f t="shared" si="2"/>
        <v>s1_node_relic_13_2</v>
      </c>
      <c r="B97" t="s">
        <v>0</v>
      </c>
      <c r="C97" t="s">
        <v>26</v>
      </c>
      <c r="D97" t="s">
        <v>104</v>
      </c>
      <c r="E97" t="s">
        <v>948</v>
      </c>
      <c r="F97" s="10" t="s">
        <v>949</v>
      </c>
      <c r="G97" t="s">
        <v>147</v>
      </c>
      <c r="H97">
        <v>1</v>
      </c>
      <c r="I97" t="s">
        <v>959</v>
      </c>
      <c r="J97" t="s">
        <v>236</v>
      </c>
      <c r="K97">
        <v>620</v>
      </c>
      <c r="L97" s="10">
        <v>3</v>
      </c>
      <c r="M97">
        <v>13</v>
      </c>
      <c r="N97">
        <v>2</v>
      </c>
      <c r="O97" s="10" t="s">
        <v>869</v>
      </c>
      <c r="P97" s="10"/>
      <c r="T97" t="str">
        <f t="shared" si="3"/>
        <v>s1_node_eff_relic_13_2</v>
      </c>
    </row>
    <row r="98" spans="1:20" x14ac:dyDescent="0.3">
      <c r="A98" t="str">
        <f t="shared" si="2"/>
        <v>s1_node_relic_13_6</v>
      </c>
      <c r="B98" t="s">
        <v>0</v>
      </c>
      <c r="C98" t="s">
        <v>26</v>
      </c>
      <c r="D98" t="s">
        <v>104</v>
      </c>
      <c r="E98" t="s">
        <v>950</v>
      </c>
      <c r="F98" s="10" t="s">
        <v>951</v>
      </c>
      <c r="G98" t="s">
        <v>228</v>
      </c>
      <c r="H98">
        <v>1</v>
      </c>
      <c r="I98" t="s">
        <v>959</v>
      </c>
      <c r="J98" t="s">
        <v>236</v>
      </c>
      <c r="K98">
        <v>620</v>
      </c>
      <c r="L98" s="10">
        <v>3</v>
      </c>
      <c r="M98">
        <v>13</v>
      </c>
      <c r="N98">
        <v>6</v>
      </c>
      <c r="O98" s="10" t="s">
        <v>237</v>
      </c>
      <c r="P98" s="10"/>
      <c r="T98" t="str">
        <f t="shared" si="3"/>
        <v>s1_node_eff_relic_13_6</v>
      </c>
    </row>
    <row r="99" spans="1:20" x14ac:dyDescent="0.3">
      <c r="A99" t="str">
        <f t="shared" si="2"/>
        <v>s1_node_relic_14_2</v>
      </c>
      <c r="B99" t="s">
        <v>0</v>
      </c>
      <c r="C99" t="s">
        <v>26</v>
      </c>
      <c r="D99" t="s">
        <v>104</v>
      </c>
      <c r="E99" t="s">
        <v>325</v>
      </c>
      <c r="F99" s="10" t="s">
        <v>326</v>
      </c>
      <c r="G99" t="s">
        <v>136</v>
      </c>
      <c r="H99">
        <v>1</v>
      </c>
      <c r="I99" t="s">
        <v>959</v>
      </c>
      <c r="J99" t="s">
        <v>213</v>
      </c>
      <c r="K99">
        <v>650</v>
      </c>
      <c r="L99" s="10">
        <v>3</v>
      </c>
      <c r="M99">
        <v>14</v>
      </c>
      <c r="N99">
        <v>2</v>
      </c>
      <c r="O99" s="10" t="s">
        <v>870</v>
      </c>
      <c r="P99" s="10"/>
      <c r="T99" t="str">
        <f t="shared" si="3"/>
        <v>s1_node_eff_relic_14_2</v>
      </c>
    </row>
    <row r="100" spans="1:20" x14ac:dyDescent="0.3">
      <c r="A100" t="str">
        <f t="shared" si="2"/>
        <v>s1_node_relic_14_6</v>
      </c>
      <c r="B100" t="s">
        <v>0</v>
      </c>
      <c r="C100" t="s">
        <v>26</v>
      </c>
      <c r="D100" t="s">
        <v>104</v>
      </c>
      <c r="E100" t="s">
        <v>328</v>
      </c>
      <c r="F100" s="10" t="s">
        <v>329</v>
      </c>
      <c r="G100" t="s">
        <v>222</v>
      </c>
      <c r="H100">
        <v>1</v>
      </c>
      <c r="I100" t="s">
        <v>959</v>
      </c>
      <c r="J100" t="s">
        <v>213</v>
      </c>
      <c r="K100">
        <v>650</v>
      </c>
      <c r="L100" s="10">
        <v>3</v>
      </c>
      <c r="M100">
        <v>14</v>
      </c>
      <c r="N100">
        <v>6</v>
      </c>
      <c r="O100" s="10" t="s">
        <v>871</v>
      </c>
      <c r="P100" s="10"/>
      <c r="T100" t="str">
        <f t="shared" si="3"/>
        <v>s1_node_eff_relic_14_6</v>
      </c>
    </row>
    <row r="101" spans="1:20" x14ac:dyDescent="0.3">
      <c r="A101" t="str">
        <f t="shared" si="2"/>
        <v>s1_node_relic_15_2</v>
      </c>
      <c r="B101" t="s">
        <v>0</v>
      </c>
      <c r="C101" t="s">
        <v>26</v>
      </c>
      <c r="D101" t="s">
        <v>104</v>
      </c>
      <c r="E101" t="s">
        <v>331</v>
      </c>
      <c r="F101" s="10" t="s">
        <v>332</v>
      </c>
      <c r="G101" t="s">
        <v>147</v>
      </c>
      <c r="H101">
        <v>1</v>
      </c>
      <c r="I101" t="s">
        <v>959</v>
      </c>
      <c r="J101" t="s">
        <v>238</v>
      </c>
      <c r="K101">
        <v>690</v>
      </c>
      <c r="L101" s="10">
        <v>3</v>
      </c>
      <c r="M101">
        <v>15</v>
      </c>
      <c r="N101">
        <v>2</v>
      </c>
      <c r="O101" s="10" t="s">
        <v>872</v>
      </c>
      <c r="P101" s="10"/>
      <c r="T101" t="str">
        <f t="shared" si="3"/>
        <v>s1_node_eff_relic_15_2</v>
      </c>
    </row>
    <row r="102" spans="1:20" x14ac:dyDescent="0.3">
      <c r="A102" t="str">
        <f t="shared" si="2"/>
        <v>s1_node_relic_15_6</v>
      </c>
      <c r="B102" t="s">
        <v>0</v>
      </c>
      <c r="C102" t="s">
        <v>26</v>
      </c>
      <c r="D102" t="s">
        <v>104</v>
      </c>
      <c r="E102" t="s">
        <v>337</v>
      </c>
      <c r="F102" s="10" t="s">
        <v>338</v>
      </c>
      <c r="G102" t="s">
        <v>140</v>
      </c>
      <c r="H102">
        <v>1</v>
      </c>
      <c r="I102" t="s">
        <v>959</v>
      </c>
      <c r="J102" t="s">
        <v>238</v>
      </c>
      <c r="K102">
        <v>690</v>
      </c>
      <c r="L102" s="10">
        <v>3</v>
      </c>
      <c r="M102">
        <v>15</v>
      </c>
      <c r="N102">
        <v>6</v>
      </c>
      <c r="O102" s="10" t="s">
        <v>239</v>
      </c>
      <c r="P102" s="10"/>
      <c r="T102" t="str">
        <f t="shared" si="3"/>
        <v>s1_node_eff_relic_15_6</v>
      </c>
    </row>
    <row r="103" spans="1:20" x14ac:dyDescent="0.3">
      <c r="A103" t="str">
        <f t="shared" si="2"/>
        <v>s1_node_relic_16_4</v>
      </c>
      <c r="B103" t="s">
        <v>0</v>
      </c>
      <c r="C103" t="s">
        <v>26</v>
      </c>
      <c r="D103" t="s">
        <v>104</v>
      </c>
      <c r="E103" t="s">
        <v>340</v>
      </c>
      <c r="F103" s="10" t="s">
        <v>341</v>
      </c>
      <c r="G103" t="s">
        <v>196</v>
      </c>
      <c r="H103">
        <v>1</v>
      </c>
      <c r="I103" t="s">
        <v>959</v>
      </c>
      <c r="J103" t="s">
        <v>240</v>
      </c>
      <c r="K103">
        <v>730</v>
      </c>
      <c r="L103" s="10">
        <v>3</v>
      </c>
      <c r="M103">
        <v>16</v>
      </c>
      <c r="N103">
        <v>4</v>
      </c>
      <c r="O103" s="10" t="s">
        <v>873</v>
      </c>
      <c r="P103" s="10" t="s">
        <v>241</v>
      </c>
      <c r="T103" t="str">
        <f t="shared" si="3"/>
        <v>s1_node_eff_relic_16_4</v>
      </c>
    </row>
    <row r="104" spans="1:20" x14ac:dyDescent="0.3">
      <c r="A104" t="str">
        <f t="shared" si="2"/>
        <v>s1_node_relic_17_2</v>
      </c>
      <c r="B104" t="s">
        <v>0</v>
      </c>
      <c r="C104" t="s">
        <v>26</v>
      </c>
      <c r="D104" t="s">
        <v>104</v>
      </c>
      <c r="E104" t="s">
        <v>343</v>
      </c>
      <c r="F104" s="10" t="s">
        <v>344</v>
      </c>
      <c r="G104" t="s">
        <v>136</v>
      </c>
      <c r="H104">
        <v>1</v>
      </c>
      <c r="I104" t="s">
        <v>959</v>
      </c>
      <c r="J104" t="s">
        <v>242</v>
      </c>
      <c r="K104">
        <v>770</v>
      </c>
      <c r="L104" s="10">
        <v>3</v>
      </c>
      <c r="M104">
        <v>17</v>
      </c>
      <c r="N104">
        <v>2</v>
      </c>
      <c r="O104" s="10" t="s">
        <v>874</v>
      </c>
      <c r="P104" s="10"/>
      <c r="T104" t="str">
        <f t="shared" si="3"/>
        <v>s1_node_eff_relic_17_2</v>
      </c>
    </row>
    <row r="105" spans="1:20" x14ac:dyDescent="0.3">
      <c r="A105" t="str">
        <f t="shared" si="2"/>
        <v>s1_node_relic_17_6</v>
      </c>
      <c r="B105" t="s">
        <v>0</v>
      </c>
      <c r="C105" t="s">
        <v>26</v>
      </c>
      <c r="D105" t="s">
        <v>104</v>
      </c>
      <c r="E105" t="s">
        <v>346</v>
      </c>
      <c r="F105" s="10" t="s">
        <v>347</v>
      </c>
      <c r="G105" t="s">
        <v>147</v>
      </c>
      <c r="H105">
        <v>1</v>
      </c>
      <c r="I105" t="s">
        <v>959</v>
      </c>
      <c r="J105" t="s">
        <v>242</v>
      </c>
      <c r="K105">
        <v>770</v>
      </c>
      <c r="L105" s="10">
        <v>3</v>
      </c>
      <c r="M105">
        <v>17</v>
      </c>
      <c r="N105">
        <v>6</v>
      </c>
      <c r="O105" s="10" t="s">
        <v>874</v>
      </c>
      <c r="P105" s="10"/>
      <c r="T105" t="str">
        <f t="shared" si="3"/>
        <v>s1_node_eff_relic_17_6</v>
      </c>
    </row>
    <row r="106" spans="1:20" x14ac:dyDescent="0.3">
      <c r="A106" t="str">
        <f t="shared" si="2"/>
        <v>s1_node_relic_18_2</v>
      </c>
      <c r="B106" t="s">
        <v>0</v>
      </c>
      <c r="C106" t="s">
        <v>26</v>
      </c>
      <c r="D106" t="s">
        <v>104</v>
      </c>
      <c r="E106" t="s">
        <v>349</v>
      </c>
      <c r="F106" s="10" t="s">
        <v>350</v>
      </c>
      <c r="G106" t="s">
        <v>228</v>
      </c>
      <c r="H106">
        <v>1</v>
      </c>
      <c r="I106" t="s">
        <v>959</v>
      </c>
      <c r="J106" t="s">
        <v>193</v>
      </c>
      <c r="K106">
        <v>810</v>
      </c>
      <c r="L106" s="10">
        <v>3</v>
      </c>
      <c r="M106">
        <v>18</v>
      </c>
      <c r="N106">
        <v>2</v>
      </c>
      <c r="O106" s="10" t="s">
        <v>875</v>
      </c>
      <c r="P106" s="10"/>
      <c r="T106" t="str">
        <f t="shared" si="3"/>
        <v>s1_node_eff_relic_18_2</v>
      </c>
    </row>
    <row r="107" spans="1:20" x14ac:dyDescent="0.3">
      <c r="A107" t="str">
        <f t="shared" si="2"/>
        <v>s1_node_relic_18_6</v>
      </c>
      <c r="B107" t="s">
        <v>0</v>
      </c>
      <c r="C107" t="s">
        <v>26</v>
      </c>
      <c r="D107" t="s">
        <v>104</v>
      </c>
      <c r="E107" t="s">
        <v>355</v>
      </c>
      <c r="F107" s="10" t="s">
        <v>356</v>
      </c>
      <c r="G107" t="s">
        <v>136</v>
      </c>
      <c r="H107">
        <v>1</v>
      </c>
      <c r="I107" t="s">
        <v>959</v>
      </c>
      <c r="J107" t="s">
        <v>193</v>
      </c>
      <c r="K107">
        <v>810</v>
      </c>
      <c r="L107" s="10">
        <v>3</v>
      </c>
      <c r="M107">
        <v>18</v>
      </c>
      <c r="N107">
        <v>6</v>
      </c>
      <c r="O107" s="10" t="s">
        <v>243</v>
      </c>
      <c r="P107" s="10"/>
      <c r="T107" t="str">
        <f t="shared" si="3"/>
        <v>s1_node_eff_relic_18_6</v>
      </c>
    </row>
    <row r="108" spans="1:20" x14ac:dyDescent="0.3">
      <c r="A108" t="str">
        <f t="shared" si="2"/>
        <v>s1_node_relic_19_2</v>
      </c>
      <c r="B108" t="s">
        <v>0</v>
      </c>
      <c r="C108" t="s">
        <v>26</v>
      </c>
      <c r="D108" t="s">
        <v>104</v>
      </c>
      <c r="E108" t="s">
        <v>358</v>
      </c>
      <c r="F108" s="10" t="s">
        <v>359</v>
      </c>
      <c r="G108" t="s">
        <v>147</v>
      </c>
      <c r="H108">
        <v>1</v>
      </c>
      <c r="I108" t="s">
        <v>959</v>
      </c>
      <c r="J108" t="s">
        <v>194</v>
      </c>
      <c r="K108">
        <v>840</v>
      </c>
      <c r="L108" s="10">
        <v>3</v>
      </c>
      <c r="M108">
        <v>19</v>
      </c>
      <c r="N108">
        <v>2</v>
      </c>
      <c r="O108" s="10" t="s">
        <v>876</v>
      </c>
      <c r="P108" s="10"/>
      <c r="T108" t="str">
        <f t="shared" si="3"/>
        <v>s1_node_eff_relic_19_2</v>
      </c>
    </row>
    <row r="109" spans="1:20" x14ac:dyDescent="0.3">
      <c r="A109" t="str">
        <f t="shared" si="2"/>
        <v>s1_node_relic_19_6</v>
      </c>
      <c r="B109" t="s">
        <v>0</v>
      </c>
      <c r="C109" t="s">
        <v>26</v>
      </c>
      <c r="D109" t="s">
        <v>104</v>
      </c>
      <c r="E109" t="s">
        <v>361</v>
      </c>
      <c r="F109" s="10" t="s">
        <v>362</v>
      </c>
      <c r="G109" t="s">
        <v>147</v>
      </c>
      <c r="H109">
        <v>1</v>
      </c>
      <c r="I109" t="s">
        <v>959</v>
      </c>
      <c r="J109" t="s">
        <v>194</v>
      </c>
      <c r="K109">
        <v>840</v>
      </c>
      <c r="L109" s="10">
        <v>3</v>
      </c>
      <c r="M109">
        <v>19</v>
      </c>
      <c r="N109">
        <v>6</v>
      </c>
      <c r="O109" s="10" t="s">
        <v>877</v>
      </c>
      <c r="P109" s="10"/>
      <c r="T109" t="str">
        <f t="shared" si="3"/>
        <v>s1_node_eff_relic_19_6</v>
      </c>
    </row>
    <row r="110" spans="1:20" x14ac:dyDescent="0.3">
      <c r="A110" t="str">
        <f t="shared" si="2"/>
        <v>s1_node_relic_20_2</v>
      </c>
      <c r="B110" t="s">
        <v>0</v>
      </c>
      <c r="C110" t="s">
        <v>26</v>
      </c>
      <c r="D110" t="s">
        <v>104</v>
      </c>
      <c r="E110" t="s">
        <v>364</v>
      </c>
      <c r="F110" s="10" t="s">
        <v>365</v>
      </c>
      <c r="G110" t="s">
        <v>140</v>
      </c>
      <c r="H110">
        <v>1</v>
      </c>
      <c r="I110" t="s">
        <v>959</v>
      </c>
      <c r="J110" t="s">
        <v>195</v>
      </c>
      <c r="K110">
        <v>880</v>
      </c>
      <c r="L110" s="10">
        <v>3</v>
      </c>
      <c r="M110">
        <v>20</v>
      </c>
      <c r="N110">
        <v>2</v>
      </c>
      <c r="O110" s="10" t="s">
        <v>878</v>
      </c>
      <c r="P110" s="10"/>
      <c r="T110" t="str">
        <f t="shared" si="3"/>
        <v>s1_node_eff_relic_20_2</v>
      </c>
    </row>
    <row r="111" spans="1:20" x14ac:dyDescent="0.3">
      <c r="A111" t="str">
        <f t="shared" si="2"/>
        <v>s1_node_relic_20_6</v>
      </c>
      <c r="B111" t="s">
        <v>0</v>
      </c>
      <c r="C111" t="s">
        <v>26</v>
      </c>
      <c r="D111" t="s">
        <v>104</v>
      </c>
      <c r="E111" t="s">
        <v>367</v>
      </c>
      <c r="F111" s="10" t="s">
        <v>368</v>
      </c>
      <c r="G111" t="s">
        <v>196</v>
      </c>
      <c r="H111">
        <v>1</v>
      </c>
      <c r="I111" t="s">
        <v>959</v>
      </c>
      <c r="J111" t="s">
        <v>195</v>
      </c>
      <c r="K111">
        <v>880</v>
      </c>
      <c r="L111" s="10">
        <v>3</v>
      </c>
      <c r="M111">
        <v>20</v>
      </c>
      <c r="N111">
        <v>6</v>
      </c>
      <c r="O111" s="10" t="s">
        <v>244</v>
      </c>
      <c r="P111" s="10"/>
      <c r="T111" t="str">
        <f t="shared" si="3"/>
        <v>s1_node_eff_relic_20_6</v>
      </c>
    </row>
    <row r="112" spans="1:20" x14ac:dyDescent="0.3">
      <c r="A112" s="17" t="str">
        <f t="shared" si="2"/>
        <v>s1_node_battle_1_4</v>
      </c>
      <c r="B112" s="17" t="s">
        <v>0</v>
      </c>
      <c r="C112" s="17" t="s">
        <v>26</v>
      </c>
      <c r="D112" s="17" t="s">
        <v>105</v>
      </c>
      <c r="E112" s="17" t="s">
        <v>370</v>
      </c>
      <c r="F112" s="18" t="s">
        <v>371</v>
      </c>
      <c r="G112" s="17" t="s">
        <v>147</v>
      </c>
      <c r="H112" s="17">
        <v>1</v>
      </c>
      <c r="I112" s="17" t="s">
        <v>959</v>
      </c>
      <c r="J112" s="17" t="s">
        <v>144</v>
      </c>
      <c r="K112" s="17">
        <v>180</v>
      </c>
      <c r="L112" s="18">
        <v>3</v>
      </c>
      <c r="M112" s="17">
        <v>1</v>
      </c>
      <c r="N112" s="17">
        <v>4</v>
      </c>
      <c r="O112" s="18"/>
      <c r="P112" s="18"/>
      <c r="Q112" s="17"/>
      <c r="R112" s="17"/>
      <c r="S112" s="17"/>
      <c r="T112" s="17" t="str">
        <f t="shared" si="3"/>
        <v>s1_node_eff_battle_1_4</v>
      </c>
    </row>
    <row r="113" spans="1:20" x14ac:dyDescent="0.3">
      <c r="A113" t="str">
        <f t="shared" si="2"/>
        <v>s1_node_battle_2_2</v>
      </c>
      <c r="B113" t="s">
        <v>0</v>
      </c>
      <c r="C113" t="s">
        <v>26</v>
      </c>
      <c r="D113" t="s">
        <v>105</v>
      </c>
      <c r="E113" t="s">
        <v>373</v>
      </c>
      <c r="F113" s="10" t="s">
        <v>374</v>
      </c>
      <c r="G113" t="s">
        <v>196</v>
      </c>
      <c r="H113">
        <v>1</v>
      </c>
      <c r="I113" t="s">
        <v>959</v>
      </c>
      <c r="J113" t="s">
        <v>148</v>
      </c>
      <c r="K113">
        <v>220</v>
      </c>
      <c r="L113" s="10">
        <v>3</v>
      </c>
      <c r="M113">
        <v>2</v>
      </c>
      <c r="N113">
        <v>2</v>
      </c>
      <c r="O113" s="10" t="s">
        <v>833</v>
      </c>
      <c r="P113" s="10"/>
      <c r="T113" t="str">
        <f t="shared" si="3"/>
        <v>s1_node_eff_battle_2_2</v>
      </c>
    </row>
    <row r="114" spans="1:20" x14ac:dyDescent="0.3">
      <c r="A114" t="str">
        <f t="shared" si="2"/>
        <v>s1_node_battle_2_6</v>
      </c>
      <c r="B114" t="s">
        <v>0</v>
      </c>
      <c r="C114" t="s">
        <v>26</v>
      </c>
      <c r="D114" t="s">
        <v>105</v>
      </c>
      <c r="E114" t="s">
        <v>376</v>
      </c>
      <c r="F114" s="10" t="s">
        <v>377</v>
      </c>
      <c r="G114" t="s">
        <v>228</v>
      </c>
      <c r="H114">
        <v>1</v>
      </c>
      <c r="I114" t="s">
        <v>959</v>
      </c>
      <c r="J114" t="s">
        <v>148</v>
      </c>
      <c r="K114">
        <v>220</v>
      </c>
      <c r="L114" s="10">
        <v>3</v>
      </c>
      <c r="M114">
        <v>2</v>
      </c>
      <c r="N114">
        <v>6</v>
      </c>
      <c r="O114" s="10" t="s">
        <v>833</v>
      </c>
      <c r="P114" s="10"/>
      <c r="T114" t="str">
        <f t="shared" si="3"/>
        <v>s1_node_eff_battle_2_6</v>
      </c>
    </row>
    <row r="115" spans="1:20" x14ac:dyDescent="0.3">
      <c r="A115" t="str">
        <f t="shared" si="2"/>
        <v>s1_node_battle_3_2</v>
      </c>
      <c r="B115" t="s">
        <v>0</v>
      </c>
      <c r="C115" t="s">
        <v>26</v>
      </c>
      <c r="D115" t="s">
        <v>105</v>
      </c>
      <c r="E115" t="s">
        <v>379</v>
      </c>
      <c r="F115" s="10" t="s">
        <v>380</v>
      </c>
      <c r="G115" t="s">
        <v>228</v>
      </c>
      <c r="H115">
        <v>1</v>
      </c>
      <c r="I115" t="s">
        <v>959</v>
      </c>
      <c r="J115" t="s">
        <v>245</v>
      </c>
      <c r="K115">
        <v>260</v>
      </c>
      <c r="L115" s="10">
        <v>3</v>
      </c>
      <c r="M115">
        <v>3</v>
      </c>
      <c r="N115">
        <v>2</v>
      </c>
      <c r="O115" s="10" t="s">
        <v>834</v>
      </c>
      <c r="P115" s="10"/>
      <c r="T115" t="str">
        <f t="shared" si="3"/>
        <v>s1_node_eff_battle_3_2</v>
      </c>
    </row>
    <row r="116" spans="1:20" x14ac:dyDescent="0.3">
      <c r="A116" t="str">
        <f t="shared" si="2"/>
        <v>s1_node_battle_3_6</v>
      </c>
      <c r="B116" t="s">
        <v>0</v>
      </c>
      <c r="C116" t="s">
        <v>26</v>
      </c>
      <c r="D116" t="s">
        <v>105</v>
      </c>
      <c r="E116" t="s">
        <v>388</v>
      </c>
      <c r="F116" s="10" t="s">
        <v>389</v>
      </c>
      <c r="G116" t="s">
        <v>228</v>
      </c>
      <c r="H116">
        <v>1</v>
      </c>
      <c r="I116" t="s">
        <v>959</v>
      </c>
      <c r="J116" t="s">
        <v>245</v>
      </c>
      <c r="K116">
        <v>260</v>
      </c>
      <c r="L116" s="10">
        <v>3</v>
      </c>
      <c r="M116">
        <v>3</v>
      </c>
      <c r="N116">
        <v>6</v>
      </c>
      <c r="O116" s="10" t="s">
        <v>246</v>
      </c>
      <c r="P116" s="10"/>
      <c r="T116" t="str">
        <f t="shared" si="3"/>
        <v>s1_node_eff_battle_3_6</v>
      </c>
    </row>
    <row r="117" spans="1:20" x14ac:dyDescent="0.3">
      <c r="A117" t="str">
        <f t="shared" si="2"/>
        <v>s1_node_battle_4_2</v>
      </c>
      <c r="B117" t="s">
        <v>0</v>
      </c>
      <c r="C117" t="s">
        <v>26</v>
      </c>
      <c r="D117" t="s">
        <v>105</v>
      </c>
      <c r="E117" t="s">
        <v>394</v>
      </c>
      <c r="F117" s="10" t="s">
        <v>395</v>
      </c>
      <c r="G117" t="s">
        <v>228</v>
      </c>
      <c r="H117">
        <v>1</v>
      </c>
      <c r="I117" t="s">
        <v>959</v>
      </c>
      <c r="J117" t="s">
        <v>247</v>
      </c>
      <c r="K117">
        <v>300</v>
      </c>
      <c r="L117" s="10">
        <v>3</v>
      </c>
      <c r="M117">
        <v>4</v>
      </c>
      <c r="N117">
        <v>2</v>
      </c>
      <c r="O117" s="10" t="s">
        <v>835</v>
      </c>
      <c r="P117" s="10"/>
      <c r="T117" t="str">
        <f t="shared" si="3"/>
        <v>s1_node_eff_battle_4_2</v>
      </c>
    </row>
    <row r="118" spans="1:20" x14ac:dyDescent="0.3">
      <c r="A118" t="str">
        <f t="shared" si="2"/>
        <v>s1_node_battle_4_6</v>
      </c>
      <c r="B118" t="s">
        <v>0</v>
      </c>
      <c r="C118" t="s">
        <v>26</v>
      </c>
      <c r="D118" t="s">
        <v>105</v>
      </c>
      <c r="E118" t="s">
        <v>397</v>
      </c>
      <c r="F118" s="10" t="s">
        <v>398</v>
      </c>
      <c r="G118" t="s">
        <v>228</v>
      </c>
      <c r="H118">
        <v>1</v>
      </c>
      <c r="I118" t="s">
        <v>959</v>
      </c>
      <c r="J118" t="s">
        <v>247</v>
      </c>
      <c r="K118">
        <v>300</v>
      </c>
      <c r="L118" s="10">
        <v>3</v>
      </c>
      <c r="M118">
        <v>4</v>
      </c>
      <c r="N118">
        <v>6</v>
      </c>
      <c r="O118" s="10" t="s">
        <v>836</v>
      </c>
      <c r="P118" s="10"/>
      <c r="T118" t="str">
        <f t="shared" si="3"/>
        <v>s1_node_eff_battle_4_6</v>
      </c>
    </row>
    <row r="119" spans="1:20" x14ac:dyDescent="0.3">
      <c r="A119" t="str">
        <f t="shared" si="2"/>
        <v>s1_node_battle_5_2</v>
      </c>
      <c r="B119" t="s">
        <v>0</v>
      </c>
      <c r="C119" t="s">
        <v>26</v>
      </c>
      <c r="D119" t="s">
        <v>105</v>
      </c>
      <c r="E119" t="s">
        <v>400</v>
      </c>
      <c r="F119" s="10" t="s">
        <v>401</v>
      </c>
      <c r="G119" t="s">
        <v>228</v>
      </c>
      <c r="H119">
        <v>1</v>
      </c>
      <c r="I119" t="s">
        <v>959</v>
      </c>
      <c r="J119" t="s">
        <v>248</v>
      </c>
      <c r="K119">
        <v>340</v>
      </c>
      <c r="L119" s="10">
        <v>3</v>
      </c>
      <c r="M119">
        <v>5</v>
      </c>
      <c r="N119">
        <v>2</v>
      </c>
      <c r="O119" s="10" t="s">
        <v>837</v>
      </c>
      <c r="P119" s="10"/>
      <c r="T119" t="str">
        <f t="shared" si="3"/>
        <v>s1_node_eff_battle_5_2</v>
      </c>
    </row>
    <row r="120" spans="1:20" x14ac:dyDescent="0.3">
      <c r="A120" t="str">
        <f t="shared" si="2"/>
        <v>s1_node_battle_5_6</v>
      </c>
      <c r="B120" t="s">
        <v>0</v>
      </c>
      <c r="C120" t="s">
        <v>26</v>
      </c>
      <c r="D120" t="s">
        <v>105</v>
      </c>
      <c r="E120" t="s">
        <v>403</v>
      </c>
      <c r="F120" s="10" t="s">
        <v>404</v>
      </c>
      <c r="G120" t="s">
        <v>228</v>
      </c>
      <c r="H120">
        <v>1</v>
      </c>
      <c r="I120" t="s">
        <v>959</v>
      </c>
      <c r="J120" t="s">
        <v>248</v>
      </c>
      <c r="K120">
        <v>340</v>
      </c>
      <c r="L120" s="10">
        <v>3</v>
      </c>
      <c r="M120">
        <v>5</v>
      </c>
      <c r="N120">
        <v>6</v>
      </c>
      <c r="O120" s="10" t="s">
        <v>249</v>
      </c>
      <c r="P120" s="10"/>
      <c r="T120" t="str">
        <f t="shared" si="3"/>
        <v>s1_node_eff_battle_5_6</v>
      </c>
    </row>
    <row r="121" spans="1:20" x14ac:dyDescent="0.3">
      <c r="A121" t="str">
        <f t="shared" si="2"/>
        <v>s1_node_battle_6_4</v>
      </c>
      <c r="B121" t="s">
        <v>0</v>
      </c>
      <c r="C121" t="s">
        <v>26</v>
      </c>
      <c r="D121" t="s">
        <v>105</v>
      </c>
      <c r="E121" t="s">
        <v>406</v>
      </c>
      <c r="F121" s="10" t="s">
        <v>407</v>
      </c>
      <c r="G121" t="s">
        <v>228</v>
      </c>
      <c r="H121">
        <v>1</v>
      </c>
      <c r="I121" t="s">
        <v>959</v>
      </c>
      <c r="J121" t="s">
        <v>250</v>
      </c>
      <c r="K121">
        <v>380</v>
      </c>
      <c r="L121" s="10">
        <v>3</v>
      </c>
      <c r="M121">
        <v>6</v>
      </c>
      <c r="N121">
        <v>4</v>
      </c>
      <c r="O121" s="10" t="s">
        <v>838</v>
      </c>
      <c r="P121" s="10" t="s">
        <v>251</v>
      </c>
      <c r="T121" t="str">
        <f t="shared" si="3"/>
        <v>s1_node_eff_battle_6_4</v>
      </c>
    </row>
    <row r="122" spans="1:20" x14ac:dyDescent="0.3">
      <c r="A122" t="str">
        <f t="shared" si="2"/>
        <v>s1_node_battle_7_2</v>
      </c>
      <c r="B122" t="s">
        <v>0</v>
      </c>
      <c r="C122" t="s">
        <v>26</v>
      </c>
      <c r="D122" t="s">
        <v>105</v>
      </c>
      <c r="E122" t="s">
        <v>409</v>
      </c>
      <c r="F122" s="10" t="s">
        <v>410</v>
      </c>
      <c r="G122" t="s">
        <v>228</v>
      </c>
      <c r="H122">
        <v>1</v>
      </c>
      <c r="I122" t="s">
        <v>959</v>
      </c>
      <c r="J122" t="s">
        <v>252</v>
      </c>
      <c r="K122">
        <v>420</v>
      </c>
      <c r="L122" s="10">
        <v>3</v>
      </c>
      <c r="M122">
        <v>7</v>
      </c>
      <c r="N122">
        <v>2</v>
      </c>
      <c r="O122" s="10" t="s">
        <v>839</v>
      </c>
      <c r="P122" s="10"/>
      <c r="T122" t="str">
        <f t="shared" si="3"/>
        <v>s1_node_eff_battle_7_2</v>
      </c>
    </row>
    <row r="123" spans="1:20" x14ac:dyDescent="0.3">
      <c r="A123" t="str">
        <f t="shared" si="2"/>
        <v>s1_node_battle_7_6</v>
      </c>
      <c r="B123" t="s">
        <v>0</v>
      </c>
      <c r="C123" t="s">
        <v>26</v>
      </c>
      <c r="D123" t="s">
        <v>105</v>
      </c>
      <c r="E123" t="s">
        <v>412</v>
      </c>
      <c r="F123" s="10" t="s">
        <v>413</v>
      </c>
      <c r="G123" t="s">
        <v>228</v>
      </c>
      <c r="H123">
        <v>1</v>
      </c>
      <c r="I123" t="s">
        <v>959</v>
      </c>
      <c r="J123" t="s">
        <v>252</v>
      </c>
      <c r="K123">
        <v>420</v>
      </c>
      <c r="L123" s="10">
        <v>3</v>
      </c>
      <c r="M123">
        <v>7</v>
      </c>
      <c r="N123">
        <v>6</v>
      </c>
      <c r="O123" s="10" t="s">
        <v>839</v>
      </c>
      <c r="P123" s="10"/>
      <c r="T123" t="str">
        <f t="shared" si="3"/>
        <v>s1_node_eff_battle_7_6</v>
      </c>
    </row>
    <row r="124" spans="1:20" x14ac:dyDescent="0.3">
      <c r="A124" t="str">
        <f t="shared" si="2"/>
        <v>s1_node_battle_8_2</v>
      </c>
      <c r="B124" t="s">
        <v>0</v>
      </c>
      <c r="C124" t="s">
        <v>26</v>
      </c>
      <c r="D124" t="s">
        <v>105</v>
      </c>
      <c r="E124" t="s">
        <v>415</v>
      </c>
      <c r="F124" s="10" t="s">
        <v>416</v>
      </c>
      <c r="G124" t="s">
        <v>147</v>
      </c>
      <c r="H124">
        <v>1</v>
      </c>
      <c r="I124" t="s">
        <v>959</v>
      </c>
      <c r="J124" t="s">
        <v>253</v>
      </c>
      <c r="K124">
        <v>450</v>
      </c>
      <c r="L124" s="10">
        <v>3</v>
      </c>
      <c r="M124">
        <v>8</v>
      </c>
      <c r="N124">
        <v>2</v>
      </c>
      <c r="O124" s="10" t="s">
        <v>840</v>
      </c>
      <c r="P124" s="10"/>
      <c r="T124" t="str">
        <f t="shared" si="3"/>
        <v>s1_node_eff_battle_8_2</v>
      </c>
    </row>
    <row r="125" spans="1:20" x14ac:dyDescent="0.3">
      <c r="A125" t="str">
        <f t="shared" si="2"/>
        <v>s1_node_battle_8_6</v>
      </c>
      <c r="B125" t="s">
        <v>0</v>
      </c>
      <c r="C125" t="s">
        <v>26</v>
      </c>
      <c r="D125" t="s">
        <v>105</v>
      </c>
      <c r="E125" t="s">
        <v>418</v>
      </c>
      <c r="F125" s="10" t="s">
        <v>419</v>
      </c>
      <c r="G125" t="s">
        <v>196</v>
      </c>
      <c r="H125">
        <v>1</v>
      </c>
      <c r="I125" t="s">
        <v>959</v>
      </c>
      <c r="J125" t="s">
        <v>253</v>
      </c>
      <c r="K125">
        <v>450</v>
      </c>
      <c r="L125" s="10">
        <v>3</v>
      </c>
      <c r="M125">
        <v>8</v>
      </c>
      <c r="N125">
        <v>6</v>
      </c>
      <c r="O125" s="10" t="s">
        <v>254</v>
      </c>
      <c r="P125" s="10"/>
      <c r="T125" t="str">
        <f t="shared" si="3"/>
        <v>s1_node_eff_battle_8_6</v>
      </c>
    </row>
    <row r="126" spans="1:20" x14ac:dyDescent="0.3">
      <c r="A126" t="str">
        <f t="shared" si="2"/>
        <v>s1_node_battle_9_2</v>
      </c>
      <c r="B126" t="s">
        <v>0</v>
      </c>
      <c r="C126" t="s">
        <v>26</v>
      </c>
      <c r="D126" t="s">
        <v>105</v>
      </c>
      <c r="E126" t="s">
        <v>424</v>
      </c>
      <c r="F126" s="10" t="s">
        <v>425</v>
      </c>
      <c r="G126" t="s">
        <v>196</v>
      </c>
      <c r="H126">
        <v>1</v>
      </c>
      <c r="I126" t="s">
        <v>959</v>
      </c>
      <c r="J126" t="s">
        <v>255</v>
      </c>
      <c r="K126">
        <v>490</v>
      </c>
      <c r="L126" s="10">
        <v>3</v>
      </c>
      <c r="M126">
        <v>9</v>
      </c>
      <c r="N126">
        <v>2</v>
      </c>
      <c r="O126" s="10" t="s">
        <v>841</v>
      </c>
      <c r="P126" s="10"/>
      <c r="T126" t="str">
        <f t="shared" si="3"/>
        <v>s1_node_eff_battle_9_2</v>
      </c>
    </row>
    <row r="127" spans="1:20" x14ac:dyDescent="0.3">
      <c r="A127" t="str">
        <f t="shared" si="2"/>
        <v>s1_node_battle_9_6</v>
      </c>
      <c r="B127" t="s">
        <v>0</v>
      </c>
      <c r="C127" t="s">
        <v>26</v>
      </c>
      <c r="D127" t="s">
        <v>105</v>
      </c>
      <c r="E127" t="s">
        <v>427</v>
      </c>
      <c r="F127" s="10" t="s">
        <v>428</v>
      </c>
      <c r="G127" t="s">
        <v>228</v>
      </c>
      <c r="H127">
        <v>1</v>
      </c>
      <c r="I127" t="s">
        <v>959</v>
      </c>
      <c r="J127" t="s">
        <v>255</v>
      </c>
      <c r="K127">
        <v>490</v>
      </c>
      <c r="L127" s="10">
        <v>3</v>
      </c>
      <c r="M127">
        <v>9</v>
      </c>
      <c r="N127">
        <v>6</v>
      </c>
      <c r="O127" s="10" t="s">
        <v>842</v>
      </c>
      <c r="P127" s="10"/>
      <c r="T127" t="str">
        <f t="shared" si="3"/>
        <v>s1_node_eff_battle_9_6</v>
      </c>
    </row>
    <row r="128" spans="1:20" x14ac:dyDescent="0.3">
      <c r="A128" t="str">
        <f t="shared" si="2"/>
        <v>s1_node_battle_10_2</v>
      </c>
      <c r="B128" t="s">
        <v>0</v>
      </c>
      <c r="C128" t="s">
        <v>26</v>
      </c>
      <c r="D128" t="s">
        <v>105</v>
      </c>
      <c r="E128" t="s">
        <v>430</v>
      </c>
      <c r="F128" s="10" t="s">
        <v>431</v>
      </c>
      <c r="G128" t="s">
        <v>228</v>
      </c>
      <c r="H128">
        <v>1</v>
      </c>
      <c r="I128" t="s">
        <v>959</v>
      </c>
      <c r="J128" t="s">
        <v>173</v>
      </c>
      <c r="K128">
        <v>530</v>
      </c>
      <c r="L128" s="10">
        <v>3</v>
      </c>
      <c r="M128">
        <v>10</v>
      </c>
      <c r="N128">
        <v>2</v>
      </c>
      <c r="O128" s="10" t="s">
        <v>843</v>
      </c>
      <c r="P128" s="10"/>
      <c r="T128" t="str">
        <f t="shared" si="3"/>
        <v>s1_node_eff_battle_10_2</v>
      </c>
    </row>
    <row r="129" spans="1:20" x14ac:dyDescent="0.3">
      <c r="A129" t="str">
        <f t="shared" si="2"/>
        <v>s1_node_battle_10_6</v>
      </c>
      <c r="B129" t="s">
        <v>0</v>
      </c>
      <c r="C129" t="s">
        <v>26</v>
      </c>
      <c r="D129" t="s">
        <v>105</v>
      </c>
      <c r="E129" t="s">
        <v>433</v>
      </c>
      <c r="F129" s="10" t="s">
        <v>434</v>
      </c>
      <c r="G129" t="s">
        <v>228</v>
      </c>
      <c r="H129">
        <v>1</v>
      </c>
      <c r="I129" t="s">
        <v>959</v>
      </c>
      <c r="J129" t="s">
        <v>173</v>
      </c>
      <c r="K129">
        <v>530</v>
      </c>
      <c r="L129" s="10">
        <v>3</v>
      </c>
      <c r="M129">
        <v>10</v>
      </c>
      <c r="N129">
        <v>6</v>
      </c>
      <c r="O129" s="10" t="s">
        <v>256</v>
      </c>
      <c r="P129" s="10"/>
      <c r="T129" t="str">
        <f t="shared" si="3"/>
        <v>s1_node_eff_battle_10_6</v>
      </c>
    </row>
    <row r="130" spans="1:20" x14ac:dyDescent="0.3">
      <c r="A130" t="str">
        <f t="shared" si="2"/>
        <v>s1_node_battle_11_4</v>
      </c>
      <c r="B130" t="s">
        <v>0</v>
      </c>
      <c r="C130" t="s">
        <v>26</v>
      </c>
      <c r="D130" t="s">
        <v>105</v>
      </c>
      <c r="E130" t="s">
        <v>436</v>
      </c>
      <c r="F130" s="10" t="s">
        <v>437</v>
      </c>
      <c r="G130" t="s">
        <v>228</v>
      </c>
      <c r="H130">
        <v>1</v>
      </c>
      <c r="I130" t="s">
        <v>959</v>
      </c>
      <c r="J130" t="s">
        <v>176</v>
      </c>
      <c r="K130">
        <v>570</v>
      </c>
      <c r="L130" s="10">
        <v>3</v>
      </c>
      <c r="M130">
        <v>11</v>
      </c>
      <c r="N130">
        <v>4</v>
      </c>
      <c r="O130" s="10" t="s">
        <v>844</v>
      </c>
      <c r="P130" s="10" t="s">
        <v>257</v>
      </c>
      <c r="T130" t="str">
        <f t="shared" si="3"/>
        <v>s1_node_eff_battle_11_4</v>
      </c>
    </row>
    <row r="131" spans="1:20" x14ac:dyDescent="0.3">
      <c r="A131" t="str">
        <f t="shared" si="2"/>
        <v>s1_node_battle_12_2</v>
      </c>
      <c r="B131" t="s">
        <v>0</v>
      </c>
      <c r="C131" t="s">
        <v>26</v>
      </c>
      <c r="D131" t="s">
        <v>105</v>
      </c>
      <c r="E131" t="s">
        <v>445</v>
      </c>
      <c r="F131" s="10" t="s">
        <v>446</v>
      </c>
      <c r="G131" t="s">
        <v>228</v>
      </c>
      <c r="H131">
        <v>1</v>
      </c>
      <c r="I131" t="s">
        <v>959</v>
      </c>
      <c r="J131" t="s">
        <v>211</v>
      </c>
      <c r="K131">
        <v>610</v>
      </c>
      <c r="L131" s="10">
        <v>3</v>
      </c>
      <c r="M131">
        <v>12</v>
      </c>
      <c r="N131">
        <v>2</v>
      </c>
      <c r="O131" s="10" t="s">
        <v>845</v>
      </c>
      <c r="P131" s="10"/>
      <c r="T131" t="str">
        <f t="shared" si="3"/>
        <v>s1_node_eff_battle_12_2</v>
      </c>
    </row>
    <row r="132" spans="1:20" x14ac:dyDescent="0.3">
      <c r="A132" t="str">
        <f t="shared" ref="A132:A147" si="4">_xlfn.TEXTJOIN("_",TRUE,C132,"node",D132,M132,N132)</f>
        <v>s1_node_battle_12_6</v>
      </c>
      <c r="B132" t="s">
        <v>0</v>
      </c>
      <c r="C132" t="s">
        <v>26</v>
      </c>
      <c r="D132" t="s">
        <v>105</v>
      </c>
      <c r="E132" t="s">
        <v>448</v>
      </c>
      <c r="F132" s="10" t="s">
        <v>449</v>
      </c>
      <c r="G132" t="s">
        <v>228</v>
      </c>
      <c r="H132">
        <v>1</v>
      </c>
      <c r="I132" t="s">
        <v>959</v>
      </c>
      <c r="J132" t="s">
        <v>211</v>
      </c>
      <c r="K132">
        <v>610</v>
      </c>
      <c r="L132" s="10">
        <v>3</v>
      </c>
      <c r="M132">
        <v>12</v>
      </c>
      <c r="N132">
        <v>6</v>
      </c>
      <c r="O132" s="10" t="s">
        <v>845</v>
      </c>
      <c r="P132" s="10"/>
      <c r="T132" t="str">
        <f t="shared" ref="T132:T147" si="5">_xlfn.TEXTJOIN("_",TRUE,C132,"node_eff",D132,M132,N132)</f>
        <v>s1_node_eff_battle_12_6</v>
      </c>
    </row>
    <row r="133" spans="1:20" x14ac:dyDescent="0.3">
      <c r="A133" t="str">
        <f t="shared" si="4"/>
        <v>s1_node_battle_13_2</v>
      </c>
      <c r="B133" t="s">
        <v>0</v>
      </c>
      <c r="C133" t="s">
        <v>26</v>
      </c>
      <c r="D133" t="s">
        <v>105</v>
      </c>
      <c r="E133" t="s">
        <v>451</v>
      </c>
      <c r="F133" s="10" t="s">
        <v>452</v>
      </c>
      <c r="G133" t="s">
        <v>228</v>
      </c>
      <c r="H133">
        <v>1</v>
      </c>
      <c r="I133" t="s">
        <v>959</v>
      </c>
      <c r="J133" t="s">
        <v>213</v>
      </c>
      <c r="K133">
        <v>650</v>
      </c>
      <c r="L133" s="10">
        <v>3</v>
      </c>
      <c r="M133">
        <v>13</v>
      </c>
      <c r="N133">
        <v>2</v>
      </c>
      <c r="O133" s="10" t="s">
        <v>846</v>
      </c>
      <c r="P133" s="10"/>
      <c r="T133" t="str">
        <f t="shared" si="5"/>
        <v>s1_node_eff_battle_13_2</v>
      </c>
    </row>
    <row r="134" spans="1:20" x14ac:dyDescent="0.3">
      <c r="A134" t="str">
        <f t="shared" si="4"/>
        <v>s1_node_battle_13_6</v>
      </c>
      <c r="B134" t="s">
        <v>0</v>
      </c>
      <c r="C134" t="s">
        <v>26</v>
      </c>
      <c r="D134" t="s">
        <v>105</v>
      </c>
      <c r="E134" t="s">
        <v>454</v>
      </c>
      <c r="F134" s="10" t="s">
        <v>455</v>
      </c>
      <c r="G134" t="s">
        <v>228</v>
      </c>
      <c r="H134">
        <v>1</v>
      </c>
      <c r="I134" t="s">
        <v>959</v>
      </c>
      <c r="J134" t="s">
        <v>213</v>
      </c>
      <c r="K134">
        <v>650</v>
      </c>
      <c r="L134" s="10">
        <v>3</v>
      </c>
      <c r="M134">
        <v>13</v>
      </c>
      <c r="N134">
        <v>6</v>
      </c>
      <c r="O134" s="10" t="s">
        <v>258</v>
      </c>
      <c r="P134" s="10"/>
      <c r="T134" t="str">
        <f t="shared" si="5"/>
        <v>s1_node_eff_battle_13_6</v>
      </c>
    </row>
    <row r="135" spans="1:20" x14ac:dyDescent="0.3">
      <c r="A135" t="str">
        <f t="shared" si="4"/>
        <v>s1_node_battle_14_2</v>
      </c>
      <c r="B135" t="s">
        <v>0</v>
      </c>
      <c r="C135" t="s">
        <v>26</v>
      </c>
      <c r="D135" t="s">
        <v>105</v>
      </c>
      <c r="E135" t="s">
        <v>457</v>
      </c>
      <c r="F135" s="10" t="s">
        <v>458</v>
      </c>
      <c r="G135" t="s">
        <v>228</v>
      </c>
      <c r="H135">
        <v>1</v>
      </c>
      <c r="I135" t="s">
        <v>959</v>
      </c>
      <c r="J135" t="s">
        <v>238</v>
      </c>
      <c r="K135">
        <v>690</v>
      </c>
      <c r="L135" s="10">
        <v>3</v>
      </c>
      <c r="M135">
        <v>14</v>
      </c>
      <c r="N135">
        <v>2</v>
      </c>
      <c r="O135" s="10" t="s">
        <v>847</v>
      </c>
      <c r="P135" s="10"/>
      <c r="T135" t="str">
        <f t="shared" si="5"/>
        <v>s1_node_eff_battle_14_2</v>
      </c>
    </row>
    <row r="136" spans="1:20" x14ac:dyDescent="0.3">
      <c r="A136" t="str">
        <f t="shared" si="4"/>
        <v>s1_node_battle_14_6</v>
      </c>
      <c r="B136" t="s">
        <v>0</v>
      </c>
      <c r="C136" t="s">
        <v>26</v>
      </c>
      <c r="D136" t="s">
        <v>105</v>
      </c>
      <c r="E136" t="s">
        <v>460</v>
      </c>
      <c r="F136" s="10" t="s">
        <v>461</v>
      </c>
      <c r="G136" t="s">
        <v>147</v>
      </c>
      <c r="H136">
        <v>1</v>
      </c>
      <c r="I136" t="s">
        <v>959</v>
      </c>
      <c r="J136" t="s">
        <v>238</v>
      </c>
      <c r="K136">
        <v>690</v>
      </c>
      <c r="L136" s="10">
        <v>3</v>
      </c>
      <c r="M136">
        <v>14</v>
      </c>
      <c r="N136">
        <v>6</v>
      </c>
      <c r="O136" s="10" t="s">
        <v>848</v>
      </c>
      <c r="P136" s="10"/>
      <c r="T136" t="str">
        <f t="shared" si="5"/>
        <v>s1_node_eff_battle_14_6</v>
      </c>
    </row>
    <row r="137" spans="1:20" x14ac:dyDescent="0.3">
      <c r="A137" t="str">
        <f t="shared" si="4"/>
        <v>s1_node_battle_15_2</v>
      </c>
      <c r="B137" t="s">
        <v>0</v>
      </c>
      <c r="C137" t="s">
        <v>26</v>
      </c>
      <c r="D137" t="s">
        <v>105</v>
      </c>
      <c r="E137" t="s">
        <v>463</v>
      </c>
      <c r="F137" s="10" t="s">
        <v>464</v>
      </c>
      <c r="G137" t="s">
        <v>196</v>
      </c>
      <c r="H137">
        <v>1</v>
      </c>
      <c r="I137" t="s">
        <v>959</v>
      </c>
      <c r="J137" t="s">
        <v>240</v>
      </c>
      <c r="K137">
        <v>730</v>
      </c>
      <c r="L137" s="10">
        <v>3</v>
      </c>
      <c r="M137">
        <v>15</v>
      </c>
      <c r="N137">
        <v>2</v>
      </c>
      <c r="O137" s="10" t="s">
        <v>849</v>
      </c>
      <c r="P137" s="10"/>
      <c r="T137" t="str">
        <f t="shared" si="5"/>
        <v>s1_node_eff_battle_15_2</v>
      </c>
    </row>
    <row r="138" spans="1:20" x14ac:dyDescent="0.3">
      <c r="A138" t="str">
        <f t="shared" si="4"/>
        <v>s1_node_battle_15_6</v>
      </c>
      <c r="B138" t="s">
        <v>0</v>
      </c>
      <c r="C138" t="s">
        <v>26</v>
      </c>
      <c r="D138" t="s">
        <v>105</v>
      </c>
      <c r="E138" t="s">
        <v>466</v>
      </c>
      <c r="F138" s="10" t="s">
        <v>467</v>
      </c>
      <c r="G138" t="s">
        <v>196</v>
      </c>
      <c r="H138">
        <v>1</v>
      </c>
      <c r="I138" t="s">
        <v>959</v>
      </c>
      <c r="J138" t="s">
        <v>240</v>
      </c>
      <c r="K138">
        <v>730</v>
      </c>
      <c r="L138" s="10">
        <v>3</v>
      </c>
      <c r="M138">
        <v>15</v>
      </c>
      <c r="N138">
        <v>6</v>
      </c>
      <c r="O138" s="10" t="s">
        <v>259</v>
      </c>
      <c r="P138" s="10"/>
      <c r="T138" t="str">
        <f t="shared" si="5"/>
        <v>s1_node_eff_battle_15_6</v>
      </c>
    </row>
    <row r="139" spans="1:20" x14ac:dyDescent="0.3">
      <c r="A139" t="str">
        <f t="shared" si="4"/>
        <v>s1_node_battle_16_4</v>
      </c>
      <c r="B139" t="s">
        <v>0</v>
      </c>
      <c r="C139" t="s">
        <v>26</v>
      </c>
      <c r="D139" t="s">
        <v>105</v>
      </c>
      <c r="E139" t="s">
        <v>469</v>
      </c>
      <c r="F139" s="10" t="s">
        <v>470</v>
      </c>
      <c r="G139" t="s">
        <v>228</v>
      </c>
      <c r="H139">
        <v>1</v>
      </c>
      <c r="I139" t="s">
        <v>959</v>
      </c>
      <c r="J139" t="s">
        <v>242</v>
      </c>
      <c r="K139">
        <v>770</v>
      </c>
      <c r="L139" s="10">
        <v>3</v>
      </c>
      <c r="M139">
        <v>16</v>
      </c>
      <c r="N139">
        <v>4</v>
      </c>
      <c r="O139" s="10" t="s">
        <v>850</v>
      </c>
      <c r="P139" s="10" t="s">
        <v>260</v>
      </c>
      <c r="T139" t="str">
        <f t="shared" si="5"/>
        <v>s1_node_eff_battle_16_4</v>
      </c>
    </row>
    <row r="140" spans="1:20" x14ac:dyDescent="0.3">
      <c r="A140" t="str">
        <f t="shared" si="4"/>
        <v>s1_node_battle_17_2</v>
      </c>
      <c r="B140" t="s">
        <v>0</v>
      </c>
      <c r="C140" t="s">
        <v>26</v>
      </c>
      <c r="D140" t="s">
        <v>105</v>
      </c>
      <c r="E140" t="s">
        <v>472</v>
      </c>
      <c r="F140" s="10" t="s">
        <v>473</v>
      </c>
      <c r="G140" t="s">
        <v>228</v>
      </c>
      <c r="H140">
        <v>1</v>
      </c>
      <c r="I140" t="s">
        <v>959</v>
      </c>
      <c r="J140" t="s">
        <v>193</v>
      </c>
      <c r="K140">
        <v>810</v>
      </c>
      <c r="L140" s="10">
        <v>3</v>
      </c>
      <c r="M140">
        <v>17</v>
      </c>
      <c r="N140">
        <v>2</v>
      </c>
      <c r="O140" s="10" t="s">
        <v>851</v>
      </c>
      <c r="P140" s="10"/>
      <c r="T140" t="str">
        <f t="shared" si="5"/>
        <v>s1_node_eff_battle_17_2</v>
      </c>
    </row>
    <row r="141" spans="1:20" x14ac:dyDescent="0.3">
      <c r="A141" t="str">
        <f t="shared" si="4"/>
        <v>s1_node_battle_17_6</v>
      </c>
      <c r="B141" t="s">
        <v>0</v>
      </c>
      <c r="C141" t="s">
        <v>26</v>
      </c>
      <c r="D141" t="s">
        <v>105</v>
      </c>
      <c r="E141" t="s">
        <v>475</v>
      </c>
      <c r="F141" s="10" t="s">
        <v>476</v>
      </c>
      <c r="G141" t="s">
        <v>228</v>
      </c>
      <c r="H141">
        <v>1</v>
      </c>
      <c r="I141" t="s">
        <v>959</v>
      </c>
      <c r="J141" t="s">
        <v>193</v>
      </c>
      <c r="K141">
        <v>810</v>
      </c>
      <c r="L141" s="10">
        <v>3</v>
      </c>
      <c r="M141">
        <v>17</v>
      </c>
      <c r="N141">
        <v>6</v>
      </c>
      <c r="O141" s="10" t="s">
        <v>851</v>
      </c>
      <c r="P141" s="10"/>
      <c r="T141" t="str">
        <f t="shared" si="5"/>
        <v>s1_node_eff_battle_17_6</v>
      </c>
    </row>
    <row r="142" spans="1:20" x14ac:dyDescent="0.3">
      <c r="A142" t="str">
        <f t="shared" si="4"/>
        <v>s1_node_battle_18_2</v>
      </c>
      <c r="B142" t="s">
        <v>0</v>
      </c>
      <c r="C142" t="s">
        <v>26</v>
      </c>
      <c r="D142" t="s">
        <v>105</v>
      </c>
      <c r="E142" t="s">
        <v>478</v>
      </c>
      <c r="F142" s="10" t="s">
        <v>479</v>
      </c>
      <c r="G142" t="s">
        <v>228</v>
      </c>
      <c r="H142">
        <v>1</v>
      </c>
      <c r="I142" t="s">
        <v>959</v>
      </c>
      <c r="J142" t="s">
        <v>261</v>
      </c>
      <c r="K142">
        <v>850</v>
      </c>
      <c r="L142" s="10">
        <v>3</v>
      </c>
      <c r="M142">
        <v>18</v>
      </c>
      <c r="N142">
        <v>2</v>
      </c>
      <c r="O142" s="10" t="s">
        <v>852</v>
      </c>
      <c r="P142" s="10"/>
      <c r="T142" t="str">
        <f t="shared" si="5"/>
        <v>s1_node_eff_battle_18_2</v>
      </c>
    </row>
    <row r="143" spans="1:20" x14ac:dyDescent="0.3">
      <c r="A143" t="str">
        <f t="shared" si="4"/>
        <v>s1_node_battle_18_6</v>
      </c>
      <c r="B143" t="s">
        <v>0</v>
      </c>
      <c r="C143" t="s">
        <v>26</v>
      </c>
      <c r="D143" t="s">
        <v>105</v>
      </c>
      <c r="E143" t="s">
        <v>481</v>
      </c>
      <c r="F143" s="10" t="s">
        <v>482</v>
      </c>
      <c r="G143" t="s">
        <v>228</v>
      </c>
      <c r="H143">
        <v>1</v>
      </c>
      <c r="I143" t="s">
        <v>959</v>
      </c>
      <c r="J143" t="s">
        <v>261</v>
      </c>
      <c r="K143">
        <v>850</v>
      </c>
      <c r="L143" s="10">
        <v>3</v>
      </c>
      <c r="M143">
        <v>18</v>
      </c>
      <c r="N143">
        <v>6</v>
      </c>
      <c r="O143" s="10" t="s">
        <v>262</v>
      </c>
      <c r="P143" s="10"/>
      <c r="T143" t="str">
        <f t="shared" si="5"/>
        <v>s1_node_eff_battle_18_6</v>
      </c>
    </row>
    <row r="144" spans="1:20" x14ac:dyDescent="0.3">
      <c r="A144" t="str">
        <f t="shared" si="4"/>
        <v>s1_node_battle_19_2</v>
      </c>
      <c r="B144" t="s">
        <v>0</v>
      </c>
      <c r="C144" t="s">
        <v>26</v>
      </c>
      <c r="D144" t="s">
        <v>105</v>
      </c>
      <c r="E144" t="s">
        <v>484</v>
      </c>
      <c r="F144" s="10" t="s">
        <v>485</v>
      </c>
      <c r="G144" t="s">
        <v>228</v>
      </c>
      <c r="H144">
        <v>1</v>
      </c>
      <c r="I144" t="s">
        <v>959</v>
      </c>
      <c r="J144" t="s">
        <v>263</v>
      </c>
      <c r="K144">
        <v>890</v>
      </c>
      <c r="L144" s="10">
        <v>3</v>
      </c>
      <c r="M144">
        <v>19</v>
      </c>
      <c r="N144">
        <v>2</v>
      </c>
      <c r="O144" s="10" t="s">
        <v>853</v>
      </c>
      <c r="P144" s="10"/>
      <c r="T144" t="str">
        <f t="shared" si="5"/>
        <v>s1_node_eff_battle_19_2</v>
      </c>
    </row>
    <row r="145" spans="1:20" x14ac:dyDescent="0.3">
      <c r="A145" t="str">
        <f t="shared" si="4"/>
        <v>s1_node_battle_19_6</v>
      </c>
      <c r="B145" t="s">
        <v>0</v>
      </c>
      <c r="C145" t="s">
        <v>26</v>
      </c>
      <c r="D145" t="s">
        <v>105</v>
      </c>
      <c r="E145" t="s">
        <v>487</v>
      </c>
      <c r="F145" s="10" t="s">
        <v>488</v>
      </c>
      <c r="G145" t="s">
        <v>228</v>
      </c>
      <c r="H145">
        <v>1</v>
      </c>
      <c r="I145" t="s">
        <v>959</v>
      </c>
      <c r="J145" t="s">
        <v>263</v>
      </c>
      <c r="K145">
        <v>890</v>
      </c>
      <c r="L145" s="10">
        <v>3</v>
      </c>
      <c r="M145">
        <v>19</v>
      </c>
      <c r="N145">
        <v>6</v>
      </c>
      <c r="O145" s="10" t="s">
        <v>854</v>
      </c>
      <c r="P145" s="10"/>
      <c r="T145" t="str">
        <f t="shared" si="5"/>
        <v>s1_node_eff_battle_19_6</v>
      </c>
    </row>
    <row r="146" spans="1:20" x14ac:dyDescent="0.3">
      <c r="A146" t="str">
        <f t="shared" si="4"/>
        <v>s1_node_battle_20_2</v>
      </c>
      <c r="B146" t="s">
        <v>0</v>
      </c>
      <c r="C146" t="s">
        <v>26</v>
      </c>
      <c r="D146" t="s">
        <v>105</v>
      </c>
      <c r="E146" t="s">
        <v>490</v>
      </c>
      <c r="F146" s="10" t="s">
        <v>491</v>
      </c>
      <c r="G146" t="s">
        <v>228</v>
      </c>
      <c r="H146">
        <v>1</v>
      </c>
      <c r="I146" t="s">
        <v>959</v>
      </c>
      <c r="J146" t="s">
        <v>221</v>
      </c>
      <c r="K146">
        <v>930</v>
      </c>
      <c r="L146" s="10">
        <v>3</v>
      </c>
      <c r="M146">
        <v>20</v>
      </c>
      <c r="N146">
        <v>2</v>
      </c>
      <c r="O146" s="10" t="s">
        <v>855</v>
      </c>
      <c r="P146" s="10"/>
      <c r="T146" t="str">
        <f t="shared" si="5"/>
        <v>s1_node_eff_battle_20_2</v>
      </c>
    </row>
    <row r="147" spans="1:20" x14ac:dyDescent="0.3">
      <c r="A147" t="str">
        <f t="shared" si="4"/>
        <v>s1_node_battle_20_6</v>
      </c>
      <c r="B147" t="s">
        <v>0</v>
      </c>
      <c r="C147" t="s">
        <v>26</v>
      </c>
      <c r="D147" t="s">
        <v>105</v>
      </c>
      <c r="E147" t="s">
        <v>493</v>
      </c>
      <c r="F147" s="10" t="s">
        <v>494</v>
      </c>
      <c r="G147" t="s">
        <v>228</v>
      </c>
      <c r="H147">
        <v>1</v>
      </c>
      <c r="I147" t="s">
        <v>959</v>
      </c>
      <c r="J147" t="s">
        <v>221</v>
      </c>
      <c r="K147">
        <v>930</v>
      </c>
      <c r="L147" s="10">
        <v>3</v>
      </c>
      <c r="M147">
        <v>20</v>
      </c>
      <c r="N147">
        <v>6</v>
      </c>
      <c r="O147" s="10" t="s">
        <v>264</v>
      </c>
      <c r="P147" s="10"/>
      <c r="T147" t="str">
        <f t="shared" si="5"/>
        <v>s1_node_eff_battle_20_6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6.5" x14ac:dyDescent="0.3"/>
  <cols>
    <col min="1" max="1" width="17.125" customWidth="1"/>
    <col min="2" max="2" width="10.375" customWidth="1"/>
    <col min="3" max="3" width="14.625" customWidth="1"/>
    <col min="4" max="4" width="11.125" customWidth="1"/>
    <col min="5" max="5" width="16" customWidth="1"/>
    <col min="6" max="6" width="13.375" customWidth="1"/>
  </cols>
  <sheetData>
    <row r="1" spans="1: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1</v>
      </c>
      <c r="C2" t="s">
        <v>2</v>
      </c>
      <c r="D2" t="s">
        <v>265</v>
      </c>
      <c r="E2" t="s">
        <v>266</v>
      </c>
    </row>
    <row r="3" spans="1:5" s="1" customFormat="1" x14ac:dyDescent="0.3">
      <c r="A3" s="1" t="s">
        <v>13</v>
      </c>
      <c r="B3" s="1" t="s">
        <v>14</v>
      </c>
      <c r="C3" s="1" t="s">
        <v>15</v>
      </c>
      <c r="D3" s="1" t="s">
        <v>100</v>
      </c>
      <c r="E3" s="1" t="s">
        <v>267</v>
      </c>
    </row>
    <row r="4" spans="1:5" x14ac:dyDescent="0.3">
      <c r="A4" t="str">
        <f t="shared" ref="A4:A18" si="0">_xlfn.TEXTJOIN("_",TRUE,C4,"dic_story",D4)</f>
        <v>s1_dic_story_1</v>
      </c>
      <c r="B4" t="s">
        <v>0</v>
      </c>
      <c r="C4" t="s">
        <v>26</v>
      </c>
      <c r="D4">
        <v>1</v>
      </c>
      <c r="E4" t="s">
        <v>268</v>
      </c>
    </row>
    <row r="5" spans="1:5" x14ac:dyDescent="0.3">
      <c r="A5" t="str">
        <f t="shared" si="0"/>
        <v>s1_dic_story_2</v>
      </c>
      <c r="B5" t="s">
        <v>0</v>
      </c>
      <c r="C5" t="s">
        <v>26</v>
      </c>
      <c r="D5">
        <v>2</v>
      </c>
      <c r="E5" t="s">
        <v>269</v>
      </c>
    </row>
    <row r="6" spans="1:5" x14ac:dyDescent="0.3">
      <c r="A6" t="str">
        <f t="shared" si="0"/>
        <v>s1_dic_story_3</v>
      </c>
      <c r="B6" t="s">
        <v>0</v>
      </c>
      <c r="C6" t="s">
        <v>26</v>
      </c>
      <c r="D6">
        <v>3</v>
      </c>
      <c r="E6" t="s">
        <v>270</v>
      </c>
    </row>
    <row r="7" spans="1:5" x14ac:dyDescent="0.3">
      <c r="A7" t="str">
        <f t="shared" si="0"/>
        <v>s1_dic_story_4</v>
      </c>
      <c r="B7" t="s">
        <v>0</v>
      </c>
      <c r="C7" t="s">
        <v>26</v>
      </c>
      <c r="D7">
        <v>4</v>
      </c>
      <c r="E7" t="s">
        <v>271</v>
      </c>
    </row>
    <row r="8" spans="1:5" x14ac:dyDescent="0.3">
      <c r="A8" t="str">
        <f t="shared" si="0"/>
        <v>s1_dic_story_5</v>
      </c>
      <c r="B8" t="s">
        <v>0</v>
      </c>
      <c r="C8" t="s">
        <v>26</v>
      </c>
      <c r="D8">
        <v>5</v>
      </c>
      <c r="E8" t="s">
        <v>272</v>
      </c>
    </row>
    <row r="9" spans="1:5" x14ac:dyDescent="0.3">
      <c r="A9" t="str">
        <f t="shared" si="0"/>
        <v>s1_dic_story_6</v>
      </c>
      <c r="B9" t="s">
        <v>0</v>
      </c>
      <c r="C9" t="s">
        <v>26</v>
      </c>
      <c r="D9">
        <v>6</v>
      </c>
      <c r="E9" t="s">
        <v>273</v>
      </c>
    </row>
    <row r="10" spans="1:5" x14ac:dyDescent="0.3">
      <c r="A10" t="str">
        <f t="shared" si="0"/>
        <v>s1_dic_story_7</v>
      </c>
      <c r="B10" t="s">
        <v>0</v>
      </c>
      <c r="C10" t="s">
        <v>26</v>
      </c>
      <c r="D10">
        <v>7</v>
      </c>
      <c r="E10" t="s">
        <v>274</v>
      </c>
    </row>
    <row r="11" spans="1:5" x14ac:dyDescent="0.3">
      <c r="A11" t="str">
        <f t="shared" si="0"/>
        <v>s1_dic_story_8</v>
      </c>
      <c r="B11" t="s">
        <v>0</v>
      </c>
      <c r="C11" t="s">
        <v>26</v>
      </c>
      <c r="D11">
        <v>8</v>
      </c>
      <c r="E11" t="s">
        <v>275</v>
      </c>
    </row>
    <row r="12" spans="1:5" x14ac:dyDescent="0.3">
      <c r="A12" t="str">
        <f t="shared" si="0"/>
        <v>s1_dic_story_9</v>
      </c>
      <c r="B12" t="s">
        <v>0</v>
      </c>
      <c r="C12" t="s">
        <v>26</v>
      </c>
      <c r="D12">
        <v>9</v>
      </c>
      <c r="E12" t="s">
        <v>276</v>
      </c>
    </row>
    <row r="13" spans="1:5" x14ac:dyDescent="0.3">
      <c r="A13" t="str">
        <f t="shared" si="0"/>
        <v>s1_dic_story_10</v>
      </c>
      <c r="B13" t="s">
        <v>0</v>
      </c>
      <c r="C13" t="s">
        <v>26</v>
      </c>
      <c r="D13">
        <v>10</v>
      </c>
      <c r="E13" t="s">
        <v>277</v>
      </c>
    </row>
    <row r="14" spans="1:5" x14ac:dyDescent="0.3">
      <c r="A14" t="str">
        <f t="shared" si="0"/>
        <v>s1_dic_story_11</v>
      </c>
      <c r="B14" t="s">
        <v>0</v>
      </c>
      <c r="C14" t="s">
        <v>26</v>
      </c>
      <c r="D14">
        <v>11</v>
      </c>
      <c r="E14" t="s">
        <v>278</v>
      </c>
    </row>
    <row r="15" spans="1:5" x14ac:dyDescent="0.3">
      <c r="A15" t="str">
        <f t="shared" si="0"/>
        <v>s1_dic_story_12</v>
      </c>
      <c r="B15" t="s">
        <v>0</v>
      </c>
      <c r="C15" t="s">
        <v>26</v>
      </c>
      <c r="D15">
        <v>12</v>
      </c>
      <c r="E15" t="s">
        <v>279</v>
      </c>
    </row>
    <row r="16" spans="1:5" x14ac:dyDescent="0.3">
      <c r="A16" t="str">
        <f t="shared" si="0"/>
        <v>s1_dic_story_13</v>
      </c>
      <c r="B16" t="s">
        <v>0</v>
      </c>
      <c r="C16" t="s">
        <v>26</v>
      </c>
      <c r="D16">
        <v>13</v>
      </c>
      <c r="E16" t="s">
        <v>280</v>
      </c>
    </row>
    <row r="17" spans="1:5" x14ac:dyDescent="0.3">
      <c r="A17" t="str">
        <f t="shared" si="0"/>
        <v>s1_dic_story_14</v>
      </c>
      <c r="B17" t="s">
        <v>0</v>
      </c>
      <c r="C17" t="s">
        <v>26</v>
      </c>
      <c r="D17">
        <v>14</v>
      </c>
      <c r="E17" t="s">
        <v>281</v>
      </c>
    </row>
    <row r="18" spans="1:5" x14ac:dyDescent="0.3">
      <c r="A18" t="str">
        <f t="shared" si="0"/>
        <v>s1_dic_story_15</v>
      </c>
      <c r="B18" t="s">
        <v>0</v>
      </c>
      <c r="C18" t="s">
        <v>26</v>
      </c>
      <c r="D18">
        <v>15</v>
      </c>
      <c r="E18" t="s">
        <v>282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defaultRowHeight="16.5" x14ac:dyDescent="0.3"/>
  <cols>
    <col min="1" max="1" width="18.5" customWidth="1"/>
    <col min="2" max="2" width="10.375" customWidth="1"/>
    <col min="3" max="3" width="12.625" customWidth="1"/>
    <col min="4" max="5" width="9.125" customWidth="1"/>
    <col min="6" max="6" width="10.125" customWidth="1"/>
    <col min="7" max="7" width="10.875" customWidth="1"/>
  </cols>
  <sheetData>
    <row r="1" spans="1:7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3">
      <c r="A2" t="s">
        <v>1</v>
      </c>
      <c r="C2" t="s">
        <v>2</v>
      </c>
      <c r="D2" t="s">
        <v>283</v>
      </c>
      <c r="E2" t="s">
        <v>265</v>
      </c>
      <c r="F2" t="s">
        <v>284</v>
      </c>
      <c r="G2" t="s">
        <v>285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286</v>
      </c>
      <c r="G3" s="1" t="s">
        <v>287</v>
      </c>
    </row>
    <row r="4" spans="1:7" x14ac:dyDescent="0.3">
      <c r="A4" t="str">
        <f t="shared" ref="A4:A17" si="0">_xlfn.TEXTJOIN("_",TRUE,C4,"dic",D4,E4)</f>
        <v>s1_dic_event_1_1</v>
      </c>
      <c r="B4" t="s">
        <v>0</v>
      </c>
      <c r="C4" t="s">
        <v>26</v>
      </c>
      <c r="D4" t="s">
        <v>288</v>
      </c>
      <c r="E4">
        <v>1</v>
      </c>
      <c r="F4" t="s">
        <v>289</v>
      </c>
      <c r="G4" t="s">
        <v>290</v>
      </c>
    </row>
    <row r="5" spans="1:7" x14ac:dyDescent="0.3">
      <c r="A5" t="str">
        <f t="shared" si="0"/>
        <v>s1_dic_event_1_2</v>
      </c>
      <c r="B5" t="s">
        <v>0</v>
      </c>
      <c r="C5" t="s">
        <v>26</v>
      </c>
      <c r="D5" t="s">
        <v>288</v>
      </c>
      <c r="E5">
        <v>2</v>
      </c>
      <c r="F5" t="s">
        <v>291</v>
      </c>
      <c r="G5" t="s">
        <v>292</v>
      </c>
    </row>
    <row r="6" spans="1:7" x14ac:dyDescent="0.3">
      <c r="A6" t="str">
        <f t="shared" si="0"/>
        <v>s1_dic_event_1_3</v>
      </c>
      <c r="B6" t="s">
        <v>0</v>
      </c>
      <c r="C6" t="s">
        <v>26</v>
      </c>
      <c r="D6" t="s">
        <v>288</v>
      </c>
      <c r="E6">
        <v>3</v>
      </c>
      <c r="F6" t="s">
        <v>293</v>
      </c>
      <c r="G6" t="s">
        <v>294</v>
      </c>
    </row>
    <row r="7" spans="1:7" x14ac:dyDescent="0.3">
      <c r="A7" t="str">
        <f t="shared" si="0"/>
        <v>s1_dic_event_1_4</v>
      </c>
      <c r="B7" t="s">
        <v>0</v>
      </c>
      <c r="C7" t="s">
        <v>26</v>
      </c>
      <c r="D7" t="s">
        <v>288</v>
      </c>
      <c r="E7">
        <v>4</v>
      </c>
      <c r="F7" t="s">
        <v>295</v>
      </c>
      <c r="G7" t="s">
        <v>296</v>
      </c>
    </row>
    <row r="8" spans="1:7" x14ac:dyDescent="0.3">
      <c r="A8" t="str">
        <f t="shared" si="0"/>
        <v>s1_dic_event_1_5</v>
      </c>
      <c r="B8" t="s">
        <v>0</v>
      </c>
      <c r="C8" t="s">
        <v>26</v>
      </c>
      <c r="D8" t="s">
        <v>288</v>
      </c>
      <c r="E8">
        <v>5</v>
      </c>
      <c r="F8" t="s">
        <v>297</v>
      </c>
      <c r="G8" t="s">
        <v>298</v>
      </c>
    </row>
    <row r="9" spans="1:7" x14ac:dyDescent="0.3">
      <c r="A9" t="str">
        <f t="shared" si="0"/>
        <v>s1_dic_event_1_6</v>
      </c>
      <c r="B9" t="s">
        <v>0</v>
      </c>
      <c r="C9" t="s">
        <v>26</v>
      </c>
      <c r="D9" t="s">
        <v>288</v>
      </c>
      <c r="E9">
        <v>6</v>
      </c>
      <c r="F9" t="s">
        <v>299</v>
      </c>
      <c r="G9" t="s">
        <v>300</v>
      </c>
    </row>
    <row r="10" spans="1:7" x14ac:dyDescent="0.3">
      <c r="A10" t="str">
        <f t="shared" si="0"/>
        <v>s1_dic_event_1_7</v>
      </c>
      <c r="B10" t="s">
        <v>0</v>
      </c>
      <c r="C10" t="s">
        <v>26</v>
      </c>
      <c r="D10" t="s">
        <v>288</v>
      </c>
      <c r="E10">
        <v>7</v>
      </c>
      <c r="F10" t="s">
        <v>301</v>
      </c>
      <c r="G10" t="s">
        <v>302</v>
      </c>
    </row>
    <row r="11" spans="1:7" x14ac:dyDescent="0.3">
      <c r="A11" t="str">
        <f t="shared" si="0"/>
        <v>s1_dic_event_2_1</v>
      </c>
      <c r="B11" t="s">
        <v>0</v>
      </c>
      <c r="C11" t="s">
        <v>26</v>
      </c>
      <c r="D11" t="s">
        <v>303</v>
      </c>
      <c r="E11">
        <v>1</v>
      </c>
      <c r="F11" t="s">
        <v>304</v>
      </c>
      <c r="G11" t="s">
        <v>305</v>
      </c>
    </row>
    <row r="12" spans="1:7" x14ac:dyDescent="0.3">
      <c r="A12" t="str">
        <f t="shared" si="0"/>
        <v>s1_dic_event_2_2</v>
      </c>
      <c r="B12" t="s">
        <v>0</v>
      </c>
      <c r="C12" t="s">
        <v>26</v>
      </c>
      <c r="D12" t="s">
        <v>303</v>
      </c>
      <c r="E12">
        <v>2</v>
      </c>
      <c r="F12" t="s">
        <v>306</v>
      </c>
      <c r="G12" t="s">
        <v>307</v>
      </c>
    </row>
    <row r="13" spans="1:7" x14ac:dyDescent="0.3">
      <c r="A13" t="str">
        <f t="shared" si="0"/>
        <v>s1_dic_event_2_3</v>
      </c>
      <c r="B13" t="s">
        <v>0</v>
      </c>
      <c r="C13" t="s">
        <v>26</v>
      </c>
      <c r="D13" t="s">
        <v>303</v>
      </c>
      <c r="E13">
        <v>3</v>
      </c>
      <c r="F13" t="s">
        <v>308</v>
      </c>
      <c r="G13" t="s">
        <v>309</v>
      </c>
    </row>
    <row r="14" spans="1:7" x14ac:dyDescent="0.3">
      <c r="A14" t="str">
        <f t="shared" si="0"/>
        <v>s1_dic_event_2_4</v>
      </c>
      <c r="B14" t="s">
        <v>0</v>
      </c>
      <c r="C14" t="s">
        <v>26</v>
      </c>
      <c r="D14" t="s">
        <v>303</v>
      </c>
      <c r="E14">
        <v>4</v>
      </c>
      <c r="F14" t="s">
        <v>310</v>
      </c>
      <c r="G14" t="s">
        <v>311</v>
      </c>
    </row>
    <row r="15" spans="1:7" x14ac:dyDescent="0.3">
      <c r="A15" t="str">
        <f t="shared" si="0"/>
        <v>s1_dic_event_2_5</v>
      </c>
      <c r="B15" t="s">
        <v>0</v>
      </c>
      <c r="C15" t="s">
        <v>26</v>
      </c>
      <c r="D15" t="s">
        <v>303</v>
      </c>
      <c r="E15">
        <v>5</v>
      </c>
      <c r="F15" t="s">
        <v>312</v>
      </c>
      <c r="G15" t="s">
        <v>313</v>
      </c>
    </row>
    <row r="16" spans="1:7" x14ac:dyDescent="0.3">
      <c r="A16" t="str">
        <f t="shared" si="0"/>
        <v>s1_dic_event_2_6</v>
      </c>
      <c r="B16" t="s">
        <v>0</v>
      </c>
      <c r="C16" t="s">
        <v>26</v>
      </c>
      <c r="D16" t="s">
        <v>303</v>
      </c>
      <c r="E16">
        <v>6</v>
      </c>
      <c r="F16" t="s">
        <v>314</v>
      </c>
      <c r="G16" t="s">
        <v>315</v>
      </c>
    </row>
    <row r="17" spans="1:7" x14ac:dyDescent="0.3">
      <c r="A17" t="str">
        <f t="shared" si="0"/>
        <v>s1_dic_event_2_7</v>
      </c>
      <c r="B17" t="s">
        <v>0</v>
      </c>
      <c r="C17" t="s">
        <v>26</v>
      </c>
      <c r="D17" t="s">
        <v>303</v>
      </c>
      <c r="E17">
        <v>7</v>
      </c>
      <c r="F17" t="s">
        <v>316</v>
      </c>
      <c r="G17" t="s">
        <v>317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3"/>
  <sheetViews>
    <sheetView workbookViewId="0">
      <selection activeCell="A15" sqref="A15"/>
    </sheetView>
  </sheetViews>
  <sheetFormatPr defaultRowHeight="16.5" x14ac:dyDescent="0.3"/>
  <cols>
    <col min="1" max="1" width="17.5" customWidth="1"/>
    <col min="2" max="2" width="10.375" customWidth="1"/>
    <col min="3" max="3" width="12.625" customWidth="1"/>
    <col min="4" max="4" width="25" customWidth="1"/>
    <col min="5" max="5" width="9.125" customWidth="1"/>
    <col min="6" max="6" width="15.75" customWidth="1"/>
  </cols>
  <sheetData>
    <row r="1" spans="1:8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3">
      <c r="A2" t="s">
        <v>1</v>
      </c>
      <c r="C2" t="s">
        <v>2</v>
      </c>
      <c r="D2" t="s">
        <v>318</v>
      </c>
      <c r="E2" t="s">
        <v>265</v>
      </c>
      <c r="F2" t="s">
        <v>319</v>
      </c>
      <c r="G2" t="s">
        <v>320</v>
      </c>
      <c r="H2" t="s">
        <v>285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321</v>
      </c>
      <c r="G3" s="1" t="s">
        <v>322</v>
      </c>
      <c r="H3" s="1" t="s">
        <v>323</v>
      </c>
    </row>
    <row r="4" spans="1:8" x14ac:dyDescent="0.3">
      <c r="A4" t="s">
        <v>324</v>
      </c>
      <c r="B4" t="s">
        <v>0</v>
      </c>
      <c r="C4" t="s">
        <v>26</v>
      </c>
      <c r="D4" t="s">
        <v>104</v>
      </c>
      <c r="E4">
        <v>1</v>
      </c>
      <c r="G4" t="s">
        <v>325</v>
      </c>
      <c r="H4" t="s">
        <v>326</v>
      </c>
    </row>
    <row r="5" spans="1:8" x14ac:dyDescent="0.3">
      <c r="A5" t="s">
        <v>327</v>
      </c>
      <c r="B5" t="s">
        <v>0</v>
      </c>
      <c r="C5" t="s">
        <v>26</v>
      </c>
      <c r="D5" t="s">
        <v>104</v>
      </c>
      <c r="E5">
        <v>2</v>
      </c>
      <c r="G5" t="s">
        <v>328</v>
      </c>
      <c r="H5" t="s">
        <v>329</v>
      </c>
    </row>
    <row r="6" spans="1:8" x14ac:dyDescent="0.3">
      <c r="A6" t="s">
        <v>330</v>
      </c>
      <c r="B6" t="s">
        <v>0</v>
      </c>
      <c r="C6" t="s">
        <v>26</v>
      </c>
      <c r="D6" t="s">
        <v>104</v>
      </c>
      <c r="E6">
        <v>3</v>
      </c>
      <c r="G6" t="s">
        <v>331</v>
      </c>
      <c r="H6" t="s">
        <v>332</v>
      </c>
    </row>
    <row r="7" spans="1:8" x14ac:dyDescent="0.3">
      <c r="A7" t="s">
        <v>333</v>
      </c>
      <c r="B7" t="s">
        <v>0</v>
      </c>
      <c r="C7" t="s">
        <v>26</v>
      </c>
      <c r="D7" t="s">
        <v>104</v>
      </c>
      <c r="E7">
        <v>4</v>
      </c>
      <c r="G7" t="s">
        <v>334</v>
      </c>
      <c r="H7" t="s">
        <v>335</v>
      </c>
    </row>
    <row r="8" spans="1:8" x14ac:dyDescent="0.3">
      <c r="A8" t="s">
        <v>336</v>
      </c>
      <c r="B8" t="s">
        <v>0</v>
      </c>
      <c r="C8" t="s">
        <v>26</v>
      </c>
      <c r="D8" t="s">
        <v>104</v>
      </c>
      <c r="E8">
        <v>5</v>
      </c>
      <c r="G8" t="s">
        <v>337</v>
      </c>
      <c r="H8" t="s">
        <v>338</v>
      </c>
    </row>
    <row r="9" spans="1:8" x14ac:dyDescent="0.3">
      <c r="A9" t="s">
        <v>339</v>
      </c>
      <c r="B9" t="s">
        <v>0</v>
      </c>
      <c r="C9" t="s">
        <v>26</v>
      </c>
      <c r="D9" t="s">
        <v>104</v>
      </c>
      <c r="E9">
        <v>6</v>
      </c>
      <c r="G9" t="s">
        <v>340</v>
      </c>
      <c r="H9" t="s">
        <v>341</v>
      </c>
    </row>
    <row r="10" spans="1:8" x14ac:dyDescent="0.3">
      <c r="A10" t="s">
        <v>342</v>
      </c>
      <c r="B10" t="s">
        <v>0</v>
      </c>
      <c r="C10" t="s">
        <v>26</v>
      </c>
      <c r="D10" t="s">
        <v>104</v>
      </c>
      <c r="E10">
        <v>7</v>
      </c>
      <c r="G10" t="s">
        <v>343</v>
      </c>
      <c r="H10" t="s">
        <v>344</v>
      </c>
    </row>
    <row r="11" spans="1:8" x14ac:dyDescent="0.3">
      <c r="A11" t="s">
        <v>345</v>
      </c>
      <c r="B11" t="s">
        <v>0</v>
      </c>
      <c r="C11" t="s">
        <v>26</v>
      </c>
      <c r="D11" t="s">
        <v>104</v>
      </c>
      <c r="E11">
        <v>8</v>
      </c>
      <c r="G11" t="s">
        <v>346</v>
      </c>
      <c r="H11" t="s">
        <v>347</v>
      </c>
    </row>
    <row r="12" spans="1:8" x14ac:dyDescent="0.3">
      <c r="A12" t="s">
        <v>348</v>
      </c>
      <c r="B12" t="s">
        <v>0</v>
      </c>
      <c r="C12" t="s">
        <v>26</v>
      </c>
      <c r="D12" t="s">
        <v>104</v>
      </c>
      <c r="E12">
        <v>9</v>
      </c>
      <c r="G12" t="s">
        <v>349</v>
      </c>
      <c r="H12" t="s">
        <v>350</v>
      </c>
    </row>
    <row r="13" spans="1:8" x14ac:dyDescent="0.3">
      <c r="A13" t="s">
        <v>351</v>
      </c>
      <c r="B13" t="s">
        <v>0</v>
      </c>
      <c r="C13" t="s">
        <v>26</v>
      </c>
      <c r="D13" t="s">
        <v>104</v>
      </c>
      <c r="E13">
        <v>10</v>
      </c>
      <c r="G13" t="s">
        <v>352</v>
      </c>
      <c r="H13" t="s">
        <v>353</v>
      </c>
    </row>
    <row r="14" spans="1:8" x14ac:dyDescent="0.3">
      <c r="A14" t="s">
        <v>354</v>
      </c>
      <c r="B14" t="s">
        <v>0</v>
      </c>
      <c r="C14" t="s">
        <v>26</v>
      </c>
      <c r="D14" t="s">
        <v>104</v>
      </c>
      <c r="E14">
        <v>11</v>
      </c>
      <c r="G14" t="s">
        <v>355</v>
      </c>
      <c r="H14" t="s">
        <v>356</v>
      </c>
    </row>
    <row r="15" spans="1:8" x14ac:dyDescent="0.3">
      <c r="A15" t="s">
        <v>357</v>
      </c>
      <c r="B15" t="s">
        <v>0</v>
      </c>
      <c r="C15" t="s">
        <v>26</v>
      </c>
      <c r="D15" t="s">
        <v>104</v>
      </c>
      <c r="E15">
        <v>12</v>
      </c>
      <c r="G15" t="s">
        <v>358</v>
      </c>
      <c r="H15" t="s">
        <v>359</v>
      </c>
    </row>
    <row r="16" spans="1:8" x14ac:dyDescent="0.3">
      <c r="A16" t="s">
        <v>360</v>
      </c>
      <c r="B16" t="s">
        <v>0</v>
      </c>
      <c r="C16" t="s">
        <v>26</v>
      </c>
      <c r="D16" t="s">
        <v>104</v>
      </c>
      <c r="E16">
        <v>13</v>
      </c>
      <c r="G16" t="s">
        <v>361</v>
      </c>
      <c r="H16" t="s">
        <v>362</v>
      </c>
    </row>
    <row r="17" spans="1:8" x14ac:dyDescent="0.3">
      <c r="A17" t="s">
        <v>363</v>
      </c>
      <c r="B17" t="s">
        <v>0</v>
      </c>
      <c r="C17" t="s">
        <v>26</v>
      </c>
      <c r="D17" t="s">
        <v>104</v>
      </c>
      <c r="E17">
        <v>14</v>
      </c>
      <c r="G17" t="s">
        <v>364</v>
      </c>
      <c r="H17" t="s">
        <v>365</v>
      </c>
    </row>
    <row r="18" spans="1:8" x14ac:dyDescent="0.3">
      <c r="A18" t="s">
        <v>366</v>
      </c>
      <c r="B18" t="s">
        <v>0</v>
      </c>
      <c r="C18" t="s">
        <v>26</v>
      </c>
      <c r="D18" t="s">
        <v>104</v>
      </c>
      <c r="E18">
        <v>15</v>
      </c>
      <c r="G18" t="s">
        <v>367</v>
      </c>
      <c r="H18" t="s">
        <v>368</v>
      </c>
    </row>
    <row r="19" spans="1:8" x14ac:dyDescent="0.3">
      <c r="A19" t="s">
        <v>369</v>
      </c>
      <c r="B19" t="s">
        <v>0</v>
      </c>
      <c r="C19" t="s">
        <v>26</v>
      </c>
      <c r="D19" t="s">
        <v>104</v>
      </c>
      <c r="E19">
        <v>16</v>
      </c>
      <c r="G19" t="s">
        <v>370</v>
      </c>
      <c r="H19" t="s">
        <v>371</v>
      </c>
    </row>
    <row r="20" spans="1:8" x14ac:dyDescent="0.3">
      <c r="A20" t="s">
        <v>372</v>
      </c>
      <c r="B20" t="s">
        <v>0</v>
      </c>
      <c r="C20" t="s">
        <v>26</v>
      </c>
      <c r="D20" t="s">
        <v>104</v>
      </c>
      <c r="E20">
        <v>17</v>
      </c>
      <c r="G20" t="s">
        <v>373</v>
      </c>
      <c r="H20" t="s">
        <v>374</v>
      </c>
    </row>
    <row r="21" spans="1:8" x14ac:dyDescent="0.3">
      <c r="A21" t="s">
        <v>375</v>
      </c>
      <c r="B21" t="s">
        <v>0</v>
      </c>
      <c r="C21" t="s">
        <v>26</v>
      </c>
      <c r="D21" t="s">
        <v>104</v>
      </c>
      <c r="E21">
        <v>18</v>
      </c>
      <c r="G21" t="s">
        <v>376</v>
      </c>
      <c r="H21" t="s">
        <v>377</v>
      </c>
    </row>
    <row r="22" spans="1:8" x14ac:dyDescent="0.3">
      <c r="A22" t="s">
        <v>378</v>
      </c>
      <c r="B22" t="s">
        <v>0</v>
      </c>
      <c r="C22" t="s">
        <v>26</v>
      </c>
      <c r="D22" t="s">
        <v>104</v>
      </c>
      <c r="E22">
        <v>19</v>
      </c>
      <c r="G22" t="s">
        <v>379</v>
      </c>
      <c r="H22" t="s">
        <v>380</v>
      </c>
    </row>
    <row r="23" spans="1:8" x14ac:dyDescent="0.3">
      <c r="A23" t="s">
        <v>381</v>
      </c>
      <c r="B23" t="s">
        <v>0</v>
      </c>
      <c r="C23" t="s">
        <v>26</v>
      </c>
      <c r="D23" t="s">
        <v>104</v>
      </c>
      <c r="E23">
        <v>20</v>
      </c>
      <c r="G23" t="s">
        <v>382</v>
      </c>
      <c r="H23" t="s">
        <v>383</v>
      </c>
    </row>
    <row r="24" spans="1:8" x14ac:dyDescent="0.3">
      <c r="A24" t="s">
        <v>384</v>
      </c>
      <c r="B24" t="s">
        <v>0</v>
      </c>
      <c r="C24" t="s">
        <v>26</v>
      </c>
      <c r="D24" t="s">
        <v>104</v>
      </c>
      <c r="E24">
        <v>21</v>
      </c>
      <c r="G24" t="s">
        <v>385</v>
      </c>
      <c r="H24" t="s">
        <v>386</v>
      </c>
    </row>
    <row r="25" spans="1:8" x14ac:dyDescent="0.3">
      <c r="A25" t="s">
        <v>387</v>
      </c>
      <c r="B25" t="s">
        <v>0</v>
      </c>
      <c r="C25" t="s">
        <v>26</v>
      </c>
      <c r="D25" t="s">
        <v>104</v>
      </c>
      <c r="E25">
        <v>22</v>
      </c>
      <c r="G25" t="s">
        <v>388</v>
      </c>
      <c r="H25" t="s">
        <v>389</v>
      </c>
    </row>
    <row r="26" spans="1:8" x14ac:dyDescent="0.3">
      <c r="A26" t="s">
        <v>390</v>
      </c>
      <c r="B26" t="s">
        <v>0</v>
      </c>
      <c r="C26" t="s">
        <v>26</v>
      </c>
      <c r="D26" t="s">
        <v>104</v>
      </c>
      <c r="E26">
        <v>23</v>
      </c>
      <c r="G26" t="s">
        <v>391</v>
      </c>
      <c r="H26" t="s">
        <v>392</v>
      </c>
    </row>
    <row r="27" spans="1:8" x14ac:dyDescent="0.3">
      <c r="A27" t="s">
        <v>393</v>
      </c>
      <c r="B27" t="s">
        <v>0</v>
      </c>
      <c r="C27" t="s">
        <v>26</v>
      </c>
      <c r="D27" t="s">
        <v>104</v>
      </c>
      <c r="E27">
        <v>24</v>
      </c>
      <c r="G27" t="s">
        <v>394</v>
      </c>
      <c r="H27" t="s">
        <v>395</v>
      </c>
    </row>
    <row r="28" spans="1:8" x14ac:dyDescent="0.3">
      <c r="A28" t="s">
        <v>396</v>
      </c>
      <c r="B28" t="s">
        <v>0</v>
      </c>
      <c r="C28" t="s">
        <v>26</v>
      </c>
      <c r="D28" t="s">
        <v>104</v>
      </c>
      <c r="E28">
        <v>25</v>
      </c>
      <c r="G28" t="s">
        <v>397</v>
      </c>
      <c r="H28" t="s">
        <v>398</v>
      </c>
    </row>
    <row r="29" spans="1:8" x14ac:dyDescent="0.3">
      <c r="A29" t="s">
        <v>399</v>
      </c>
      <c r="B29" t="s">
        <v>0</v>
      </c>
      <c r="C29" t="s">
        <v>26</v>
      </c>
      <c r="D29" t="s">
        <v>104</v>
      </c>
      <c r="E29">
        <v>26</v>
      </c>
      <c r="G29" t="s">
        <v>400</v>
      </c>
      <c r="H29" t="s">
        <v>401</v>
      </c>
    </row>
    <row r="30" spans="1:8" x14ac:dyDescent="0.3">
      <c r="A30" t="s">
        <v>402</v>
      </c>
      <c r="B30" t="s">
        <v>0</v>
      </c>
      <c r="C30" t="s">
        <v>26</v>
      </c>
      <c r="D30" t="s">
        <v>104</v>
      </c>
      <c r="E30">
        <v>27</v>
      </c>
      <c r="G30" t="s">
        <v>403</v>
      </c>
      <c r="H30" t="s">
        <v>404</v>
      </c>
    </row>
    <row r="31" spans="1:8" x14ac:dyDescent="0.3">
      <c r="A31" t="s">
        <v>405</v>
      </c>
      <c r="B31" t="s">
        <v>0</v>
      </c>
      <c r="C31" t="s">
        <v>26</v>
      </c>
      <c r="D31" t="s">
        <v>104</v>
      </c>
      <c r="E31">
        <v>28</v>
      </c>
      <c r="G31" t="s">
        <v>406</v>
      </c>
      <c r="H31" t="s">
        <v>407</v>
      </c>
    </row>
    <row r="32" spans="1:8" x14ac:dyDescent="0.3">
      <c r="A32" t="s">
        <v>408</v>
      </c>
      <c r="B32" t="s">
        <v>0</v>
      </c>
      <c r="C32" t="s">
        <v>26</v>
      </c>
      <c r="D32" t="s">
        <v>104</v>
      </c>
      <c r="E32">
        <v>29</v>
      </c>
      <c r="G32" t="s">
        <v>409</v>
      </c>
      <c r="H32" t="s">
        <v>410</v>
      </c>
    </row>
    <row r="33" spans="1:8" x14ac:dyDescent="0.3">
      <c r="A33" t="s">
        <v>411</v>
      </c>
      <c r="B33" t="s">
        <v>0</v>
      </c>
      <c r="C33" t="s">
        <v>26</v>
      </c>
      <c r="D33" t="s">
        <v>104</v>
      </c>
      <c r="E33">
        <v>30</v>
      </c>
      <c r="G33" t="s">
        <v>412</v>
      </c>
      <c r="H33" t="s">
        <v>413</v>
      </c>
    </row>
    <row r="34" spans="1:8" x14ac:dyDescent="0.3">
      <c r="A34" t="s">
        <v>414</v>
      </c>
      <c r="B34" t="s">
        <v>0</v>
      </c>
      <c r="C34" t="s">
        <v>26</v>
      </c>
      <c r="D34" t="s">
        <v>104</v>
      </c>
      <c r="E34">
        <v>31</v>
      </c>
      <c r="G34" t="s">
        <v>415</v>
      </c>
      <c r="H34" t="s">
        <v>416</v>
      </c>
    </row>
    <row r="35" spans="1:8" x14ac:dyDescent="0.3">
      <c r="A35" t="s">
        <v>417</v>
      </c>
      <c r="B35" t="s">
        <v>0</v>
      </c>
      <c r="C35" t="s">
        <v>26</v>
      </c>
      <c r="D35" t="s">
        <v>104</v>
      </c>
      <c r="E35">
        <v>32</v>
      </c>
      <c r="G35" t="s">
        <v>418</v>
      </c>
      <c r="H35" t="s">
        <v>419</v>
      </c>
    </row>
    <row r="36" spans="1:8" x14ac:dyDescent="0.3">
      <c r="A36" t="s">
        <v>420</v>
      </c>
      <c r="B36" t="s">
        <v>0</v>
      </c>
      <c r="C36" t="s">
        <v>26</v>
      </c>
      <c r="D36" t="s">
        <v>104</v>
      </c>
      <c r="E36">
        <v>33</v>
      </c>
      <c r="G36" t="s">
        <v>421</v>
      </c>
      <c r="H36" t="s">
        <v>422</v>
      </c>
    </row>
    <row r="37" spans="1:8" x14ac:dyDescent="0.3">
      <c r="A37" t="s">
        <v>423</v>
      </c>
      <c r="B37" t="s">
        <v>0</v>
      </c>
      <c r="C37" t="s">
        <v>26</v>
      </c>
      <c r="D37" t="s">
        <v>104</v>
      </c>
      <c r="E37">
        <v>34</v>
      </c>
      <c r="G37" t="s">
        <v>424</v>
      </c>
      <c r="H37" t="s">
        <v>425</v>
      </c>
    </row>
    <row r="38" spans="1:8" x14ac:dyDescent="0.3">
      <c r="A38" t="s">
        <v>426</v>
      </c>
      <c r="B38" t="s">
        <v>0</v>
      </c>
      <c r="C38" t="s">
        <v>26</v>
      </c>
      <c r="D38" t="s">
        <v>104</v>
      </c>
      <c r="E38">
        <v>35</v>
      </c>
      <c r="G38" t="s">
        <v>427</v>
      </c>
      <c r="H38" t="s">
        <v>428</v>
      </c>
    </row>
    <row r="39" spans="1:8" x14ac:dyDescent="0.3">
      <c r="A39" t="s">
        <v>429</v>
      </c>
      <c r="B39" t="s">
        <v>0</v>
      </c>
      <c r="C39" t="s">
        <v>26</v>
      </c>
      <c r="D39" t="s">
        <v>104</v>
      </c>
      <c r="E39">
        <v>36</v>
      </c>
      <c r="G39" t="s">
        <v>430</v>
      </c>
      <c r="H39" t="s">
        <v>431</v>
      </c>
    </row>
    <row r="40" spans="1:8" x14ac:dyDescent="0.3">
      <c r="A40" t="s">
        <v>432</v>
      </c>
      <c r="B40" t="s">
        <v>0</v>
      </c>
      <c r="C40" t="s">
        <v>26</v>
      </c>
      <c r="D40" t="s">
        <v>104</v>
      </c>
      <c r="E40">
        <v>37</v>
      </c>
      <c r="G40" t="s">
        <v>433</v>
      </c>
      <c r="H40" t="s">
        <v>434</v>
      </c>
    </row>
    <row r="41" spans="1:8" x14ac:dyDescent="0.3">
      <c r="A41" t="s">
        <v>435</v>
      </c>
      <c r="B41" t="s">
        <v>0</v>
      </c>
      <c r="C41" t="s">
        <v>26</v>
      </c>
      <c r="D41" t="s">
        <v>104</v>
      </c>
      <c r="E41">
        <v>38</v>
      </c>
      <c r="G41" t="s">
        <v>436</v>
      </c>
      <c r="H41" t="s">
        <v>437</v>
      </c>
    </row>
    <row r="42" spans="1:8" x14ac:dyDescent="0.3">
      <c r="A42" t="s">
        <v>438</v>
      </c>
      <c r="B42" t="s">
        <v>0</v>
      </c>
      <c r="C42" t="s">
        <v>26</v>
      </c>
      <c r="D42" t="s">
        <v>104</v>
      </c>
      <c r="E42">
        <v>39</v>
      </c>
      <c r="G42" t="s">
        <v>439</v>
      </c>
      <c r="H42" t="s">
        <v>440</v>
      </c>
    </row>
    <row r="43" spans="1:8" x14ac:dyDescent="0.3">
      <c r="A43" t="s">
        <v>441</v>
      </c>
      <c r="B43" t="s">
        <v>0</v>
      </c>
      <c r="C43" t="s">
        <v>26</v>
      </c>
      <c r="D43" t="s">
        <v>104</v>
      </c>
      <c r="E43">
        <v>40</v>
      </c>
      <c r="G43" t="s">
        <v>442</v>
      </c>
      <c r="H43" t="s">
        <v>443</v>
      </c>
    </row>
    <row r="44" spans="1:8" x14ac:dyDescent="0.3">
      <c r="A44" t="s">
        <v>444</v>
      </c>
      <c r="B44" t="s">
        <v>0</v>
      </c>
      <c r="C44" t="s">
        <v>26</v>
      </c>
      <c r="D44" t="s">
        <v>104</v>
      </c>
      <c r="E44">
        <v>41</v>
      </c>
      <c r="G44" t="s">
        <v>445</v>
      </c>
      <c r="H44" t="s">
        <v>446</v>
      </c>
    </row>
    <row r="45" spans="1:8" x14ac:dyDescent="0.3">
      <c r="A45" t="s">
        <v>447</v>
      </c>
      <c r="B45" t="s">
        <v>0</v>
      </c>
      <c r="C45" t="s">
        <v>26</v>
      </c>
      <c r="D45" t="s">
        <v>104</v>
      </c>
      <c r="E45">
        <v>42</v>
      </c>
      <c r="G45" t="s">
        <v>448</v>
      </c>
      <c r="H45" t="s">
        <v>449</v>
      </c>
    </row>
    <row r="46" spans="1:8" x14ac:dyDescent="0.3">
      <c r="A46" t="s">
        <v>450</v>
      </c>
      <c r="B46" t="s">
        <v>0</v>
      </c>
      <c r="C46" t="s">
        <v>26</v>
      </c>
      <c r="D46" t="s">
        <v>104</v>
      </c>
      <c r="E46">
        <v>43</v>
      </c>
      <c r="G46" t="s">
        <v>451</v>
      </c>
      <c r="H46" t="s">
        <v>452</v>
      </c>
    </row>
    <row r="47" spans="1:8" x14ac:dyDescent="0.3">
      <c r="A47" t="s">
        <v>453</v>
      </c>
      <c r="B47" t="s">
        <v>0</v>
      </c>
      <c r="C47" t="s">
        <v>26</v>
      </c>
      <c r="D47" t="s">
        <v>104</v>
      </c>
      <c r="E47">
        <v>44</v>
      </c>
      <c r="G47" t="s">
        <v>454</v>
      </c>
      <c r="H47" t="s">
        <v>455</v>
      </c>
    </row>
    <row r="48" spans="1:8" x14ac:dyDescent="0.3">
      <c r="A48" t="s">
        <v>456</v>
      </c>
      <c r="B48" t="s">
        <v>0</v>
      </c>
      <c r="C48" t="s">
        <v>26</v>
      </c>
      <c r="D48" t="s">
        <v>104</v>
      </c>
      <c r="E48">
        <v>45</v>
      </c>
      <c r="G48" t="s">
        <v>457</v>
      </c>
      <c r="H48" t="s">
        <v>458</v>
      </c>
    </row>
    <row r="49" spans="1:8" x14ac:dyDescent="0.3">
      <c r="A49" t="s">
        <v>459</v>
      </c>
      <c r="B49" t="s">
        <v>0</v>
      </c>
      <c r="C49" t="s">
        <v>26</v>
      </c>
      <c r="D49" t="s">
        <v>104</v>
      </c>
      <c r="E49">
        <v>46</v>
      </c>
      <c r="G49" t="s">
        <v>460</v>
      </c>
      <c r="H49" t="s">
        <v>461</v>
      </c>
    </row>
    <row r="50" spans="1:8" x14ac:dyDescent="0.3">
      <c r="A50" t="s">
        <v>462</v>
      </c>
      <c r="B50" t="s">
        <v>0</v>
      </c>
      <c r="C50" t="s">
        <v>26</v>
      </c>
      <c r="D50" t="s">
        <v>104</v>
      </c>
      <c r="E50">
        <v>47</v>
      </c>
      <c r="G50" t="s">
        <v>463</v>
      </c>
      <c r="H50" t="s">
        <v>464</v>
      </c>
    </row>
    <row r="51" spans="1:8" x14ac:dyDescent="0.3">
      <c r="A51" t="s">
        <v>465</v>
      </c>
      <c r="B51" t="s">
        <v>0</v>
      </c>
      <c r="C51" t="s">
        <v>26</v>
      </c>
      <c r="D51" t="s">
        <v>104</v>
      </c>
      <c r="E51">
        <v>48</v>
      </c>
      <c r="G51" t="s">
        <v>466</v>
      </c>
      <c r="H51" t="s">
        <v>467</v>
      </c>
    </row>
    <row r="52" spans="1:8" x14ac:dyDescent="0.3">
      <c r="A52" t="s">
        <v>468</v>
      </c>
      <c r="B52" t="s">
        <v>0</v>
      </c>
      <c r="C52" t="s">
        <v>26</v>
      </c>
      <c r="D52" t="s">
        <v>104</v>
      </c>
      <c r="E52">
        <v>49</v>
      </c>
      <c r="G52" t="s">
        <v>469</v>
      </c>
      <c r="H52" t="s">
        <v>470</v>
      </c>
    </row>
    <row r="53" spans="1:8" x14ac:dyDescent="0.3">
      <c r="A53" t="s">
        <v>471</v>
      </c>
      <c r="B53" t="s">
        <v>0</v>
      </c>
      <c r="C53" t="s">
        <v>26</v>
      </c>
      <c r="D53" t="s">
        <v>104</v>
      </c>
      <c r="E53">
        <v>50</v>
      </c>
      <c r="G53" t="s">
        <v>472</v>
      </c>
      <c r="H53" t="s">
        <v>473</v>
      </c>
    </row>
    <row r="54" spans="1:8" x14ac:dyDescent="0.3">
      <c r="A54" t="s">
        <v>474</v>
      </c>
      <c r="B54" t="s">
        <v>0</v>
      </c>
      <c r="C54" t="s">
        <v>26</v>
      </c>
      <c r="D54" t="s">
        <v>104</v>
      </c>
      <c r="E54">
        <v>51</v>
      </c>
      <c r="G54" t="s">
        <v>475</v>
      </c>
      <c r="H54" t="s">
        <v>476</v>
      </c>
    </row>
    <row r="55" spans="1:8" x14ac:dyDescent="0.3">
      <c r="A55" t="s">
        <v>477</v>
      </c>
      <c r="B55" t="s">
        <v>0</v>
      </c>
      <c r="C55" t="s">
        <v>26</v>
      </c>
      <c r="D55" t="s">
        <v>104</v>
      </c>
      <c r="E55">
        <v>52</v>
      </c>
      <c r="G55" t="s">
        <v>478</v>
      </c>
      <c r="H55" t="s">
        <v>479</v>
      </c>
    </row>
    <row r="56" spans="1:8" x14ac:dyDescent="0.3">
      <c r="A56" t="s">
        <v>480</v>
      </c>
      <c r="B56" t="s">
        <v>0</v>
      </c>
      <c r="C56" t="s">
        <v>26</v>
      </c>
      <c r="D56" t="s">
        <v>104</v>
      </c>
      <c r="E56">
        <v>53</v>
      </c>
      <c r="G56" t="s">
        <v>481</v>
      </c>
      <c r="H56" t="s">
        <v>482</v>
      </c>
    </row>
    <row r="57" spans="1:8" x14ac:dyDescent="0.3">
      <c r="A57" t="s">
        <v>483</v>
      </c>
      <c r="B57" t="s">
        <v>0</v>
      </c>
      <c r="C57" t="s">
        <v>26</v>
      </c>
      <c r="D57" t="s">
        <v>104</v>
      </c>
      <c r="E57">
        <v>54</v>
      </c>
      <c r="G57" t="s">
        <v>484</v>
      </c>
      <c r="H57" t="s">
        <v>485</v>
      </c>
    </row>
    <row r="58" spans="1:8" x14ac:dyDescent="0.3">
      <c r="A58" t="s">
        <v>486</v>
      </c>
      <c r="B58" t="s">
        <v>0</v>
      </c>
      <c r="C58" t="s">
        <v>26</v>
      </c>
      <c r="D58" t="s">
        <v>104</v>
      </c>
      <c r="E58">
        <v>55</v>
      </c>
      <c r="G58" t="s">
        <v>487</v>
      </c>
      <c r="H58" t="s">
        <v>488</v>
      </c>
    </row>
    <row r="59" spans="1:8" x14ac:dyDescent="0.3">
      <c r="A59" t="s">
        <v>489</v>
      </c>
      <c r="B59" t="s">
        <v>0</v>
      </c>
      <c r="C59" t="s">
        <v>26</v>
      </c>
      <c r="D59" t="s">
        <v>104</v>
      </c>
      <c r="E59">
        <v>56</v>
      </c>
      <c r="G59" t="s">
        <v>490</v>
      </c>
      <c r="H59" t="s">
        <v>491</v>
      </c>
    </row>
    <row r="60" spans="1:8" x14ac:dyDescent="0.3">
      <c r="A60" t="s">
        <v>492</v>
      </c>
      <c r="B60" t="s">
        <v>0</v>
      </c>
      <c r="C60" t="s">
        <v>26</v>
      </c>
      <c r="D60" t="s">
        <v>104</v>
      </c>
      <c r="E60">
        <v>57</v>
      </c>
      <c r="G60" t="s">
        <v>493</v>
      </c>
      <c r="H60" t="s">
        <v>494</v>
      </c>
    </row>
    <row r="61" spans="1:8" x14ac:dyDescent="0.3">
      <c r="A61" t="s">
        <v>495</v>
      </c>
      <c r="B61" t="s">
        <v>0</v>
      </c>
      <c r="C61" t="s">
        <v>26</v>
      </c>
      <c r="D61" t="s">
        <v>104</v>
      </c>
      <c r="E61">
        <v>58</v>
      </c>
      <c r="G61" t="s">
        <v>496</v>
      </c>
      <c r="H61" t="s">
        <v>497</v>
      </c>
    </row>
    <row r="62" spans="1:8" x14ac:dyDescent="0.3">
      <c r="A62" t="s">
        <v>498</v>
      </c>
      <c r="B62" t="s">
        <v>0</v>
      </c>
      <c r="C62" t="s">
        <v>26</v>
      </c>
      <c r="D62" t="s">
        <v>104</v>
      </c>
      <c r="E62">
        <v>59</v>
      </c>
      <c r="G62" t="s">
        <v>499</v>
      </c>
      <c r="H62" t="s">
        <v>500</v>
      </c>
    </row>
    <row r="63" spans="1:8" x14ac:dyDescent="0.3">
      <c r="A63" t="s">
        <v>501</v>
      </c>
      <c r="B63" t="s">
        <v>0</v>
      </c>
      <c r="C63" t="s">
        <v>26</v>
      </c>
      <c r="D63" t="s">
        <v>104</v>
      </c>
      <c r="E63">
        <v>60</v>
      </c>
      <c r="G63" t="s">
        <v>502</v>
      </c>
      <c r="H63" t="s">
        <v>503</v>
      </c>
    </row>
    <row r="64" spans="1:8" x14ac:dyDescent="0.3">
      <c r="A64" t="s">
        <v>504</v>
      </c>
      <c r="B64" t="s">
        <v>0</v>
      </c>
      <c r="C64" t="s">
        <v>26</v>
      </c>
      <c r="D64" t="s">
        <v>104</v>
      </c>
      <c r="E64">
        <v>61</v>
      </c>
      <c r="G64" t="s">
        <v>505</v>
      </c>
      <c r="H64" t="s">
        <v>506</v>
      </c>
    </row>
    <row r="65" spans="1:8" x14ac:dyDescent="0.3">
      <c r="A65" t="s">
        <v>507</v>
      </c>
      <c r="B65" t="s">
        <v>0</v>
      </c>
      <c r="C65" t="s">
        <v>26</v>
      </c>
      <c r="D65" t="s">
        <v>104</v>
      </c>
      <c r="E65">
        <v>62</v>
      </c>
      <c r="G65" t="s">
        <v>508</v>
      </c>
      <c r="H65" t="s">
        <v>509</v>
      </c>
    </row>
    <row r="66" spans="1:8" x14ac:dyDescent="0.3">
      <c r="A66" t="s">
        <v>510</v>
      </c>
      <c r="B66" t="s">
        <v>0</v>
      </c>
      <c r="C66" t="s">
        <v>26</v>
      </c>
      <c r="D66" t="s">
        <v>104</v>
      </c>
      <c r="E66">
        <v>63</v>
      </c>
      <c r="G66" t="s">
        <v>511</v>
      </c>
      <c r="H66" t="s">
        <v>512</v>
      </c>
    </row>
    <row r="67" spans="1:8" x14ac:dyDescent="0.3">
      <c r="A67" t="s">
        <v>513</v>
      </c>
      <c r="B67" t="s">
        <v>0</v>
      </c>
      <c r="C67" t="s">
        <v>26</v>
      </c>
      <c r="D67" t="s">
        <v>104</v>
      </c>
      <c r="E67">
        <v>64</v>
      </c>
      <c r="G67" t="s">
        <v>514</v>
      </c>
      <c r="H67" t="s">
        <v>515</v>
      </c>
    </row>
    <row r="68" spans="1:8" x14ac:dyDescent="0.3">
      <c r="A68" t="s">
        <v>516</v>
      </c>
      <c r="B68" t="s">
        <v>0</v>
      </c>
      <c r="C68" t="s">
        <v>26</v>
      </c>
      <c r="D68" t="s">
        <v>104</v>
      </c>
      <c r="E68">
        <v>65</v>
      </c>
      <c r="G68" t="s">
        <v>517</v>
      </c>
      <c r="H68" t="s">
        <v>518</v>
      </c>
    </row>
    <row r="69" spans="1:8" x14ac:dyDescent="0.3">
      <c r="A69" t="s">
        <v>519</v>
      </c>
      <c r="B69" t="s">
        <v>0</v>
      </c>
      <c r="C69" t="s">
        <v>26</v>
      </c>
      <c r="D69" t="s">
        <v>104</v>
      </c>
      <c r="E69">
        <v>66</v>
      </c>
      <c r="G69" t="s">
        <v>520</v>
      </c>
      <c r="H69" t="s">
        <v>521</v>
      </c>
    </row>
    <row r="70" spans="1:8" x14ac:dyDescent="0.3">
      <c r="A70" t="s">
        <v>522</v>
      </c>
      <c r="B70" t="s">
        <v>0</v>
      </c>
      <c r="C70" t="s">
        <v>26</v>
      </c>
      <c r="D70" t="s">
        <v>104</v>
      </c>
      <c r="E70">
        <v>67</v>
      </c>
      <c r="G70" t="s">
        <v>523</v>
      </c>
      <c r="H70" t="s">
        <v>524</v>
      </c>
    </row>
    <row r="71" spans="1:8" x14ac:dyDescent="0.3">
      <c r="A71" t="s">
        <v>525</v>
      </c>
      <c r="B71" t="s">
        <v>0</v>
      </c>
      <c r="C71" t="s">
        <v>26</v>
      </c>
      <c r="D71" t="s">
        <v>104</v>
      </c>
      <c r="E71">
        <v>68</v>
      </c>
      <c r="G71" t="s">
        <v>526</v>
      </c>
      <c r="H71" t="s">
        <v>527</v>
      </c>
    </row>
    <row r="72" spans="1:8" x14ac:dyDescent="0.3">
      <c r="A72" t="s">
        <v>528</v>
      </c>
      <c r="B72" t="s">
        <v>0</v>
      </c>
      <c r="C72" t="s">
        <v>26</v>
      </c>
      <c r="D72" t="s">
        <v>104</v>
      </c>
      <c r="E72">
        <v>69</v>
      </c>
      <c r="G72" t="s">
        <v>529</v>
      </c>
      <c r="H72" t="s">
        <v>530</v>
      </c>
    </row>
    <row r="73" spans="1:8" x14ac:dyDescent="0.3">
      <c r="A73" t="s">
        <v>531</v>
      </c>
      <c r="B73" t="s">
        <v>0</v>
      </c>
      <c r="C73" t="s">
        <v>26</v>
      </c>
      <c r="D73" t="s">
        <v>104</v>
      </c>
      <c r="E73">
        <v>70</v>
      </c>
      <c r="G73" t="s">
        <v>532</v>
      </c>
      <c r="H73" t="s">
        <v>533</v>
      </c>
    </row>
    <row r="74" spans="1:8" x14ac:dyDescent="0.3">
      <c r="A74" t="s">
        <v>534</v>
      </c>
      <c r="B74" t="s">
        <v>0</v>
      </c>
      <c r="C74" t="s">
        <v>26</v>
      </c>
      <c r="D74" t="s">
        <v>104</v>
      </c>
      <c r="E74">
        <v>71</v>
      </c>
      <c r="G74" t="s">
        <v>535</v>
      </c>
      <c r="H74" t="s">
        <v>536</v>
      </c>
    </row>
    <row r="75" spans="1:8" x14ac:dyDescent="0.3">
      <c r="A75" t="s">
        <v>537</v>
      </c>
      <c r="B75" t="s">
        <v>0</v>
      </c>
      <c r="C75" t="s">
        <v>26</v>
      </c>
      <c r="D75" t="s">
        <v>104</v>
      </c>
      <c r="E75">
        <v>72</v>
      </c>
      <c r="G75" t="s">
        <v>538</v>
      </c>
      <c r="H75" t="s">
        <v>539</v>
      </c>
    </row>
    <row r="76" spans="1:8" x14ac:dyDescent="0.3">
      <c r="A76" t="s">
        <v>540</v>
      </c>
      <c r="B76" t="s">
        <v>0</v>
      </c>
      <c r="C76" t="s">
        <v>26</v>
      </c>
      <c r="D76" t="s">
        <v>104</v>
      </c>
      <c r="E76">
        <v>73</v>
      </c>
      <c r="G76" t="s">
        <v>541</v>
      </c>
      <c r="H76" t="s">
        <v>542</v>
      </c>
    </row>
    <row r="77" spans="1:8" x14ac:dyDescent="0.3">
      <c r="A77" t="s">
        <v>543</v>
      </c>
      <c r="B77" t="s">
        <v>0</v>
      </c>
      <c r="C77" t="s">
        <v>26</v>
      </c>
      <c r="D77" t="s">
        <v>104</v>
      </c>
      <c r="E77">
        <v>74</v>
      </c>
      <c r="G77" t="s">
        <v>544</v>
      </c>
      <c r="H77" t="s">
        <v>545</v>
      </c>
    </row>
    <row r="78" spans="1:8" x14ac:dyDescent="0.3">
      <c r="A78" t="s">
        <v>546</v>
      </c>
      <c r="B78" t="s">
        <v>0</v>
      </c>
      <c r="C78" t="s">
        <v>26</v>
      </c>
      <c r="D78" t="s">
        <v>104</v>
      </c>
      <c r="E78">
        <v>75</v>
      </c>
      <c r="G78" t="s">
        <v>547</v>
      </c>
      <c r="H78" t="s">
        <v>548</v>
      </c>
    </row>
    <row r="79" spans="1:8" x14ac:dyDescent="0.3">
      <c r="A79" t="s">
        <v>549</v>
      </c>
      <c r="B79" t="s">
        <v>0</v>
      </c>
      <c r="C79" t="s">
        <v>26</v>
      </c>
      <c r="D79" t="s">
        <v>104</v>
      </c>
      <c r="E79">
        <v>76</v>
      </c>
      <c r="G79" t="s">
        <v>550</v>
      </c>
      <c r="H79" t="s">
        <v>551</v>
      </c>
    </row>
    <row r="80" spans="1:8" x14ac:dyDescent="0.3">
      <c r="A80" t="s">
        <v>552</v>
      </c>
      <c r="B80" t="s">
        <v>0</v>
      </c>
      <c r="C80" t="s">
        <v>26</v>
      </c>
      <c r="D80" t="s">
        <v>104</v>
      </c>
      <c r="E80">
        <v>77</v>
      </c>
      <c r="G80" t="s">
        <v>553</v>
      </c>
      <c r="H80" t="s">
        <v>554</v>
      </c>
    </row>
    <row r="81" spans="1:8" x14ac:dyDescent="0.3">
      <c r="A81" t="s">
        <v>555</v>
      </c>
      <c r="B81" t="s">
        <v>0</v>
      </c>
      <c r="C81" t="s">
        <v>26</v>
      </c>
      <c r="D81" t="s">
        <v>104</v>
      </c>
      <c r="E81">
        <v>78</v>
      </c>
      <c r="G81" t="s">
        <v>556</v>
      </c>
      <c r="H81" t="s">
        <v>557</v>
      </c>
    </row>
    <row r="82" spans="1:8" x14ac:dyDescent="0.3">
      <c r="A82" t="s">
        <v>558</v>
      </c>
      <c r="B82" t="s">
        <v>0</v>
      </c>
      <c r="C82" t="s">
        <v>26</v>
      </c>
      <c r="D82" t="s">
        <v>104</v>
      </c>
      <c r="E82">
        <v>79</v>
      </c>
      <c r="G82" t="s">
        <v>559</v>
      </c>
      <c r="H82" t="s">
        <v>560</v>
      </c>
    </row>
    <row r="83" spans="1:8" x14ac:dyDescent="0.3">
      <c r="A83" t="s">
        <v>561</v>
      </c>
      <c r="B83" t="s">
        <v>0</v>
      </c>
      <c r="C83" t="s">
        <v>26</v>
      </c>
      <c r="D83" t="s">
        <v>104</v>
      </c>
      <c r="E83">
        <v>80</v>
      </c>
      <c r="G83" t="s">
        <v>562</v>
      </c>
      <c r="H83" t="s">
        <v>563</v>
      </c>
    </row>
    <row r="84" spans="1:8" x14ac:dyDescent="0.3">
      <c r="A84" t="s">
        <v>564</v>
      </c>
      <c r="B84" t="s">
        <v>0</v>
      </c>
      <c r="C84" t="s">
        <v>26</v>
      </c>
      <c r="D84" t="s">
        <v>104</v>
      </c>
      <c r="E84">
        <v>81</v>
      </c>
      <c r="G84" t="s">
        <v>565</v>
      </c>
      <c r="H84" t="s">
        <v>566</v>
      </c>
    </row>
    <row r="85" spans="1:8" x14ac:dyDescent="0.3">
      <c r="A85" t="s">
        <v>567</v>
      </c>
      <c r="B85" t="s">
        <v>0</v>
      </c>
      <c r="C85" t="s">
        <v>26</v>
      </c>
      <c r="D85" t="s">
        <v>104</v>
      </c>
      <c r="E85">
        <v>82</v>
      </c>
      <c r="G85" t="s">
        <v>568</v>
      </c>
      <c r="H85" t="s">
        <v>569</v>
      </c>
    </row>
    <row r="86" spans="1:8" x14ac:dyDescent="0.3">
      <c r="A86" t="s">
        <v>570</v>
      </c>
      <c r="B86" t="s">
        <v>0</v>
      </c>
      <c r="C86" t="s">
        <v>26</v>
      </c>
      <c r="D86" t="s">
        <v>104</v>
      </c>
      <c r="E86">
        <v>83</v>
      </c>
      <c r="G86" t="s">
        <v>571</v>
      </c>
      <c r="H86" t="s">
        <v>572</v>
      </c>
    </row>
    <row r="87" spans="1:8" x14ac:dyDescent="0.3">
      <c r="A87" t="s">
        <v>573</v>
      </c>
      <c r="B87" t="s">
        <v>0</v>
      </c>
      <c r="C87" t="s">
        <v>26</v>
      </c>
      <c r="D87" t="s">
        <v>104</v>
      </c>
      <c r="E87">
        <v>84</v>
      </c>
      <c r="G87" t="s">
        <v>574</v>
      </c>
      <c r="H87" t="s">
        <v>575</v>
      </c>
    </row>
    <row r="88" spans="1:8" x14ac:dyDescent="0.3">
      <c r="A88" t="s">
        <v>576</v>
      </c>
      <c r="B88" t="s">
        <v>0</v>
      </c>
      <c r="C88" t="s">
        <v>26</v>
      </c>
      <c r="D88" t="s">
        <v>104</v>
      </c>
      <c r="E88">
        <v>85</v>
      </c>
      <c r="G88" t="s">
        <v>577</v>
      </c>
      <c r="H88" t="s">
        <v>578</v>
      </c>
    </row>
    <row r="89" spans="1:8" x14ac:dyDescent="0.3">
      <c r="A89" t="s">
        <v>579</v>
      </c>
      <c r="B89" t="s">
        <v>0</v>
      </c>
      <c r="C89" t="s">
        <v>26</v>
      </c>
      <c r="D89" t="s">
        <v>104</v>
      </c>
      <c r="E89">
        <v>86</v>
      </c>
      <c r="G89" t="s">
        <v>580</v>
      </c>
      <c r="H89" t="s">
        <v>581</v>
      </c>
    </row>
    <row r="90" spans="1:8" x14ac:dyDescent="0.3">
      <c r="A90" t="s">
        <v>582</v>
      </c>
      <c r="B90" t="s">
        <v>0</v>
      </c>
      <c r="C90" t="s">
        <v>26</v>
      </c>
      <c r="D90" t="s">
        <v>104</v>
      </c>
      <c r="E90">
        <v>87</v>
      </c>
      <c r="G90" t="s">
        <v>583</v>
      </c>
      <c r="H90" t="s">
        <v>584</v>
      </c>
    </row>
    <row r="91" spans="1:8" x14ac:dyDescent="0.3">
      <c r="A91" t="s">
        <v>585</v>
      </c>
      <c r="B91" t="s">
        <v>0</v>
      </c>
      <c r="C91" t="s">
        <v>26</v>
      </c>
      <c r="D91" t="s">
        <v>104</v>
      </c>
      <c r="E91">
        <v>88</v>
      </c>
      <c r="G91" t="s">
        <v>586</v>
      </c>
      <c r="H91" t="s">
        <v>587</v>
      </c>
    </row>
    <row r="92" spans="1:8" x14ac:dyDescent="0.3">
      <c r="A92" t="s">
        <v>588</v>
      </c>
      <c r="B92" t="s">
        <v>0</v>
      </c>
      <c r="C92" t="s">
        <v>26</v>
      </c>
      <c r="D92" t="s">
        <v>104</v>
      </c>
      <c r="E92">
        <v>89</v>
      </c>
      <c r="G92" t="s">
        <v>589</v>
      </c>
      <c r="H92" t="s">
        <v>590</v>
      </c>
    </row>
    <row r="93" spans="1:8" x14ac:dyDescent="0.3">
      <c r="A93" t="s">
        <v>591</v>
      </c>
      <c r="B93" t="s">
        <v>0</v>
      </c>
      <c r="C93" t="s">
        <v>26</v>
      </c>
      <c r="D93" t="s">
        <v>104</v>
      </c>
      <c r="E93">
        <v>90</v>
      </c>
      <c r="G93" t="s">
        <v>592</v>
      </c>
      <c r="H93" t="s">
        <v>593</v>
      </c>
    </row>
    <row r="94" spans="1:8" x14ac:dyDescent="0.3">
      <c r="A94" t="s">
        <v>594</v>
      </c>
      <c r="B94" t="s">
        <v>0</v>
      </c>
      <c r="C94" t="s">
        <v>26</v>
      </c>
      <c r="D94" t="s">
        <v>104</v>
      </c>
      <c r="E94">
        <v>91</v>
      </c>
      <c r="G94" t="s">
        <v>595</v>
      </c>
      <c r="H94" t="s">
        <v>596</v>
      </c>
    </row>
    <row r="95" spans="1:8" x14ac:dyDescent="0.3">
      <c r="A95" t="s">
        <v>597</v>
      </c>
      <c r="B95" t="s">
        <v>0</v>
      </c>
      <c r="C95" t="s">
        <v>26</v>
      </c>
      <c r="D95" t="s">
        <v>104</v>
      </c>
      <c r="E95">
        <v>92</v>
      </c>
      <c r="G95" t="s">
        <v>598</v>
      </c>
      <c r="H95" t="s">
        <v>599</v>
      </c>
    </row>
    <row r="96" spans="1:8" x14ac:dyDescent="0.3">
      <c r="A96" t="s">
        <v>600</v>
      </c>
      <c r="B96" t="s">
        <v>0</v>
      </c>
      <c r="C96" t="s">
        <v>26</v>
      </c>
      <c r="D96" t="s">
        <v>104</v>
      </c>
      <c r="E96">
        <v>93</v>
      </c>
      <c r="G96" t="s">
        <v>601</v>
      </c>
      <c r="H96" t="s">
        <v>602</v>
      </c>
    </row>
    <row r="97" spans="1:8" x14ac:dyDescent="0.3">
      <c r="A97" t="s">
        <v>603</v>
      </c>
      <c r="B97" t="s">
        <v>0</v>
      </c>
      <c r="C97" t="s">
        <v>26</v>
      </c>
      <c r="D97" t="s">
        <v>104</v>
      </c>
      <c r="E97">
        <v>94</v>
      </c>
      <c r="G97" t="s">
        <v>604</v>
      </c>
      <c r="H97" t="s">
        <v>605</v>
      </c>
    </row>
    <row r="98" spans="1:8" x14ac:dyDescent="0.3">
      <c r="A98" t="s">
        <v>606</v>
      </c>
      <c r="B98" t="s">
        <v>0</v>
      </c>
      <c r="C98" t="s">
        <v>26</v>
      </c>
      <c r="D98" t="s">
        <v>104</v>
      </c>
      <c r="E98">
        <v>95</v>
      </c>
      <c r="G98" t="s">
        <v>607</v>
      </c>
      <c r="H98" t="s">
        <v>608</v>
      </c>
    </row>
    <row r="99" spans="1:8" x14ac:dyDescent="0.3">
      <c r="A99" t="s">
        <v>609</v>
      </c>
      <c r="B99" t="s">
        <v>0</v>
      </c>
      <c r="C99" t="s">
        <v>26</v>
      </c>
      <c r="D99" t="s">
        <v>104</v>
      </c>
      <c r="E99">
        <v>96</v>
      </c>
      <c r="G99" t="s">
        <v>610</v>
      </c>
      <c r="H99" t="s">
        <v>611</v>
      </c>
    </row>
    <row r="100" spans="1:8" x14ac:dyDescent="0.3">
      <c r="A100" t="s">
        <v>612</v>
      </c>
      <c r="B100" t="s">
        <v>0</v>
      </c>
      <c r="C100" t="s">
        <v>26</v>
      </c>
      <c r="D100" t="s">
        <v>104</v>
      </c>
      <c r="E100">
        <v>97</v>
      </c>
      <c r="G100" t="s">
        <v>613</v>
      </c>
      <c r="H100" t="s">
        <v>614</v>
      </c>
    </row>
    <row r="101" spans="1:8" x14ac:dyDescent="0.3">
      <c r="A101" t="s">
        <v>615</v>
      </c>
      <c r="B101" t="s">
        <v>0</v>
      </c>
      <c r="C101" t="s">
        <v>26</v>
      </c>
      <c r="D101" t="s">
        <v>104</v>
      </c>
      <c r="E101">
        <v>98</v>
      </c>
      <c r="G101" t="s">
        <v>616</v>
      </c>
      <c r="H101" t="s">
        <v>617</v>
      </c>
    </row>
    <row r="102" spans="1:8" x14ac:dyDescent="0.3">
      <c r="A102" t="s">
        <v>618</v>
      </c>
      <c r="B102" t="s">
        <v>0</v>
      </c>
      <c r="C102" t="s">
        <v>26</v>
      </c>
      <c r="D102" t="s">
        <v>104</v>
      </c>
      <c r="E102">
        <v>99</v>
      </c>
      <c r="G102" t="s">
        <v>619</v>
      </c>
      <c r="H102" t="s">
        <v>620</v>
      </c>
    </row>
    <row r="103" spans="1:8" x14ac:dyDescent="0.3">
      <c r="A103" t="s">
        <v>621</v>
      </c>
      <c r="B103" t="s">
        <v>0</v>
      </c>
      <c r="C103" t="s">
        <v>26</v>
      </c>
      <c r="D103" t="s">
        <v>104</v>
      </c>
      <c r="E103">
        <v>100</v>
      </c>
      <c r="G103" t="s">
        <v>622</v>
      </c>
      <c r="H103" t="s">
        <v>623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/>
  </sheetViews>
  <sheetFormatPr defaultRowHeight="16.5" x14ac:dyDescent="0.3"/>
  <cols>
    <col min="1" max="1" width="19.125" customWidth="1"/>
    <col min="2" max="2" width="10.375" customWidth="1"/>
    <col min="3" max="3" width="12.625" customWidth="1"/>
    <col min="4" max="4" width="9.125" customWidth="1"/>
    <col min="5" max="5" width="15" customWidth="1"/>
    <col min="6" max="6" width="18.375" customWidth="1"/>
    <col min="7" max="8" width="11.125" customWidth="1"/>
  </cols>
  <sheetData>
    <row r="1" spans="1:8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3">
      <c r="A2" t="s">
        <v>1</v>
      </c>
      <c r="C2" t="s">
        <v>2</v>
      </c>
      <c r="D2" t="s">
        <v>265</v>
      </c>
      <c r="E2" t="s">
        <v>624</v>
      </c>
      <c r="F2" t="s">
        <v>625</v>
      </c>
      <c r="G2" t="s">
        <v>626</v>
      </c>
      <c r="H2" t="s">
        <v>627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100</v>
      </c>
      <c r="E3" s="1" t="s">
        <v>628</v>
      </c>
      <c r="F3" s="1" t="s">
        <v>629</v>
      </c>
      <c r="G3" s="1" t="s">
        <v>322</v>
      </c>
      <c r="H3" s="1" t="s">
        <v>323</v>
      </c>
    </row>
    <row r="4" spans="1:8" x14ac:dyDescent="0.3">
      <c r="A4" t="str">
        <f t="shared" ref="A4:A12" si="0">_xlfn.TEXTJOIN("_",TRUE,C4,"dic_monster",D4)</f>
        <v>s1_dic_monster_1</v>
      </c>
      <c r="B4" t="s">
        <v>0</v>
      </c>
      <c r="C4" t="s">
        <v>26</v>
      </c>
      <c r="D4">
        <v>1</v>
      </c>
      <c r="E4" t="s">
        <v>630</v>
      </c>
      <c r="F4" t="s">
        <v>631</v>
      </c>
      <c r="G4" t="s">
        <v>632</v>
      </c>
      <c r="H4" t="s">
        <v>633</v>
      </c>
    </row>
    <row r="5" spans="1:8" x14ac:dyDescent="0.3">
      <c r="A5" t="str">
        <f t="shared" si="0"/>
        <v>s1_dic_monster_2</v>
      </c>
      <c r="B5" t="s">
        <v>0</v>
      </c>
      <c r="C5" t="s">
        <v>26</v>
      </c>
      <c r="D5">
        <v>2</v>
      </c>
      <c r="E5" t="s">
        <v>630</v>
      </c>
      <c r="F5" t="s">
        <v>634</v>
      </c>
      <c r="G5" t="s">
        <v>635</v>
      </c>
      <c r="H5" t="s">
        <v>636</v>
      </c>
    </row>
    <row r="6" spans="1:8" x14ac:dyDescent="0.3">
      <c r="A6" t="str">
        <f t="shared" si="0"/>
        <v>s1_dic_monster_3</v>
      </c>
      <c r="B6" t="s">
        <v>0</v>
      </c>
      <c r="C6" t="s">
        <v>26</v>
      </c>
      <c r="D6">
        <v>3</v>
      </c>
      <c r="E6" t="s">
        <v>630</v>
      </c>
      <c r="F6" t="s">
        <v>637</v>
      </c>
      <c r="G6" t="s">
        <v>638</v>
      </c>
      <c r="H6" t="s">
        <v>639</v>
      </c>
    </row>
    <row r="7" spans="1:8" x14ac:dyDescent="0.3">
      <c r="A7" t="str">
        <f t="shared" si="0"/>
        <v>s1_dic_monster_4</v>
      </c>
      <c r="B7" t="s">
        <v>0</v>
      </c>
      <c r="C7" t="s">
        <v>26</v>
      </c>
      <c r="D7">
        <v>4</v>
      </c>
      <c r="E7" t="s">
        <v>630</v>
      </c>
      <c r="F7" t="s">
        <v>640</v>
      </c>
      <c r="G7" t="s">
        <v>641</v>
      </c>
      <c r="H7" t="s">
        <v>642</v>
      </c>
    </row>
    <row r="8" spans="1:8" x14ac:dyDescent="0.3">
      <c r="A8" t="str">
        <f t="shared" si="0"/>
        <v>s1_dic_monster_5</v>
      </c>
      <c r="B8" t="s">
        <v>0</v>
      </c>
      <c r="C8" t="s">
        <v>26</v>
      </c>
      <c r="D8">
        <v>5</v>
      </c>
      <c r="E8" t="s">
        <v>643</v>
      </c>
      <c r="F8" t="s">
        <v>644</v>
      </c>
      <c r="G8" t="s">
        <v>645</v>
      </c>
      <c r="H8" t="s">
        <v>646</v>
      </c>
    </row>
    <row r="9" spans="1:8" x14ac:dyDescent="0.3">
      <c r="A9" t="str">
        <f t="shared" si="0"/>
        <v>s1_dic_monster_6</v>
      </c>
      <c r="B9" t="s">
        <v>0</v>
      </c>
      <c r="C9" t="s">
        <v>26</v>
      </c>
      <c r="D9">
        <v>6</v>
      </c>
      <c r="E9" t="s">
        <v>643</v>
      </c>
      <c r="F9" t="s">
        <v>647</v>
      </c>
      <c r="G9" t="s">
        <v>648</v>
      </c>
      <c r="H9" t="s">
        <v>649</v>
      </c>
    </row>
    <row r="10" spans="1:8" x14ac:dyDescent="0.3">
      <c r="A10" t="str">
        <f t="shared" si="0"/>
        <v>s1_dic_monster_7</v>
      </c>
      <c r="B10" t="s">
        <v>0</v>
      </c>
      <c r="C10" t="s">
        <v>26</v>
      </c>
      <c r="D10">
        <v>7</v>
      </c>
      <c r="E10" t="s">
        <v>643</v>
      </c>
      <c r="F10" t="s">
        <v>650</v>
      </c>
      <c r="G10" t="s">
        <v>651</v>
      </c>
      <c r="H10" t="s">
        <v>652</v>
      </c>
    </row>
    <row r="11" spans="1:8" x14ac:dyDescent="0.3">
      <c r="A11" t="str">
        <f t="shared" si="0"/>
        <v>s1_dic_monster_8</v>
      </c>
      <c r="B11" t="s">
        <v>0</v>
      </c>
      <c r="C11" t="s">
        <v>26</v>
      </c>
      <c r="D11">
        <v>8</v>
      </c>
      <c r="E11" t="s">
        <v>643</v>
      </c>
      <c r="F11" t="s">
        <v>653</v>
      </c>
      <c r="G11" t="s">
        <v>654</v>
      </c>
      <c r="H11" t="s">
        <v>655</v>
      </c>
    </row>
    <row r="12" spans="1:8" x14ac:dyDescent="0.3">
      <c r="A12" t="str">
        <f t="shared" si="0"/>
        <v>s1_dic_monster_9</v>
      </c>
      <c r="B12" t="s">
        <v>0</v>
      </c>
      <c r="C12" t="s">
        <v>26</v>
      </c>
      <c r="D12">
        <v>9</v>
      </c>
      <c r="E12" t="s">
        <v>656</v>
      </c>
      <c r="F12" t="s">
        <v>657</v>
      </c>
      <c r="G12" t="s">
        <v>658</v>
      </c>
      <c r="H12" t="s">
        <v>659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"/>
  <sheetViews>
    <sheetView workbookViewId="0">
      <selection activeCell="A5" sqref="A5"/>
    </sheetView>
  </sheetViews>
  <sheetFormatPr defaultRowHeight="16.5" x14ac:dyDescent="0.3"/>
  <cols>
    <col min="1" max="1" width="24.75" customWidth="1"/>
    <col min="2" max="2" width="10.375" customWidth="1"/>
    <col min="3" max="3" width="12.625" customWidth="1"/>
    <col min="4" max="7" width="11.625" customWidth="1"/>
    <col min="8" max="8" width="13.5" customWidth="1"/>
    <col min="9" max="9" width="11.625" customWidth="1"/>
    <col min="10" max="10" width="13.75" customWidth="1"/>
    <col min="11" max="11" width="36" customWidth="1"/>
    <col min="12" max="12" width="14.125" customWidth="1"/>
    <col min="13" max="13" width="11.875" customWidth="1"/>
    <col min="14" max="14" width="14.875" customWidth="1"/>
    <col min="15" max="15" width="13.5" customWidth="1"/>
    <col min="16" max="16" width="11.625" customWidth="1"/>
    <col min="17" max="17" width="13.75" customWidth="1"/>
    <col min="18" max="18" width="36" customWidth="1"/>
  </cols>
  <sheetData>
    <row r="1" spans="1:18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</row>
    <row r="2" spans="1:18" x14ac:dyDescent="0.3">
      <c r="A2" t="s">
        <v>1</v>
      </c>
      <c r="C2" s="1" t="s">
        <v>2</v>
      </c>
      <c r="D2" t="s">
        <v>660</v>
      </c>
      <c r="E2" t="s">
        <v>60</v>
      </c>
      <c r="F2" t="s">
        <v>61</v>
      </c>
      <c r="G2" t="s">
        <v>62</v>
      </c>
      <c r="H2" t="s">
        <v>9</v>
      </c>
      <c r="I2" t="s">
        <v>10</v>
      </c>
      <c r="J2" t="s">
        <v>11</v>
      </c>
      <c r="K2" t="s">
        <v>12</v>
      </c>
      <c r="L2" t="s">
        <v>60</v>
      </c>
      <c r="M2" t="s">
        <v>61</v>
      </c>
      <c r="N2" t="s">
        <v>62</v>
      </c>
      <c r="O2" t="s">
        <v>9</v>
      </c>
      <c r="P2" t="s">
        <v>10</v>
      </c>
      <c r="Q2" t="s">
        <v>11</v>
      </c>
      <c r="R2" t="s">
        <v>12</v>
      </c>
    </row>
    <row r="3" spans="1:18" x14ac:dyDescent="0.3">
      <c r="A3" s="1" t="s">
        <v>13</v>
      </c>
      <c r="B3" s="1" t="s">
        <v>14</v>
      </c>
      <c r="C3" s="1" t="s">
        <v>15</v>
      </c>
      <c r="D3" s="1" t="s">
        <v>661</v>
      </c>
      <c r="E3" s="1" t="s">
        <v>67</v>
      </c>
      <c r="F3" s="1" t="s">
        <v>18</v>
      </c>
      <c r="G3" s="1" t="s">
        <v>69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</row>
    <row r="4" spans="1:18" x14ac:dyDescent="0.3">
      <c r="A4" t="str">
        <f>_xlfn.TEXTJOIN("_",TRUE,C4,"reward",D4*100)</f>
        <v>s1_reward_20</v>
      </c>
      <c r="B4" t="s">
        <v>0</v>
      </c>
      <c r="C4" t="s">
        <v>26</v>
      </c>
      <c r="D4" s="2">
        <v>0.2</v>
      </c>
      <c r="E4" s="2" t="s">
        <v>80</v>
      </c>
      <c r="F4" s="2" t="s">
        <v>27</v>
      </c>
      <c r="G4" s="2">
        <v>100000</v>
      </c>
    </row>
    <row r="5" spans="1:18" x14ac:dyDescent="0.3">
      <c r="A5" t="str">
        <f>_xlfn.TEXTJOIN("_",TRUE,C5,"reward",D5*100)</f>
        <v>s1_reward_40</v>
      </c>
      <c r="B5" t="s">
        <v>0</v>
      </c>
      <c r="C5" t="s">
        <v>26</v>
      </c>
      <c r="D5" s="2">
        <v>0.4</v>
      </c>
      <c r="E5" s="2" t="s">
        <v>80</v>
      </c>
      <c r="F5" s="2" t="s">
        <v>32</v>
      </c>
      <c r="G5" s="2">
        <v>100</v>
      </c>
    </row>
    <row r="6" spans="1:18" x14ac:dyDescent="0.3">
      <c r="A6" t="str">
        <f>_xlfn.TEXTJOIN("_",TRUE,C6,"reward",D6*100)</f>
        <v>s1_reward_60</v>
      </c>
      <c r="B6" t="s">
        <v>0</v>
      </c>
      <c r="C6" t="s">
        <v>26</v>
      </c>
      <c r="D6" s="2">
        <v>0.6</v>
      </c>
      <c r="E6" s="2" t="s">
        <v>80</v>
      </c>
      <c r="F6" s="2" t="s">
        <v>30</v>
      </c>
      <c r="G6" s="2">
        <v>10</v>
      </c>
      <c r="L6" t="s">
        <v>80</v>
      </c>
      <c r="M6" t="s">
        <v>29</v>
      </c>
      <c r="N6">
        <v>500</v>
      </c>
    </row>
    <row r="7" spans="1:18" x14ac:dyDescent="0.3">
      <c r="A7" t="str">
        <f>_xlfn.TEXTJOIN("_",TRUE,C7,"reward",D7*100)</f>
        <v>s1_reward_80</v>
      </c>
      <c r="B7" t="s">
        <v>0</v>
      </c>
      <c r="C7" t="s">
        <v>26</v>
      </c>
      <c r="D7" s="2">
        <v>0.8</v>
      </c>
      <c r="E7" s="2" t="s">
        <v>80</v>
      </c>
      <c r="F7" s="2" t="s">
        <v>34</v>
      </c>
      <c r="G7" s="2">
        <v>80</v>
      </c>
      <c r="L7" t="s">
        <v>80</v>
      </c>
      <c r="M7" t="s">
        <v>49</v>
      </c>
      <c r="N7">
        <v>1</v>
      </c>
    </row>
    <row r="8" spans="1:18" x14ac:dyDescent="0.3">
      <c r="A8" t="str">
        <f>_xlfn.TEXTJOIN("_",TRUE,C8,"reward",D8*100)</f>
        <v>s1_reward_100</v>
      </c>
      <c r="B8" t="s">
        <v>0</v>
      </c>
      <c r="C8" t="s">
        <v>26</v>
      </c>
      <c r="D8" s="2">
        <v>1</v>
      </c>
      <c r="E8" s="2" t="s">
        <v>80</v>
      </c>
      <c r="F8" s="2" t="s">
        <v>662</v>
      </c>
      <c r="G8" s="2">
        <v>1</v>
      </c>
      <c r="L8" t="s">
        <v>80</v>
      </c>
      <c r="M8" t="s">
        <v>52</v>
      </c>
      <c r="N8">
        <v>5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"/>
  <sheetViews>
    <sheetView workbookViewId="0">
      <selection activeCell="A8" sqref="A8"/>
    </sheetView>
  </sheetViews>
  <sheetFormatPr defaultRowHeight="16.5" x14ac:dyDescent="0.3"/>
  <cols>
    <col min="1" max="1" width="17.875" customWidth="1"/>
    <col min="2" max="3" width="14.875" customWidth="1"/>
    <col min="4" max="4" width="9.125" customWidth="1"/>
    <col min="5" max="5" width="18.375" bestFit="1" customWidth="1"/>
    <col min="6" max="6" width="25.375" customWidth="1"/>
    <col min="7" max="7" width="27.875" customWidth="1"/>
    <col min="8" max="8" width="19.625" bestFit="1" customWidth="1"/>
    <col min="9" max="9" width="12.875" customWidth="1"/>
    <col min="10" max="10" width="16.25" bestFit="1" customWidth="1"/>
    <col min="11" max="11" width="13.875" customWidth="1"/>
    <col min="12" max="12" width="12.625" customWidth="1"/>
    <col min="13" max="13" width="10.875" customWidth="1"/>
    <col min="14" max="14" width="13.75" customWidth="1"/>
    <col min="15" max="15" width="36" customWidth="1"/>
    <col min="16" max="16" width="12.875" customWidth="1"/>
    <col min="17" max="17" width="10.875" customWidth="1"/>
    <col min="18" max="18" width="13.875" customWidth="1"/>
    <col min="19" max="19" width="12.625" customWidth="1"/>
    <col min="20" max="20" width="10.875" customWidth="1"/>
    <col min="21" max="21" width="13.75" customWidth="1"/>
    <col min="22" max="22" width="36" customWidth="1"/>
  </cols>
  <sheetData>
    <row r="1" spans="1:22" x14ac:dyDescent="0.3">
      <c r="A1" t="s">
        <v>0</v>
      </c>
      <c r="B1" t="s">
        <v>0</v>
      </c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</row>
    <row r="2" spans="1:22" x14ac:dyDescent="0.3">
      <c r="A2" t="s">
        <v>1</v>
      </c>
      <c r="C2" t="s">
        <v>2</v>
      </c>
      <c r="D2" s="10" t="s">
        <v>664</v>
      </c>
      <c r="E2" s="10" t="s">
        <v>665</v>
      </c>
      <c r="F2" t="s">
        <v>663</v>
      </c>
      <c r="G2" t="s">
        <v>666</v>
      </c>
      <c r="H2" s="10" t="s">
        <v>668</v>
      </c>
      <c r="I2" t="s">
        <v>667</v>
      </c>
      <c r="J2" t="s">
        <v>669</v>
      </c>
      <c r="K2" t="s">
        <v>670</v>
      </c>
      <c r="L2" t="s">
        <v>9</v>
      </c>
      <c r="M2" t="s">
        <v>10</v>
      </c>
      <c r="N2" t="s">
        <v>11</v>
      </c>
      <c r="O2" t="s">
        <v>12</v>
      </c>
      <c r="P2" t="s">
        <v>667</v>
      </c>
      <c r="Q2" t="s">
        <v>669</v>
      </c>
      <c r="R2" t="s">
        <v>670</v>
      </c>
      <c r="S2" t="s">
        <v>9</v>
      </c>
      <c r="T2" t="s">
        <v>10</v>
      </c>
      <c r="U2" t="s">
        <v>11</v>
      </c>
      <c r="V2" t="s">
        <v>12</v>
      </c>
    </row>
    <row r="3" spans="1:22" s="1" customFormat="1" x14ac:dyDescent="0.3">
      <c r="A3" s="1" t="s">
        <v>13</v>
      </c>
      <c r="B3" s="1" t="s">
        <v>14</v>
      </c>
      <c r="C3" s="1" t="s">
        <v>15</v>
      </c>
      <c r="E3" s="1" t="s">
        <v>672</v>
      </c>
      <c r="F3" s="1" t="s">
        <v>671</v>
      </c>
      <c r="G3" s="1" t="s">
        <v>673</v>
      </c>
      <c r="H3" s="1" t="s">
        <v>675</v>
      </c>
      <c r="I3" s="1" t="s">
        <v>674</v>
      </c>
      <c r="J3" s="1" t="s">
        <v>18</v>
      </c>
      <c r="K3" s="1" t="s">
        <v>19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676</v>
      </c>
      <c r="Q3" s="1" t="s">
        <v>71</v>
      </c>
      <c r="R3" s="1" t="s">
        <v>677</v>
      </c>
      <c r="S3" s="1" t="s">
        <v>73</v>
      </c>
      <c r="T3" s="1" t="s">
        <v>74</v>
      </c>
      <c r="U3" s="1" t="s">
        <v>75</v>
      </c>
      <c r="V3" s="1" t="s">
        <v>76</v>
      </c>
    </row>
    <row r="4" spans="1:22" x14ac:dyDescent="0.3">
      <c r="A4" t="str">
        <f>_xlfn.TEXTJOIN("_",TRUE,C4,"mission_normal",D4)</f>
        <v>s1_mission_normal_1</v>
      </c>
      <c r="B4" t="s">
        <v>0</v>
      </c>
      <c r="C4" t="s">
        <v>26</v>
      </c>
      <c r="D4">
        <v>1</v>
      </c>
      <c r="E4" t="s">
        <v>678</v>
      </c>
      <c r="F4" s="10" t="s">
        <v>679</v>
      </c>
      <c r="G4" s="16" t="s">
        <v>925</v>
      </c>
      <c r="H4" t="str">
        <f>VLOOKUP(F4,레퍼런스!$E$143:$I$148,4,FALSE)</f>
        <v>clear_battle_level_text</v>
      </c>
      <c r="I4" t="s">
        <v>80</v>
      </c>
      <c r="J4" t="s">
        <v>27</v>
      </c>
      <c r="K4">
        <v>100000</v>
      </c>
      <c r="P4" t="s">
        <v>80</v>
      </c>
      <c r="Q4" t="s">
        <v>29</v>
      </c>
      <c r="R4">
        <v>300</v>
      </c>
    </row>
    <row r="5" spans="1:22" x14ac:dyDescent="0.3">
      <c r="A5" t="str">
        <f t="shared" ref="A5:A8" si="0">_xlfn.TEXTJOIN("_",TRUE,C5,"mission_normal",D5)</f>
        <v>s1_mission_normal_2</v>
      </c>
      <c r="B5" t="s">
        <v>0</v>
      </c>
      <c r="C5" t="s">
        <v>26</v>
      </c>
      <c r="D5">
        <v>2</v>
      </c>
      <c r="E5" t="s">
        <v>678</v>
      </c>
      <c r="F5" s="10" t="s">
        <v>680</v>
      </c>
      <c r="G5" s="10" t="s">
        <v>924</v>
      </c>
      <c r="H5" t="str">
        <f>VLOOKUP(F5,레퍼런스!$E$143:$I$148,4,FALSE)</f>
        <v>clear_with_hero_text</v>
      </c>
      <c r="I5" t="s">
        <v>80</v>
      </c>
      <c r="J5" t="s">
        <v>27</v>
      </c>
      <c r="K5">
        <v>200000</v>
      </c>
      <c r="P5" t="s">
        <v>80</v>
      </c>
      <c r="Q5" t="s">
        <v>29</v>
      </c>
      <c r="R5">
        <v>300</v>
      </c>
    </row>
    <row r="6" spans="1:22" x14ac:dyDescent="0.3">
      <c r="A6" t="str">
        <f t="shared" si="0"/>
        <v>s1_mission_normal_3</v>
      </c>
      <c r="B6" t="s">
        <v>0</v>
      </c>
      <c r="C6" t="s">
        <v>26</v>
      </c>
      <c r="D6">
        <v>3</v>
      </c>
      <c r="E6" t="s">
        <v>678</v>
      </c>
      <c r="F6" t="s">
        <v>681</v>
      </c>
      <c r="G6" s="10" t="s">
        <v>926</v>
      </c>
      <c r="H6" t="str">
        <f>VLOOKUP(F6,레퍼런스!$E$143:$I$148,4,FALSE)</f>
        <v>clear_event_text</v>
      </c>
      <c r="I6" t="s">
        <v>80</v>
      </c>
      <c r="J6" t="s">
        <v>27</v>
      </c>
      <c r="K6">
        <v>300000</v>
      </c>
      <c r="P6" t="s">
        <v>80</v>
      </c>
      <c r="Q6" t="s">
        <v>29</v>
      </c>
      <c r="R6">
        <v>300</v>
      </c>
    </row>
    <row r="7" spans="1:22" x14ac:dyDescent="0.3">
      <c r="A7" t="str">
        <f t="shared" si="0"/>
        <v>s1_mission_normal_4</v>
      </c>
      <c r="B7" t="s">
        <v>0</v>
      </c>
      <c r="C7" t="s">
        <v>26</v>
      </c>
      <c r="D7">
        <v>4</v>
      </c>
      <c r="E7" t="s">
        <v>678</v>
      </c>
      <c r="F7" t="s">
        <v>682</v>
      </c>
      <c r="G7" s="10" t="s">
        <v>928</v>
      </c>
      <c r="H7" t="str">
        <f>VLOOKUP(F7,레퍼런스!$E$143:$I$148,4,FALSE)</f>
        <v>recruit_hero_text</v>
      </c>
      <c r="I7" t="s">
        <v>80</v>
      </c>
      <c r="J7" t="s">
        <v>27</v>
      </c>
      <c r="K7">
        <v>400000</v>
      </c>
      <c r="P7" t="s">
        <v>80</v>
      </c>
      <c r="Q7" t="s">
        <v>29</v>
      </c>
      <c r="R7">
        <v>300</v>
      </c>
    </row>
    <row r="8" spans="1:22" x14ac:dyDescent="0.3">
      <c r="A8" t="str">
        <f t="shared" si="0"/>
        <v>s1_mission_normal_5</v>
      </c>
      <c r="B8" t="s">
        <v>0</v>
      </c>
      <c r="C8" t="s">
        <v>26</v>
      </c>
      <c r="D8">
        <v>5</v>
      </c>
      <c r="E8" t="s">
        <v>678</v>
      </c>
      <c r="F8" s="10" t="s">
        <v>683</v>
      </c>
      <c r="G8" s="10" t="s">
        <v>927</v>
      </c>
      <c r="H8" t="str">
        <f>VLOOKUP(F8,레퍼런스!$E$143:$I$148,4,FALSE)</f>
        <v>collect_relic_text</v>
      </c>
      <c r="I8" t="s">
        <v>80</v>
      </c>
      <c r="J8" t="s">
        <v>27</v>
      </c>
      <c r="K8">
        <v>500000</v>
      </c>
      <c r="P8" t="s">
        <v>80</v>
      </c>
      <c r="Q8" t="s">
        <v>29</v>
      </c>
      <c r="R8">
        <v>300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7116-8297-4DF1-B0F2-CFA5D45D0218}">
  <dimension ref="A1:Z10"/>
  <sheetViews>
    <sheetView workbookViewId="0">
      <selection activeCell="D5" sqref="D5"/>
    </sheetView>
  </sheetViews>
  <sheetFormatPr defaultRowHeight="16.5" x14ac:dyDescent="0.3"/>
  <cols>
    <col min="1" max="1" width="18.875" bestFit="1" customWidth="1"/>
    <col min="2" max="3" width="14.875" customWidth="1"/>
    <col min="4" max="4" width="9.125" customWidth="1"/>
    <col min="5" max="5" width="18.125" bestFit="1" customWidth="1"/>
    <col min="6" max="6" width="14.875" bestFit="1" customWidth="1"/>
    <col min="7" max="7" width="18.375" bestFit="1" customWidth="1"/>
    <col min="8" max="8" width="14.875" bestFit="1" customWidth="1"/>
    <col min="9" max="9" width="18.375" bestFit="1" customWidth="1"/>
    <col min="10" max="10" width="25.375" customWidth="1"/>
    <col min="11" max="11" width="26.875" bestFit="1" customWidth="1"/>
    <col min="12" max="12" width="19.625" bestFit="1" customWidth="1"/>
    <col min="13" max="13" width="12.875" customWidth="1"/>
    <col min="14" max="14" width="16.25" bestFit="1" customWidth="1"/>
    <col min="15" max="15" width="13.875" customWidth="1"/>
    <col min="16" max="16" width="12.625" customWidth="1"/>
    <col min="17" max="17" width="10.875" customWidth="1"/>
    <col min="18" max="18" width="13.75" customWidth="1"/>
    <col min="19" max="19" width="36" customWidth="1"/>
    <col min="20" max="20" width="12.875" customWidth="1"/>
    <col min="21" max="21" width="10.875" customWidth="1"/>
    <col min="22" max="22" width="13.875" customWidth="1"/>
    <col min="23" max="23" width="12.625" customWidth="1"/>
    <col min="24" max="24" width="10.875" customWidth="1"/>
    <col min="25" max="25" width="13.75" customWidth="1"/>
    <col min="26" max="26" width="36" customWidth="1"/>
  </cols>
  <sheetData>
    <row r="1" spans="1:26" x14ac:dyDescent="0.3">
      <c r="A1" t="s">
        <v>0</v>
      </c>
      <c r="B1" t="s">
        <v>0</v>
      </c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3">
      <c r="A2" t="s">
        <v>1</v>
      </c>
      <c r="C2" t="s">
        <v>2</v>
      </c>
      <c r="D2" s="10" t="s">
        <v>664</v>
      </c>
      <c r="E2" s="10" t="s">
        <v>665</v>
      </c>
      <c r="F2" s="16" t="s">
        <v>903</v>
      </c>
      <c r="G2" t="s">
        <v>685</v>
      </c>
      <c r="H2" t="s">
        <v>684</v>
      </c>
      <c r="I2" t="s">
        <v>685</v>
      </c>
      <c r="J2" t="s">
        <v>663</v>
      </c>
      <c r="K2" t="s">
        <v>666</v>
      </c>
      <c r="L2" s="10" t="s">
        <v>668</v>
      </c>
      <c r="M2" t="s">
        <v>667</v>
      </c>
      <c r="N2" t="s">
        <v>669</v>
      </c>
      <c r="O2" t="s">
        <v>670</v>
      </c>
      <c r="P2" t="s">
        <v>9</v>
      </c>
      <c r="Q2" t="s">
        <v>10</v>
      </c>
      <c r="R2" t="s">
        <v>11</v>
      </c>
      <c r="S2" t="s">
        <v>12</v>
      </c>
      <c r="T2" t="s">
        <v>667</v>
      </c>
      <c r="U2" t="s">
        <v>669</v>
      </c>
      <c r="V2" t="s">
        <v>670</v>
      </c>
      <c r="W2" t="s">
        <v>9</v>
      </c>
      <c r="X2" t="s">
        <v>10</v>
      </c>
      <c r="Y2" t="s">
        <v>11</v>
      </c>
      <c r="Z2" t="s">
        <v>12</v>
      </c>
    </row>
    <row r="3" spans="1:26" s="1" customFormat="1" x14ac:dyDescent="0.3">
      <c r="A3" s="1" t="s">
        <v>907</v>
      </c>
      <c r="B3" s="1" t="s">
        <v>908</v>
      </c>
      <c r="C3" s="1" t="s">
        <v>909</v>
      </c>
      <c r="E3" s="1" t="s">
        <v>910</v>
      </c>
      <c r="F3" s="1" t="s">
        <v>911</v>
      </c>
      <c r="G3" s="1" t="s">
        <v>912</v>
      </c>
      <c r="H3" s="1" t="s">
        <v>913</v>
      </c>
      <c r="I3" s="1" t="s">
        <v>914</v>
      </c>
      <c r="J3" s="1" t="s">
        <v>915</v>
      </c>
      <c r="K3" s="1" t="s">
        <v>916</v>
      </c>
      <c r="L3" s="1" t="s">
        <v>917</v>
      </c>
      <c r="M3" s="1" t="s">
        <v>906</v>
      </c>
      <c r="N3" s="1" t="s">
        <v>905</v>
      </c>
      <c r="O3" s="1" t="s">
        <v>904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919</v>
      </c>
      <c r="U3" s="1" t="s">
        <v>920</v>
      </c>
      <c r="V3" s="1" t="s">
        <v>921</v>
      </c>
      <c r="W3" s="1" t="s">
        <v>922</v>
      </c>
      <c r="X3" s="1" t="s">
        <v>74</v>
      </c>
      <c r="Y3" s="1" t="s">
        <v>75</v>
      </c>
      <c r="Z3" s="1" t="s">
        <v>76</v>
      </c>
    </row>
    <row r="4" spans="1:26" x14ac:dyDescent="0.3">
      <c r="A4" t="str">
        <f>_xlfn.TEXTJOIN("_",TRUE,C4,"mission_season",D4)</f>
        <v>s1_mission_season_1</v>
      </c>
      <c r="B4" t="s">
        <v>0</v>
      </c>
      <c r="C4" t="s">
        <v>26</v>
      </c>
      <c r="D4">
        <v>1</v>
      </c>
      <c r="E4" s="10" t="s">
        <v>690</v>
      </c>
      <c r="F4" s="11">
        <v>46220</v>
      </c>
      <c r="G4" s="11">
        <f>F4+7</f>
        <v>46227</v>
      </c>
      <c r="H4" s="11">
        <f>F4+21</f>
        <v>46241</v>
      </c>
      <c r="I4" s="11">
        <f>H4+7</f>
        <v>46248</v>
      </c>
      <c r="J4" s="10" t="s">
        <v>679</v>
      </c>
      <c r="K4" s="16" t="s">
        <v>929</v>
      </c>
      <c r="L4" t="str">
        <f>VLOOKUP(J4,레퍼런스!$E$143:$I$148,4,FALSE)</f>
        <v>clear_battle_level_text</v>
      </c>
      <c r="M4" t="s">
        <v>80</v>
      </c>
      <c r="N4" t="s">
        <v>35</v>
      </c>
      <c r="O4">
        <v>5</v>
      </c>
      <c r="T4" t="s">
        <v>80</v>
      </c>
      <c r="U4" t="s">
        <v>32</v>
      </c>
      <c r="V4">
        <v>300</v>
      </c>
    </row>
    <row r="5" spans="1:26" x14ac:dyDescent="0.3">
      <c r="A5" t="str">
        <f t="shared" ref="A5:A9" si="0">_xlfn.TEXTJOIN("_",TRUE,C5,"mission_season",D5)</f>
        <v>s1_mission_season_2</v>
      </c>
      <c r="B5" t="s">
        <v>0</v>
      </c>
      <c r="C5" t="s">
        <v>26</v>
      </c>
      <c r="D5">
        <v>2</v>
      </c>
      <c r="E5" s="10" t="s">
        <v>690</v>
      </c>
      <c r="F5" s="11">
        <f>G4</f>
        <v>46227</v>
      </c>
      <c r="G5" s="11">
        <f>F5+7</f>
        <v>46234</v>
      </c>
      <c r="H5" s="11">
        <f>I4</f>
        <v>46248</v>
      </c>
      <c r="I5" s="11">
        <f>H5+7</f>
        <v>46255</v>
      </c>
      <c r="J5" s="10" t="s">
        <v>680</v>
      </c>
      <c r="K5" s="10" t="s">
        <v>930</v>
      </c>
      <c r="L5" t="str">
        <f>VLOOKUP(J5,레퍼런스!$E$143:$I$148,4,FALSE)</f>
        <v>clear_with_hero_text</v>
      </c>
      <c r="M5" t="s">
        <v>80</v>
      </c>
      <c r="N5" t="s">
        <v>35</v>
      </c>
      <c r="O5">
        <v>5</v>
      </c>
      <c r="T5" t="s">
        <v>80</v>
      </c>
      <c r="U5" t="s">
        <v>32</v>
      </c>
      <c r="V5">
        <v>300</v>
      </c>
    </row>
    <row r="6" spans="1:26" x14ac:dyDescent="0.3">
      <c r="A6" t="str">
        <f t="shared" si="0"/>
        <v>s1_mission_season_3</v>
      </c>
      <c r="B6" t="s">
        <v>0</v>
      </c>
      <c r="C6" t="s">
        <v>26</v>
      </c>
      <c r="D6">
        <v>3</v>
      </c>
      <c r="E6" s="10" t="s">
        <v>690</v>
      </c>
      <c r="F6" s="11">
        <f t="shared" ref="F6:H9" si="1">G5</f>
        <v>46234</v>
      </c>
      <c r="G6" s="11">
        <f t="shared" ref="G6:I9" si="2">F6+7</f>
        <v>46241</v>
      </c>
      <c r="H6" s="11">
        <f t="shared" si="1"/>
        <v>46255</v>
      </c>
      <c r="I6" s="11">
        <f t="shared" si="2"/>
        <v>46262</v>
      </c>
      <c r="J6" t="s">
        <v>681</v>
      </c>
      <c r="K6" s="10" t="s">
        <v>931</v>
      </c>
      <c r="L6" t="str">
        <f>VLOOKUP(J6,레퍼런스!$E$143:$I$148,4,FALSE)</f>
        <v>clear_event_text</v>
      </c>
      <c r="M6" t="s">
        <v>80</v>
      </c>
      <c r="N6" t="s">
        <v>35</v>
      </c>
      <c r="O6">
        <v>5</v>
      </c>
      <c r="T6" t="s">
        <v>80</v>
      </c>
      <c r="U6" t="s">
        <v>32</v>
      </c>
      <c r="V6">
        <v>300</v>
      </c>
    </row>
    <row r="7" spans="1:26" x14ac:dyDescent="0.3">
      <c r="A7" t="str">
        <f t="shared" si="0"/>
        <v>s1_mission_season_4</v>
      </c>
      <c r="B7" t="s">
        <v>0</v>
      </c>
      <c r="C7" t="s">
        <v>26</v>
      </c>
      <c r="D7">
        <v>4</v>
      </c>
      <c r="E7" s="10" t="s">
        <v>690</v>
      </c>
      <c r="F7" s="11">
        <f t="shared" si="1"/>
        <v>46241</v>
      </c>
      <c r="G7" s="11">
        <f t="shared" si="2"/>
        <v>46248</v>
      </c>
      <c r="H7" s="11">
        <f t="shared" si="1"/>
        <v>46262</v>
      </c>
      <c r="I7" s="11">
        <f t="shared" si="2"/>
        <v>46269</v>
      </c>
      <c r="J7" t="s">
        <v>682</v>
      </c>
      <c r="K7" s="10" t="s">
        <v>932</v>
      </c>
      <c r="L7" t="str">
        <f>VLOOKUP(J7,레퍼런스!$E$143:$I$148,4,FALSE)</f>
        <v>recruit_hero_text</v>
      </c>
      <c r="M7" t="s">
        <v>80</v>
      </c>
      <c r="N7" t="s">
        <v>35</v>
      </c>
      <c r="O7">
        <v>5</v>
      </c>
      <c r="T7" t="s">
        <v>80</v>
      </c>
      <c r="U7" t="s">
        <v>32</v>
      </c>
      <c r="V7">
        <v>300</v>
      </c>
    </row>
    <row r="8" spans="1:26" x14ac:dyDescent="0.3">
      <c r="A8" t="str">
        <f t="shared" si="0"/>
        <v>s1_mission_season_5</v>
      </c>
      <c r="B8" t="s">
        <v>0</v>
      </c>
      <c r="C8" t="s">
        <v>26</v>
      </c>
      <c r="D8">
        <v>5</v>
      </c>
      <c r="E8" s="10" t="s">
        <v>690</v>
      </c>
      <c r="F8" s="11">
        <f t="shared" si="1"/>
        <v>46248</v>
      </c>
      <c r="G8" s="11">
        <f t="shared" si="2"/>
        <v>46255</v>
      </c>
      <c r="H8" s="11">
        <f t="shared" si="1"/>
        <v>46269</v>
      </c>
      <c r="I8" s="11">
        <f t="shared" si="2"/>
        <v>46276</v>
      </c>
      <c r="J8" s="10" t="s">
        <v>683</v>
      </c>
      <c r="K8" s="10" t="s">
        <v>933</v>
      </c>
      <c r="L8" t="str">
        <f>VLOOKUP(J8,레퍼런스!$E$143:$I$148,4,FALSE)</f>
        <v>collect_relic_text</v>
      </c>
      <c r="M8" t="s">
        <v>80</v>
      </c>
      <c r="N8" t="s">
        <v>35</v>
      </c>
      <c r="O8">
        <v>5</v>
      </c>
      <c r="T8" t="s">
        <v>80</v>
      </c>
      <c r="U8" t="s">
        <v>32</v>
      </c>
      <c r="V8">
        <v>300</v>
      </c>
    </row>
    <row r="9" spans="1:26" x14ac:dyDescent="0.3">
      <c r="A9" t="str">
        <f t="shared" si="0"/>
        <v>s1_mission_season_6</v>
      </c>
      <c r="B9" t="s">
        <v>0</v>
      </c>
      <c r="C9" t="s">
        <v>26</v>
      </c>
      <c r="D9">
        <v>6</v>
      </c>
      <c r="E9" s="10" t="s">
        <v>690</v>
      </c>
      <c r="F9" s="11">
        <f t="shared" si="1"/>
        <v>46255</v>
      </c>
      <c r="G9" s="11">
        <f>F9+7</f>
        <v>46262</v>
      </c>
      <c r="H9" s="11">
        <f t="shared" si="1"/>
        <v>46276</v>
      </c>
      <c r="I9" s="11">
        <f t="shared" si="2"/>
        <v>46283</v>
      </c>
      <c r="J9" s="10" t="s">
        <v>679</v>
      </c>
      <c r="K9" s="16" t="s">
        <v>934</v>
      </c>
      <c r="L9" t="str">
        <f>VLOOKUP(J9,레퍼런스!$E$143:$I$148,4,FALSE)</f>
        <v>clear_battle_level_text</v>
      </c>
      <c r="M9" t="s">
        <v>80</v>
      </c>
      <c r="N9" t="s">
        <v>35</v>
      </c>
      <c r="O9">
        <v>5</v>
      </c>
      <c r="T9" t="s">
        <v>80</v>
      </c>
      <c r="U9" t="s">
        <v>32</v>
      </c>
      <c r="V9">
        <v>300</v>
      </c>
    </row>
    <row r="10" spans="1:26" x14ac:dyDescent="0.3">
      <c r="K10" s="16"/>
    </row>
  </sheetData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F17" sqref="F17"/>
    </sheetView>
  </sheetViews>
  <sheetFormatPr defaultRowHeight="16.5" x14ac:dyDescent="0.3"/>
  <cols>
    <col min="1" max="1" width="18" customWidth="1"/>
    <col min="2" max="5" width="14.875" customWidth="1"/>
    <col min="6" max="6" width="19.875" bestFit="1" customWidth="1"/>
    <col min="7" max="7" width="15.125" bestFit="1" customWidth="1"/>
  </cols>
  <sheetData>
    <row r="1" spans="1:7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3">
      <c r="A2" t="s">
        <v>1</v>
      </c>
      <c r="B2" t="s">
        <v>2</v>
      </c>
      <c r="C2" s="10" t="s">
        <v>664</v>
      </c>
      <c r="E2" t="s">
        <v>692</v>
      </c>
      <c r="F2" s="10" t="s">
        <v>693</v>
      </c>
      <c r="G2" t="s">
        <v>691</v>
      </c>
    </row>
    <row r="3" spans="1:7" x14ac:dyDescent="0.3">
      <c r="A3" s="1" t="s">
        <v>13</v>
      </c>
      <c r="B3" s="1" t="s">
        <v>15</v>
      </c>
      <c r="C3" s="1"/>
      <c r="D3" s="1" t="s">
        <v>14</v>
      </c>
      <c r="E3" s="1" t="s">
        <v>694</v>
      </c>
      <c r="F3" s="1" t="s">
        <v>695</v>
      </c>
      <c r="G3" s="1" t="s">
        <v>135</v>
      </c>
    </row>
    <row r="4" spans="1:7" x14ac:dyDescent="0.3">
      <c r="A4" t="str">
        <f>B4&amp;"_investment_"&amp;C4</f>
        <v>s1_investment_1</v>
      </c>
      <c r="B4" t="s">
        <v>26</v>
      </c>
      <c r="C4">
        <v>1</v>
      </c>
      <c r="D4" t="s">
        <v>0</v>
      </c>
      <c r="E4">
        <v>25</v>
      </c>
      <c r="F4" t="str">
        <f>A4&amp;"_desc"</f>
        <v>s1_investment_1_desc</v>
      </c>
      <c r="G4" t="s">
        <v>696</v>
      </c>
    </row>
    <row r="5" spans="1:7" x14ac:dyDescent="0.3">
      <c r="A5" t="str">
        <f t="shared" ref="A5:A8" si="0">B5&amp;"_investment_"&amp;C5</f>
        <v>s1_investment_2</v>
      </c>
      <c r="B5" t="s">
        <v>26</v>
      </c>
      <c r="C5">
        <v>2</v>
      </c>
      <c r="D5" t="s">
        <v>0</v>
      </c>
      <c r="E5">
        <v>50</v>
      </c>
      <c r="F5" t="s">
        <v>557</v>
      </c>
      <c r="G5" t="s">
        <v>952</v>
      </c>
    </row>
    <row r="6" spans="1:7" x14ac:dyDescent="0.3">
      <c r="A6" t="str">
        <f t="shared" si="0"/>
        <v>s1_investment_3</v>
      </c>
      <c r="B6" t="s">
        <v>26</v>
      </c>
      <c r="C6">
        <v>3</v>
      </c>
      <c r="D6" t="s">
        <v>0</v>
      </c>
      <c r="E6">
        <v>100</v>
      </c>
      <c r="F6" t="s">
        <v>560</v>
      </c>
      <c r="G6" t="s">
        <v>953</v>
      </c>
    </row>
    <row r="7" spans="1:7" x14ac:dyDescent="0.3">
      <c r="A7" t="str">
        <f t="shared" si="0"/>
        <v>s1_investment_4</v>
      </c>
      <c r="B7" t="s">
        <v>26</v>
      </c>
      <c r="C7">
        <v>4</v>
      </c>
      <c r="D7" t="s">
        <v>0</v>
      </c>
      <c r="E7">
        <v>200</v>
      </c>
      <c r="F7" t="s">
        <v>563</v>
      </c>
      <c r="G7" t="s">
        <v>954</v>
      </c>
    </row>
    <row r="8" spans="1:7" x14ac:dyDescent="0.3">
      <c r="A8" t="str">
        <f t="shared" si="0"/>
        <v>s1_investment_5</v>
      </c>
      <c r="B8" t="s">
        <v>26</v>
      </c>
      <c r="C8">
        <v>5</v>
      </c>
      <c r="D8" t="s">
        <v>0</v>
      </c>
      <c r="E8">
        <v>300</v>
      </c>
      <c r="F8" t="s">
        <v>566</v>
      </c>
      <c r="G8" t="s">
        <v>955</v>
      </c>
    </row>
    <row r="9" spans="1:7" x14ac:dyDescent="0.3">
      <c r="A9" t="str">
        <f t="shared" ref="A9:A13" si="1">B9&amp;"_investment_"&amp;C9</f>
        <v>s1_investment_6</v>
      </c>
      <c r="B9" t="s">
        <v>26</v>
      </c>
      <c r="C9">
        <v>6</v>
      </c>
      <c r="D9" t="s">
        <v>0</v>
      </c>
      <c r="E9">
        <v>400</v>
      </c>
      <c r="F9" t="s">
        <v>569</v>
      </c>
      <c r="G9" t="s">
        <v>956</v>
      </c>
    </row>
    <row r="10" spans="1:7" x14ac:dyDescent="0.3">
      <c r="A10" t="str">
        <f t="shared" si="1"/>
        <v>s1_investment_7</v>
      </c>
      <c r="B10" t="s">
        <v>26</v>
      </c>
      <c r="C10">
        <v>7</v>
      </c>
      <c r="D10" t="s">
        <v>0</v>
      </c>
      <c r="E10">
        <v>500</v>
      </c>
      <c r="F10" t="s">
        <v>572</v>
      </c>
      <c r="G10" t="s">
        <v>957</v>
      </c>
    </row>
    <row r="11" spans="1:7" x14ac:dyDescent="0.3">
      <c r="A11" t="str">
        <f t="shared" si="1"/>
        <v>s1_investment_8</v>
      </c>
      <c r="B11" t="s">
        <v>26</v>
      </c>
      <c r="C11">
        <v>8</v>
      </c>
      <c r="D11" t="s">
        <v>0</v>
      </c>
      <c r="E11">
        <v>600</v>
      </c>
      <c r="F11" t="s">
        <v>584</v>
      </c>
      <c r="G11" t="s">
        <v>958</v>
      </c>
    </row>
    <row r="12" spans="1:7" x14ac:dyDescent="0.3">
      <c r="A12" t="str">
        <f t="shared" si="1"/>
        <v>s1_investment_9</v>
      </c>
      <c r="B12" t="s">
        <v>26</v>
      </c>
      <c r="C12">
        <v>9</v>
      </c>
      <c r="D12" t="s">
        <v>0</v>
      </c>
      <c r="E12">
        <v>800</v>
      </c>
      <c r="F12" t="s">
        <v>584</v>
      </c>
      <c r="G12" t="s">
        <v>958</v>
      </c>
    </row>
    <row r="13" spans="1:7" x14ac:dyDescent="0.3">
      <c r="A13" t="str">
        <f t="shared" si="1"/>
        <v>s1_investment_10</v>
      </c>
      <c r="B13" t="s">
        <v>26</v>
      </c>
      <c r="C13">
        <v>10</v>
      </c>
      <c r="D13" t="s">
        <v>0</v>
      </c>
      <c r="E13">
        <v>1000</v>
      </c>
      <c r="F13" t="s">
        <v>584</v>
      </c>
      <c r="G13" t="s">
        <v>958</v>
      </c>
    </row>
  </sheetData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16"/>
  <sheetViews>
    <sheetView topLeftCell="A128" workbookViewId="0">
      <selection activeCell="I144" sqref="I144"/>
    </sheetView>
  </sheetViews>
  <sheetFormatPr defaultRowHeight="16.5" x14ac:dyDescent="0.3"/>
  <cols>
    <col min="1" max="1" width="28" customWidth="1"/>
    <col min="2" max="2" width="62.875" customWidth="1"/>
    <col min="3" max="3" width="12" customWidth="1"/>
    <col min="4" max="5" width="16.125" customWidth="1"/>
    <col min="6" max="6" width="22.875" bestFit="1" customWidth="1"/>
    <col min="7" max="7" width="31.875" customWidth="1"/>
    <col min="8" max="8" width="19.625" bestFit="1" customWidth="1"/>
    <col min="9" max="9" width="33.875" bestFit="1" customWidth="1"/>
    <col min="10" max="10" width="25.375" bestFit="1" customWidth="1"/>
  </cols>
  <sheetData>
    <row r="1" spans="1:2" ht="21" customHeight="1" x14ac:dyDescent="0.3">
      <c r="A1" s="14" t="s">
        <v>697</v>
      </c>
      <c r="B1" s="8"/>
    </row>
    <row r="3" spans="1:2" ht="17.45" customHeight="1" x14ac:dyDescent="0.3">
      <c r="A3" s="6" t="s">
        <v>698</v>
      </c>
    </row>
    <row r="4" spans="1:2" x14ac:dyDescent="0.3">
      <c r="A4" s="9" t="s">
        <v>699</v>
      </c>
    </row>
    <row r="5" spans="1:2" x14ac:dyDescent="0.3">
      <c r="A5" s="3" t="s">
        <v>700</v>
      </c>
      <c r="B5" s="7" t="s">
        <v>701</v>
      </c>
    </row>
    <row r="6" spans="1:2" s="9" customFormat="1" ht="15.95" customHeight="1" x14ac:dyDescent="0.2">
      <c r="A6" s="4" t="s">
        <v>13</v>
      </c>
      <c r="B6" s="5" t="s">
        <v>702</v>
      </c>
    </row>
    <row r="7" spans="1:2" x14ac:dyDescent="0.3">
      <c r="A7" s="4" t="s">
        <v>14</v>
      </c>
      <c r="B7" s="5" t="s">
        <v>703</v>
      </c>
    </row>
    <row r="8" spans="1:2" x14ac:dyDescent="0.3">
      <c r="A8" s="4" t="s">
        <v>15</v>
      </c>
      <c r="B8" s="5" t="s">
        <v>704</v>
      </c>
    </row>
    <row r="9" spans="1:2" x14ac:dyDescent="0.3">
      <c r="A9" s="4" t="s">
        <v>16</v>
      </c>
      <c r="B9" s="5" t="s">
        <v>705</v>
      </c>
    </row>
    <row r="10" spans="1:2" x14ac:dyDescent="0.3">
      <c r="A10" s="4" t="s">
        <v>17</v>
      </c>
      <c r="B10" s="5" t="s">
        <v>706</v>
      </c>
    </row>
    <row r="11" spans="1:2" x14ac:dyDescent="0.3">
      <c r="A11" s="4" t="s">
        <v>18</v>
      </c>
      <c r="B11" s="5" t="s">
        <v>707</v>
      </c>
    </row>
    <row r="12" spans="1:2" x14ac:dyDescent="0.3">
      <c r="A12" s="4" t="s">
        <v>19</v>
      </c>
      <c r="B12" s="5" t="s">
        <v>708</v>
      </c>
    </row>
    <row r="13" spans="1:2" x14ac:dyDescent="0.3">
      <c r="A13" s="4" t="s">
        <v>20</v>
      </c>
      <c r="B13" s="5" t="s">
        <v>709</v>
      </c>
    </row>
    <row r="14" spans="1:2" x14ac:dyDescent="0.3">
      <c r="A14" s="4" t="s">
        <v>21</v>
      </c>
      <c r="B14" s="5" t="s">
        <v>710</v>
      </c>
    </row>
    <row r="15" spans="1:2" x14ac:dyDescent="0.3">
      <c r="A15" s="4" t="s">
        <v>22</v>
      </c>
      <c r="B15" s="5" t="s">
        <v>711</v>
      </c>
    </row>
    <row r="16" spans="1:2" x14ac:dyDescent="0.3">
      <c r="A16" s="4" t="s">
        <v>23</v>
      </c>
      <c r="B16" s="5" t="s">
        <v>712</v>
      </c>
    </row>
    <row r="17" spans="1:6" x14ac:dyDescent="0.3">
      <c r="A17" s="4" t="s">
        <v>24</v>
      </c>
      <c r="B17" s="5" t="s">
        <v>11</v>
      </c>
    </row>
    <row r="18" spans="1:6" x14ac:dyDescent="0.3">
      <c r="A18" s="4" t="s">
        <v>25</v>
      </c>
      <c r="B18" s="5" t="s">
        <v>713</v>
      </c>
    </row>
    <row r="20" spans="1:6" ht="17.45" customHeight="1" x14ac:dyDescent="0.3">
      <c r="A20" s="6" t="s">
        <v>714</v>
      </c>
    </row>
    <row r="21" spans="1:6" x14ac:dyDescent="0.3">
      <c r="A21" s="9" t="s">
        <v>715</v>
      </c>
    </row>
    <row r="22" spans="1:6" x14ac:dyDescent="0.3">
      <c r="A22" s="3" t="s">
        <v>700</v>
      </c>
      <c r="B22" s="7" t="s">
        <v>701</v>
      </c>
      <c r="D22" s="15" t="s">
        <v>716</v>
      </c>
      <c r="E22" s="15" t="s">
        <v>717</v>
      </c>
      <c r="F22" s="15" t="s">
        <v>718</v>
      </c>
    </row>
    <row r="23" spans="1:6" s="9" customFormat="1" x14ac:dyDescent="0.3">
      <c r="A23" s="4" t="s">
        <v>13</v>
      </c>
      <c r="B23" s="5" t="s">
        <v>719</v>
      </c>
      <c r="D23" s="10" t="s">
        <v>79</v>
      </c>
      <c r="E23" s="10" t="s">
        <v>720</v>
      </c>
      <c r="F23" s="10" t="s">
        <v>721</v>
      </c>
    </row>
    <row r="24" spans="1:6" x14ac:dyDescent="0.3">
      <c r="A24" s="4" t="s">
        <v>14</v>
      </c>
      <c r="B24" s="5" t="s">
        <v>703</v>
      </c>
      <c r="D24" s="10" t="s">
        <v>80</v>
      </c>
      <c r="E24" s="10" t="s">
        <v>722</v>
      </c>
      <c r="F24" s="10" t="s">
        <v>723</v>
      </c>
    </row>
    <row r="25" spans="1:6" x14ac:dyDescent="0.3">
      <c r="A25" s="4" t="s">
        <v>15</v>
      </c>
      <c r="B25" s="5" t="s">
        <v>704</v>
      </c>
      <c r="D25" s="10" t="s">
        <v>724</v>
      </c>
      <c r="E25" s="10" t="s">
        <v>267</v>
      </c>
      <c r="F25" s="8"/>
    </row>
    <row r="26" spans="1:6" x14ac:dyDescent="0.3">
      <c r="A26" s="4" t="s">
        <v>16</v>
      </c>
      <c r="B26" s="5" t="s">
        <v>725</v>
      </c>
    </row>
    <row r="27" spans="1:6" x14ac:dyDescent="0.3">
      <c r="A27" t="s">
        <v>63</v>
      </c>
      <c r="B27" s="5" t="s">
        <v>726</v>
      </c>
    </row>
    <row r="28" spans="1:6" x14ac:dyDescent="0.3">
      <c r="A28" t="s">
        <v>64</v>
      </c>
      <c r="B28" t="s">
        <v>727</v>
      </c>
    </row>
    <row r="29" spans="1:6" x14ac:dyDescent="0.3">
      <c r="A29" s="4" t="s">
        <v>65</v>
      </c>
      <c r="B29" s="5" t="s">
        <v>728</v>
      </c>
    </row>
    <row r="30" spans="1:6" x14ac:dyDescent="0.3">
      <c r="A30" s="4" t="s">
        <v>66</v>
      </c>
      <c r="B30" s="5" t="s">
        <v>729</v>
      </c>
    </row>
    <row r="31" spans="1:6" x14ac:dyDescent="0.3">
      <c r="A31" s="4" t="s">
        <v>67</v>
      </c>
      <c r="B31" s="5" t="s">
        <v>730</v>
      </c>
    </row>
    <row r="32" spans="1:6" x14ac:dyDescent="0.3">
      <c r="A32" s="4" t="s">
        <v>18</v>
      </c>
      <c r="B32" s="5" t="s">
        <v>731</v>
      </c>
    </row>
    <row r="33" spans="1:2" x14ac:dyDescent="0.3">
      <c r="A33" s="4" t="s">
        <v>69</v>
      </c>
      <c r="B33" s="5" t="s">
        <v>732</v>
      </c>
    </row>
    <row r="34" spans="1:2" x14ac:dyDescent="0.3">
      <c r="A34" s="4" t="s">
        <v>22</v>
      </c>
      <c r="B34" s="5" t="s">
        <v>711</v>
      </c>
    </row>
    <row r="35" spans="1:2" x14ac:dyDescent="0.3">
      <c r="A35" s="4" t="s">
        <v>23</v>
      </c>
      <c r="B35" s="5" t="s">
        <v>712</v>
      </c>
    </row>
    <row r="36" spans="1:2" x14ac:dyDescent="0.3">
      <c r="A36" s="4" t="s">
        <v>24</v>
      </c>
      <c r="B36" s="5" t="s">
        <v>11</v>
      </c>
    </row>
    <row r="37" spans="1:2" x14ac:dyDescent="0.3">
      <c r="A37" s="4" t="s">
        <v>25</v>
      </c>
      <c r="B37" s="5" t="s">
        <v>733</v>
      </c>
    </row>
    <row r="38" spans="1:2" x14ac:dyDescent="0.3">
      <c r="A38" s="4" t="s">
        <v>70</v>
      </c>
      <c r="B38" s="5" t="s">
        <v>734</v>
      </c>
    </row>
    <row r="39" spans="1:2" x14ac:dyDescent="0.3">
      <c r="A39" s="4" t="s">
        <v>71</v>
      </c>
      <c r="B39" s="5" t="s">
        <v>735</v>
      </c>
    </row>
    <row r="40" spans="1:2" x14ac:dyDescent="0.3">
      <c r="A40" s="4" t="s">
        <v>72</v>
      </c>
      <c r="B40" s="5" t="s">
        <v>736</v>
      </c>
    </row>
    <row r="41" spans="1:2" x14ac:dyDescent="0.3">
      <c r="A41" s="4" t="s">
        <v>73</v>
      </c>
      <c r="B41" s="5" t="s">
        <v>711</v>
      </c>
    </row>
    <row r="42" spans="1:2" x14ac:dyDescent="0.3">
      <c r="A42" s="4" t="s">
        <v>74</v>
      </c>
      <c r="B42" s="5" t="s">
        <v>712</v>
      </c>
    </row>
    <row r="43" spans="1:2" x14ac:dyDescent="0.3">
      <c r="A43" s="4" t="s">
        <v>75</v>
      </c>
      <c r="B43" s="5" t="s">
        <v>11</v>
      </c>
    </row>
    <row r="44" spans="1:2" x14ac:dyDescent="0.3">
      <c r="A44" s="4" t="s">
        <v>76</v>
      </c>
      <c r="B44" s="5" t="s">
        <v>733</v>
      </c>
    </row>
    <row r="46" spans="1:2" ht="17.45" customHeight="1" x14ac:dyDescent="0.3">
      <c r="A46" s="6" t="s">
        <v>737</v>
      </c>
    </row>
    <row r="47" spans="1:2" x14ac:dyDescent="0.3">
      <c r="A47" s="9" t="s">
        <v>738</v>
      </c>
    </row>
    <row r="48" spans="1:2" s="9" customFormat="1" ht="15.95" customHeight="1" x14ac:dyDescent="0.2">
      <c r="A48" s="3" t="s">
        <v>700</v>
      </c>
      <c r="B48" s="7" t="s">
        <v>701</v>
      </c>
    </row>
    <row r="49" spans="1:2" x14ac:dyDescent="0.3">
      <c r="A49" s="4" t="s">
        <v>13</v>
      </c>
      <c r="B49" s="5" t="s">
        <v>739</v>
      </c>
    </row>
    <row r="50" spans="1:2" x14ac:dyDescent="0.3">
      <c r="A50" s="4" t="s">
        <v>14</v>
      </c>
      <c r="B50" s="5" t="s">
        <v>703</v>
      </c>
    </row>
    <row r="51" spans="1:2" x14ac:dyDescent="0.3">
      <c r="A51" s="4" t="s">
        <v>15</v>
      </c>
      <c r="B51" s="5" t="s">
        <v>704</v>
      </c>
    </row>
    <row r="52" spans="1:2" x14ac:dyDescent="0.3">
      <c r="A52" s="4" t="s">
        <v>99</v>
      </c>
      <c r="B52" s="5" t="s">
        <v>740</v>
      </c>
    </row>
    <row r="53" spans="1:2" x14ac:dyDescent="0.3">
      <c r="A53" s="4" t="s">
        <v>122</v>
      </c>
      <c r="B53" s="5" t="s">
        <v>741</v>
      </c>
    </row>
    <row r="54" spans="1:2" x14ac:dyDescent="0.3">
      <c r="A54" s="4" t="s">
        <v>123</v>
      </c>
      <c r="B54" s="5" t="s">
        <v>108</v>
      </c>
    </row>
    <row r="55" spans="1:2" x14ac:dyDescent="0.3">
      <c r="A55" s="4" t="s">
        <v>742</v>
      </c>
      <c r="B55" s="5" t="s">
        <v>743</v>
      </c>
    </row>
    <row r="56" spans="1:2" x14ac:dyDescent="0.3">
      <c r="A56" t="s">
        <v>125</v>
      </c>
      <c r="B56" t="s">
        <v>744</v>
      </c>
    </row>
    <row r="57" spans="1:2" x14ac:dyDescent="0.3">
      <c r="A57" t="s">
        <v>126</v>
      </c>
      <c r="B57" t="s">
        <v>745</v>
      </c>
    </row>
    <row r="58" spans="1:2" x14ac:dyDescent="0.3">
      <c r="A58" t="s">
        <v>127</v>
      </c>
      <c r="B58" t="s">
        <v>746</v>
      </c>
    </row>
    <row r="59" spans="1:2" x14ac:dyDescent="0.3">
      <c r="A59" s="4" t="s">
        <v>128</v>
      </c>
      <c r="B59" s="5" t="s">
        <v>747</v>
      </c>
    </row>
    <row r="60" spans="1:2" x14ac:dyDescent="0.3">
      <c r="A60" s="4" t="s">
        <v>129</v>
      </c>
      <c r="B60" s="5" t="s">
        <v>748</v>
      </c>
    </row>
    <row r="61" spans="1:2" x14ac:dyDescent="0.3">
      <c r="A61" s="4" t="s">
        <v>749</v>
      </c>
      <c r="B61" s="5" t="s">
        <v>116</v>
      </c>
    </row>
    <row r="62" spans="1:2" x14ac:dyDescent="0.3">
      <c r="A62" s="4" t="s">
        <v>750</v>
      </c>
      <c r="B62" s="5" t="s">
        <v>117</v>
      </c>
    </row>
    <row r="63" spans="1:2" x14ac:dyDescent="0.3">
      <c r="A63" s="4" t="s">
        <v>751</v>
      </c>
      <c r="B63" s="5" t="s">
        <v>118</v>
      </c>
    </row>
    <row r="64" spans="1:2" x14ac:dyDescent="0.3">
      <c r="A64" s="4" t="s">
        <v>130</v>
      </c>
      <c r="B64" s="5" t="s">
        <v>119</v>
      </c>
    </row>
    <row r="65" spans="1:2" x14ac:dyDescent="0.3">
      <c r="A65" s="4" t="s">
        <v>134</v>
      </c>
      <c r="B65" s="5" t="s">
        <v>120</v>
      </c>
    </row>
    <row r="66" spans="1:2" x14ac:dyDescent="0.3">
      <c r="A66" s="4" t="s">
        <v>135</v>
      </c>
      <c r="B66" s="5" t="s">
        <v>752</v>
      </c>
    </row>
    <row r="67" spans="1:2" s="9" customFormat="1" ht="11.45" customHeight="1" x14ac:dyDescent="0.2"/>
    <row r="68" spans="1:2" ht="17.45" customHeight="1" x14ac:dyDescent="0.3">
      <c r="A68" s="6" t="s">
        <v>753</v>
      </c>
    </row>
    <row r="69" spans="1:2" x14ac:dyDescent="0.3">
      <c r="A69" s="9" t="s">
        <v>754</v>
      </c>
    </row>
    <row r="70" spans="1:2" x14ac:dyDescent="0.3">
      <c r="A70" s="3" t="s">
        <v>700</v>
      </c>
      <c r="B70" s="7" t="s">
        <v>701</v>
      </c>
    </row>
    <row r="71" spans="1:2" x14ac:dyDescent="0.3">
      <c r="A71" s="4" t="s">
        <v>99</v>
      </c>
      <c r="B71" s="5" t="s">
        <v>755</v>
      </c>
    </row>
    <row r="72" spans="1:2" x14ac:dyDescent="0.3">
      <c r="A72" s="4" t="s">
        <v>100</v>
      </c>
      <c r="B72" s="5" t="s">
        <v>97</v>
      </c>
    </row>
    <row r="73" spans="1:2" x14ac:dyDescent="0.3">
      <c r="A73" s="4" t="s">
        <v>101</v>
      </c>
      <c r="B73" s="5" t="s">
        <v>756</v>
      </c>
    </row>
    <row r="74" spans="1:2" s="9" customFormat="1" ht="15.95" customHeight="1" x14ac:dyDescent="0.2">
      <c r="A74" s="4"/>
      <c r="B74" s="5"/>
    </row>
    <row r="75" spans="1:2" ht="17.45" customHeight="1" x14ac:dyDescent="0.3">
      <c r="A75" s="6" t="s">
        <v>757</v>
      </c>
    </row>
    <row r="76" spans="1:2" x14ac:dyDescent="0.3">
      <c r="A76" s="9" t="s">
        <v>758</v>
      </c>
    </row>
    <row r="77" spans="1:2" x14ac:dyDescent="0.3">
      <c r="A77" s="3" t="s">
        <v>700</v>
      </c>
      <c r="B77" s="7" t="s">
        <v>701</v>
      </c>
    </row>
    <row r="78" spans="1:2" x14ac:dyDescent="0.3">
      <c r="A78" s="4" t="s">
        <v>13</v>
      </c>
      <c r="B78" s="5" t="s">
        <v>759</v>
      </c>
    </row>
    <row r="79" spans="1:2" x14ac:dyDescent="0.3">
      <c r="A79" s="4" t="s">
        <v>14</v>
      </c>
      <c r="B79" s="5" t="s">
        <v>703</v>
      </c>
    </row>
    <row r="80" spans="1:2" x14ac:dyDescent="0.3">
      <c r="A80" s="4" t="s">
        <v>15</v>
      </c>
      <c r="B80" s="5" t="s">
        <v>704</v>
      </c>
    </row>
    <row r="81" spans="1:2" x14ac:dyDescent="0.3">
      <c r="A81" s="4" t="s">
        <v>100</v>
      </c>
      <c r="B81" s="5" t="s">
        <v>760</v>
      </c>
    </row>
    <row r="82" spans="1:2" x14ac:dyDescent="0.3">
      <c r="A82" s="4" t="s">
        <v>267</v>
      </c>
      <c r="B82" s="5" t="s">
        <v>761</v>
      </c>
    </row>
    <row r="83" spans="1:2" s="9" customFormat="1" ht="11.45" customHeight="1" x14ac:dyDescent="0.2"/>
    <row r="84" spans="1:2" ht="17.45" customHeight="1" x14ac:dyDescent="0.3">
      <c r="A84" s="6" t="s">
        <v>762</v>
      </c>
    </row>
    <row r="85" spans="1:2" x14ac:dyDescent="0.3">
      <c r="A85" s="9" t="s">
        <v>763</v>
      </c>
    </row>
    <row r="86" spans="1:2" x14ac:dyDescent="0.3">
      <c r="A86" s="3" t="s">
        <v>700</v>
      </c>
      <c r="B86" s="7" t="s">
        <v>701</v>
      </c>
    </row>
    <row r="87" spans="1:2" x14ac:dyDescent="0.3">
      <c r="A87" s="4" t="s">
        <v>13</v>
      </c>
      <c r="B87" s="5" t="s">
        <v>764</v>
      </c>
    </row>
    <row r="88" spans="1:2" x14ac:dyDescent="0.3">
      <c r="A88" s="4" t="s">
        <v>14</v>
      </c>
      <c r="B88" s="5" t="s">
        <v>703</v>
      </c>
    </row>
    <row r="89" spans="1:2" x14ac:dyDescent="0.3">
      <c r="A89" s="4" t="s">
        <v>15</v>
      </c>
      <c r="B89" s="5" t="s">
        <v>704</v>
      </c>
    </row>
    <row r="90" spans="1:2" x14ac:dyDescent="0.3">
      <c r="A90" s="4" t="s">
        <v>99</v>
      </c>
      <c r="B90" s="5" t="s">
        <v>765</v>
      </c>
    </row>
    <row r="91" spans="1:2" x14ac:dyDescent="0.3">
      <c r="A91" s="4" t="s">
        <v>100</v>
      </c>
      <c r="B91" s="5" t="s">
        <v>760</v>
      </c>
    </row>
    <row r="92" spans="1:2" x14ac:dyDescent="0.3">
      <c r="A92" s="4" t="s">
        <v>286</v>
      </c>
      <c r="B92" s="5" t="s">
        <v>766</v>
      </c>
    </row>
    <row r="93" spans="1:2" x14ac:dyDescent="0.3">
      <c r="A93" s="4" t="s">
        <v>287</v>
      </c>
      <c r="B93" s="5" t="s">
        <v>767</v>
      </c>
    </row>
    <row r="94" spans="1:2" s="9" customFormat="1" ht="11.45" customHeight="1" x14ac:dyDescent="0.2"/>
    <row r="95" spans="1:2" ht="17.45" customHeight="1" x14ac:dyDescent="0.3">
      <c r="A95" s="6" t="s">
        <v>768</v>
      </c>
    </row>
    <row r="96" spans="1:2" x14ac:dyDescent="0.3">
      <c r="A96" s="9" t="s">
        <v>769</v>
      </c>
    </row>
    <row r="97" spans="1:2" x14ac:dyDescent="0.3">
      <c r="A97" s="3" t="s">
        <v>700</v>
      </c>
      <c r="B97" s="7" t="s">
        <v>701</v>
      </c>
    </row>
    <row r="98" spans="1:2" x14ac:dyDescent="0.3">
      <c r="A98" s="4" t="s">
        <v>13</v>
      </c>
      <c r="B98" s="5" t="s">
        <v>770</v>
      </c>
    </row>
    <row r="99" spans="1:2" x14ac:dyDescent="0.3">
      <c r="A99" s="4" t="s">
        <v>14</v>
      </c>
      <c r="B99" s="5" t="s">
        <v>703</v>
      </c>
    </row>
    <row r="100" spans="1:2" x14ac:dyDescent="0.3">
      <c r="A100" s="4" t="s">
        <v>15</v>
      </c>
      <c r="B100" s="5" t="s">
        <v>704</v>
      </c>
    </row>
    <row r="101" spans="1:2" x14ac:dyDescent="0.3">
      <c r="A101" s="4" t="s">
        <v>99</v>
      </c>
      <c r="B101" s="5" t="s">
        <v>771</v>
      </c>
    </row>
    <row r="102" spans="1:2" x14ac:dyDescent="0.3">
      <c r="A102" s="4" t="s">
        <v>100</v>
      </c>
      <c r="B102" s="5" t="s">
        <v>760</v>
      </c>
    </row>
    <row r="103" spans="1:2" x14ac:dyDescent="0.3">
      <c r="A103" s="4" t="s">
        <v>321</v>
      </c>
      <c r="B103" s="5" t="s">
        <v>772</v>
      </c>
    </row>
    <row r="104" spans="1:2" x14ac:dyDescent="0.3">
      <c r="A104" s="4" t="s">
        <v>322</v>
      </c>
      <c r="B104" s="5" t="s">
        <v>320</v>
      </c>
    </row>
    <row r="105" spans="1:2" x14ac:dyDescent="0.3">
      <c r="A105" s="4" t="s">
        <v>323</v>
      </c>
      <c r="B105" s="5" t="s">
        <v>285</v>
      </c>
    </row>
    <row r="106" spans="1:2" s="9" customFormat="1" ht="11.45" customHeight="1" x14ac:dyDescent="0.2"/>
    <row r="107" spans="1:2" ht="17.45" customHeight="1" x14ac:dyDescent="0.3">
      <c r="A107" s="6" t="s">
        <v>773</v>
      </c>
    </row>
    <row r="108" spans="1:2" x14ac:dyDescent="0.3">
      <c r="A108" s="9" t="s">
        <v>774</v>
      </c>
    </row>
    <row r="109" spans="1:2" x14ac:dyDescent="0.3">
      <c r="A109" s="3" t="s">
        <v>700</v>
      </c>
      <c r="B109" s="7" t="s">
        <v>701</v>
      </c>
    </row>
    <row r="110" spans="1:2" x14ac:dyDescent="0.3">
      <c r="A110" s="4" t="s">
        <v>13</v>
      </c>
      <c r="B110" s="5" t="s">
        <v>775</v>
      </c>
    </row>
    <row r="111" spans="1:2" x14ac:dyDescent="0.3">
      <c r="A111" s="4" t="s">
        <v>14</v>
      </c>
      <c r="B111" s="5" t="s">
        <v>703</v>
      </c>
    </row>
    <row r="112" spans="1:2" x14ac:dyDescent="0.3">
      <c r="A112" s="4" t="s">
        <v>15</v>
      </c>
      <c r="B112" s="5" t="s">
        <v>704</v>
      </c>
    </row>
    <row r="113" spans="1:2" x14ac:dyDescent="0.3">
      <c r="A113" s="4" t="s">
        <v>100</v>
      </c>
      <c r="B113" s="5" t="s">
        <v>760</v>
      </c>
    </row>
    <row r="114" spans="1:2" x14ac:dyDescent="0.3">
      <c r="A114" s="4" t="s">
        <v>628</v>
      </c>
      <c r="B114" s="5" t="s">
        <v>776</v>
      </c>
    </row>
    <row r="115" spans="1:2" x14ac:dyDescent="0.3">
      <c r="A115" s="4" t="s">
        <v>629</v>
      </c>
      <c r="B115" s="5" t="s">
        <v>777</v>
      </c>
    </row>
    <row r="116" spans="1:2" x14ac:dyDescent="0.3">
      <c r="A116" s="4" t="s">
        <v>322</v>
      </c>
      <c r="B116" s="5" t="s">
        <v>778</v>
      </c>
    </row>
    <row r="117" spans="1:2" x14ac:dyDescent="0.3">
      <c r="A117" s="4" t="s">
        <v>323</v>
      </c>
      <c r="B117" s="5" t="s">
        <v>779</v>
      </c>
    </row>
    <row r="118" spans="1:2" s="9" customFormat="1" ht="11.45" customHeight="1" x14ac:dyDescent="0.2"/>
    <row r="119" spans="1:2" ht="17.45" customHeight="1" x14ac:dyDescent="0.3">
      <c r="A119" s="6" t="s">
        <v>780</v>
      </c>
    </row>
    <row r="120" spans="1:2" x14ac:dyDescent="0.3">
      <c r="A120" s="9" t="s">
        <v>781</v>
      </c>
    </row>
    <row r="121" spans="1:2" x14ac:dyDescent="0.3">
      <c r="A121" s="3" t="s">
        <v>700</v>
      </c>
      <c r="B121" s="7" t="s">
        <v>701</v>
      </c>
    </row>
    <row r="122" spans="1:2" x14ac:dyDescent="0.3">
      <c r="A122" s="4" t="s">
        <v>13</v>
      </c>
      <c r="B122" s="5" t="s">
        <v>782</v>
      </c>
    </row>
    <row r="123" spans="1:2" x14ac:dyDescent="0.3">
      <c r="A123" s="4" t="s">
        <v>14</v>
      </c>
      <c r="B123" s="5" t="s">
        <v>703</v>
      </c>
    </row>
    <row r="124" spans="1:2" x14ac:dyDescent="0.3">
      <c r="A124" s="4" t="s">
        <v>15</v>
      </c>
      <c r="B124" s="5" t="s">
        <v>704</v>
      </c>
    </row>
    <row r="125" spans="1:2" x14ac:dyDescent="0.3">
      <c r="A125" s="4" t="s">
        <v>661</v>
      </c>
      <c r="B125" s="5" t="s">
        <v>783</v>
      </c>
    </row>
    <row r="126" spans="1:2" x14ac:dyDescent="0.3">
      <c r="A126" s="4" t="s">
        <v>67</v>
      </c>
      <c r="B126" s="5" t="s">
        <v>784</v>
      </c>
    </row>
    <row r="127" spans="1:2" x14ac:dyDescent="0.3">
      <c r="A127" s="4" t="s">
        <v>18</v>
      </c>
      <c r="B127" s="5" t="s">
        <v>785</v>
      </c>
    </row>
    <row r="128" spans="1:2" x14ac:dyDescent="0.3">
      <c r="A128" s="4" t="s">
        <v>69</v>
      </c>
      <c r="B128" s="5" t="s">
        <v>732</v>
      </c>
    </row>
    <row r="129" spans="1:10" x14ac:dyDescent="0.3">
      <c r="A129" s="4" t="s">
        <v>22</v>
      </c>
      <c r="B129" s="5" t="s">
        <v>711</v>
      </c>
    </row>
    <row r="130" spans="1:10" x14ac:dyDescent="0.3">
      <c r="A130" s="4" t="s">
        <v>23</v>
      </c>
      <c r="B130" s="5" t="s">
        <v>712</v>
      </c>
    </row>
    <row r="131" spans="1:10" x14ac:dyDescent="0.3">
      <c r="A131" s="4" t="s">
        <v>24</v>
      </c>
      <c r="B131" s="5" t="s">
        <v>11</v>
      </c>
    </row>
    <row r="132" spans="1:10" x14ac:dyDescent="0.3">
      <c r="A132" s="4" t="s">
        <v>25</v>
      </c>
      <c r="B132" s="5" t="s">
        <v>733</v>
      </c>
    </row>
    <row r="133" spans="1:10" x14ac:dyDescent="0.3">
      <c r="A133" s="4" t="s">
        <v>70</v>
      </c>
      <c r="B133" s="5" t="s">
        <v>734</v>
      </c>
    </row>
    <row r="134" spans="1:10" x14ac:dyDescent="0.3">
      <c r="A134" s="4" t="s">
        <v>71</v>
      </c>
      <c r="B134" s="5" t="s">
        <v>786</v>
      </c>
    </row>
    <row r="135" spans="1:10" x14ac:dyDescent="0.3">
      <c r="A135" s="4" t="s">
        <v>72</v>
      </c>
      <c r="B135" s="5" t="s">
        <v>736</v>
      </c>
    </row>
    <row r="136" spans="1:10" x14ac:dyDescent="0.3">
      <c r="A136" s="4" t="s">
        <v>73</v>
      </c>
      <c r="B136" s="5" t="s">
        <v>711</v>
      </c>
    </row>
    <row r="137" spans="1:10" x14ac:dyDescent="0.3">
      <c r="A137" s="4" t="s">
        <v>74</v>
      </c>
      <c r="B137" s="5" t="s">
        <v>712</v>
      </c>
    </row>
    <row r="138" spans="1:10" x14ac:dyDescent="0.3">
      <c r="A138" s="4" t="s">
        <v>75</v>
      </c>
      <c r="B138" s="5" t="s">
        <v>11</v>
      </c>
    </row>
    <row r="139" spans="1:10" x14ac:dyDescent="0.3">
      <c r="A139" s="4" t="s">
        <v>76</v>
      </c>
      <c r="B139" s="5" t="s">
        <v>733</v>
      </c>
    </row>
    <row r="140" spans="1:10" s="9" customFormat="1" ht="11.45" customHeight="1" x14ac:dyDescent="0.2"/>
    <row r="141" spans="1:10" ht="17.45" customHeight="1" x14ac:dyDescent="0.3">
      <c r="A141" s="12" t="s">
        <v>788</v>
      </c>
    </row>
    <row r="142" spans="1:10" x14ac:dyDescent="0.3">
      <c r="A142" s="9" t="s">
        <v>789</v>
      </c>
      <c r="E142" s="9" t="s">
        <v>790</v>
      </c>
    </row>
    <row r="143" spans="1:10" x14ac:dyDescent="0.3">
      <c r="A143" s="3" t="s">
        <v>700</v>
      </c>
      <c r="B143" s="7" t="s">
        <v>701</v>
      </c>
      <c r="E143" s="13" t="s">
        <v>671</v>
      </c>
      <c r="F143" s="13" t="s">
        <v>787</v>
      </c>
      <c r="G143" s="13" t="s">
        <v>791</v>
      </c>
      <c r="H143" s="13" t="s">
        <v>792</v>
      </c>
      <c r="I143" s="13" t="s">
        <v>793</v>
      </c>
      <c r="J143" s="13" t="s">
        <v>794</v>
      </c>
    </row>
    <row r="144" spans="1:10" x14ac:dyDescent="0.3">
      <c r="A144" s="4" t="s">
        <v>13</v>
      </c>
      <c r="B144" s="5" t="s">
        <v>795</v>
      </c>
      <c r="E144" s="10" t="s">
        <v>679</v>
      </c>
      <c r="F144" s="10" t="s">
        <v>935</v>
      </c>
      <c r="G144" s="10" t="s">
        <v>918</v>
      </c>
      <c r="H144" t="str">
        <f>E144&amp;"_text"</f>
        <v>clear_battle_level_text</v>
      </c>
      <c r="I144" s="10" t="s">
        <v>902</v>
      </c>
    </row>
    <row r="145" spans="1:10" x14ac:dyDescent="0.3">
      <c r="A145" s="4" t="s">
        <v>14</v>
      </c>
      <c r="B145" s="5" t="s">
        <v>703</v>
      </c>
      <c r="E145" s="10" t="s">
        <v>680</v>
      </c>
      <c r="F145" s="10" t="s">
        <v>936</v>
      </c>
      <c r="G145" s="10" t="s">
        <v>923</v>
      </c>
      <c r="H145" t="str">
        <f t="shared" ref="H145:H148" si="0">E145&amp;"_text"</f>
        <v>clear_with_hero_text</v>
      </c>
      <c r="I145" s="10" t="s">
        <v>797</v>
      </c>
    </row>
    <row r="146" spans="1:10" x14ac:dyDescent="0.3">
      <c r="A146" s="4" t="s">
        <v>15</v>
      </c>
      <c r="B146" s="5" t="s">
        <v>704</v>
      </c>
      <c r="E146" t="s">
        <v>681</v>
      </c>
      <c r="F146" s="10" t="s">
        <v>937</v>
      </c>
      <c r="G146" s="10" t="s">
        <v>798</v>
      </c>
      <c r="H146" t="str">
        <f t="shared" si="0"/>
        <v>clear_event_text</v>
      </c>
      <c r="I146" s="10" t="s">
        <v>799</v>
      </c>
      <c r="J146" s="10" t="s">
        <v>800</v>
      </c>
    </row>
    <row r="147" spans="1:10" x14ac:dyDescent="0.3">
      <c r="A147" s="4" t="s">
        <v>801</v>
      </c>
      <c r="B147" s="5" t="s">
        <v>802</v>
      </c>
      <c r="E147" t="s">
        <v>682</v>
      </c>
      <c r="F147" s="10" t="s">
        <v>936</v>
      </c>
      <c r="G147" s="10" t="s">
        <v>796</v>
      </c>
      <c r="H147" t="str">
        <f t="shared" si="0"/>
        <v>recruit_hero_text</v>
      </c>
      <c r="I147" s="10" t="s">
        <v>803</v>
      </c>
    </row>
    <row r="148" spans="1:10" x14ac:dyDescent="0.3">
      <c r="A148" s="4" t="s">
        <v>804</v>
      </c>
      <c r="B148" s="5" t="s">
        <v>805</v>
      </c>
      <c r="E148" s="10" t="s">
        <v>683</v>
      </c>
      <c r="F148" s="10" t="s">
        <v>938</v>
      </c>
      <c r="G148" s="10" t="s">
        <v>807</v>
      </c>
      <c r="H148" t="str">
        <f t="shared" si="0"/>
        <v>collect_relic_text</v>
      </c>
      <c r="I148" s="10" t="s">
        <v>806</v>
      </c>
    </row>
    <row r="149" spans="1:10" x14ac:dyDescent="0.3">
      <c r="A149" s="4" t="s">
        <v>673</v>
      </c>
      <c r="B149" s="5" t="s">
        <v>808</v>
      </c>
    </row>
    <row r="150" spans="1:10" x14ac:dyDescent="0.3">
      <c r="A150" s="4" t="s">
        <v>810</v>
      </c>
      <c r="B150" s="5" t="s">
        <v>811</v>
      </c>
      <c r="E150" s="1"/>
    </row>
    <row r="151" spans="1:10" x14ac:dyDescent="0.3">
      <c r="A151" s="4" t="s">
        <v>674</v>
      </c>
      <c r="B151" s="5" t="s">
        <v>809</v>
      </c>
      <c r="E151" s="1"/>
    </row>
    <row r="152" spans="1:10" x14ac:dyDescent="0.3">
      <c r="A152" s="4" t="s">
        <v>18</v>
      </c>
      <c r="B152" s="5" t="s">
        <v>785</v>
      </c>
      <c r="E152" s="1"/>
    </row>
    <row r="153" spans="1:10" x14ac:dyDescent="0.3">
      <c r="A153" s="4" t="s">
        <v>19</v>
      </c>
      <c r="B153" s="5" t="s">
        <v>732</v>
      </c>
      <c r="E153" s="1"/>
    </row>
    <row r="154" spans="1:10" x14ac:dyDescent="0.3">
      <c r="A154" s="4" t="s">
        <v>22</v>
      </c>
      <c r="B154" s="5" t="s">
        <v>711</v>
      </c>
      <c r="E154" s="1"/>
    </row>
    <row r="155" spans="1:10" x14ac:dyDescent="0.3">
      <c r="A155" s="4" t="s">
        <v>23</v>
      </c>
      <c r="B155" s="5" t="s">
        <v>712</v>
      </c>
      <c r="E155" s="1"/>
    </row>
    <row r="156" spans="1:10" x14ac:dyDescent="0.3">
      <c r="A156" s="4" t="s">
        <v>24</v>
      </c>
      <c r="B156" s="5" t="s">
        <v>11</v>
      </c>
      <c r="E156" s="1"/>
    </row>
    <row r="157" spans="1:10" x14ac:dyDescent="0.3">
      <c r="A157" s="4" t="s">
        <v>25</v>
      </c>
      <c r="B157" s="5" t="s">
        <v>733</v>
      </c>
      <c r="E157" s="1"/>
    </row>
    <row r="158" spans="1:10" x14ac:dyDescent="0.3">
      <c r="A158" s="4" t="s">
        <v>676</v>
      </c>
      <c r="B158" s="5" t="s">
        <v>812</v>
      </c>
      <c r="E158" s="1"/>
    </row>
    <row r="159" spans="1:10" x14ac:dyDescent="0.3">
      <c r="A159" s="4" t="s">
        <v>71</v>
      </c>
      <c r="B159" s="5" t="s">
        <v>786</v>
      </c>
      <c r="E159" s="1"/>
    </row>
    <row r="160" spans="1:10" x14ac:dyDescent="0.3">
      <c r="A160" s="4" t="s">
        <v>677</v>
      </c>
      <c r="B160" s="5" t="s">
        <v>736</v>
      </c>
      <c r="E160" s="1"/>
    </row>
    <row r="161" spans="1:5" x14ac:dyDescent="0.3">
      <c r="A161" s="4" t="s">
        <v>73</v>
      </c>
      <c r="B161" s="5" t="s">
        <v>711</v>
      </c>
      <c r="E161" s="1"/>
    </row>
    <row r="162" spans="1:5" x14ac:dyDescent="0.3">
      <c r="A162" s="4" t="s">
        <v>74</v>
      </c>
      <c r="B162" s="5" t="s">
        <v>712</v>
      </c>
      <c r="E162" s="1"/>
    </row>
    <row r="163" spans="1:5" x14ac:dyDescent="0.3">
      <c r="A163" s="4" t="s">
        <v>75</v>
      </c>
      <c r="B163" s="5" t="s">
        <v>11</v>
      </c>
      <c r="E163" s="1"/>
    </row>
    <row r="164" spans="1:5" x14ac:dyDescent="0.3">
      <c r="A164" s="4" t="s">
        <v>76</v>
      </c>
      <c r="B164" s="5" t="s">
        <v>733</v>
      </c>
      <c r="E164" s="1"/>
    </row>
    <row r="165" spans="1:5" s="9" customFormat="1" x14ac:dyDescent="0.3">
      <c r="D165"/>
      <c r="E165" s="1"/>
    </row>
    <row r="166" spans="1:5" ht="17.45" customHeight="1" x14ac:dyDescent="0.3">
      <c r="A166" s="12" t="s">
        <v>814</v>
      </c>
    </row>
    <row r="167" spans="1:5" x14ac:dyDescent="0.3">
      <c r="A167" s="9" t="s">
        <v>815</v>
      </c>
      <c r="E167" s="9"/>
    </row>
    <row r="168" spans="1:5" x14ac:dyDescent="0.3">
      <c r="A168" s="3" t="s">
        <v>700</v>
      </c>
      <c r="B168" s="7" t="s">
        <v>701</v>
      </c>
      <c r="E168" s="1"/>
    </row>
    <row r="169" spans="1:5" x14ac:dyDescent="0.3">
      <c r="A169" s="4" t="s">
        <v>13</v>
      </c>
      <c r="B169" s="5" t="s">
        <v>816</v>
      </c>
      <c r="E169" s="1"/>
    </row>
    <row r="170" spans="1:5" x14ac:dyDescent="0.3">
      <c r="A170" s="4" t="s">
        <v>14</v>
      </c>
      <c r="B170" s="5" t="s">
        <v>703</v>
      </c>
      <c r="E170" s="1"/>
    </row>
    <row r="171" spans="1:5" x14ac:dyDescent="0.3">
      <c r="A171" s="4" t="s">
        <v>15</v>
      </c>
      <c r="B171" s="5" t="s">
        <v>704</v>
      </c>
      <c r="E171" s="1"/>
    </row>
    <row r="172" spans="1:5" x14ac:dyDescent="0.3">
      <c r="A172" s="4" t="s">
        <v>801</v>
      </c>
      <c r="B172" s="5" t="s">
        <v>802</v>
      </c>
      <c r="E172" s="1"/>
    </row>
    <row r="173" spans="1:5" x14ac:dyDescent="0.3">
      <c r="A173" s="1" t="s">
        <v>687</v>
      </c>
      <c r="B173" s="5" t="s">
        <v>684</v>
      </c>
      <c r="E173" s="1"/>
    </row>
    <row r="174" spans="1:5" x14ac:dyDescent="0.3">
      <c r="A174" s="1" t="s">
        <v>686</v>
      </c>
      <c r="B174" s="5" t="s">
        <v>685</v>
      </c>
      <c r="E174" s="1"/>
    </row>
    <row r="175" spans="1:5" x14ac:dyDescent="0.3">
      <c r="A175" s="1" t="s">
        <v>688</v>
      </c>
      <c r="B175" s="5" t="s">
        <v>684</v>
      </c>
      <c r="E175" s="1"/>
    </row>
    <row r="176" spans="1:5" x14ac:dyDescent="0.3">
      <c r="A176" s="1" t="s">
        <v>689</v>
      </c>
      <c r="B176" s="5" t="s">
        <v>685</v>
      </c>
      <c r="E176" s="1"/>
    </row>
    <row r="177" spans="1:5" x14ac:dyDescent="0.3">
      <c r="A177" s="4" t="s">
        <v>804</v>
      </c>
      <c r="B177" s="5" t="s">
        <v>805</v>
      </c>
      <c r="E177" s="1"/>
    </row>
    <row r="178" spans="1:5" x14ac:dyDescent="0.3">
      <c r="A178" s="4" t="s">
        <v>673</v>
      </c>
      <c r="B178" s="5" t="s">
        <v>808</v>
      </c>
      <c r="E178" s="1"/>
    </row>
    <row r="179" spans="1:5" x14ac:dyDescent="0.3">
      <c r="A179" s="4" t="s">
        <v>810</v>
      </c>
      <c r="B179" s="5" t="s">
        <v>811</v>
      </c>
      <c r="D179" s="10"/>
      <c r="E179" s="1"/>
    </row>
    <row r="180" spans="1:5" x14ac:dyDescent="0.3">
      <c r="A180" s="4" t="s">
        <v>674</v>
      </c>
      <c r="B180" s="5" t="s">
        <v>809</v>
      </c>
      <c r="E180" s="1"/>
    </row>
    <row r="181" spans="1:5" x14ac:dyDescent="0.3">
      <c r="A181" s="4" t="s">
        <v>18</v>
      </c>
      <c r="B181" s="5" t="s">
        <v>785</v>
      </c>
      <c r="E181" s="1"/>
    </row>
    <row r="182" spans="1:5" x14ac:dyDescent="0.3">
      <c r="A182" s="4" t="s">
        <v>19</v>
      </c>
      <c r="B182" s="5" t="s">
        <v>732</v>
      </c>
      <c r="E182" s="1"/>
    </row>
    <row r="183" spans="1:5" x14ac:dyDescent="0.3">
      <c r="A183" s="4" t="s">
        <v>22</v>
      </c>
      <c r="B183" s="5" t="s">
        <v>711</v>
      </c>
      <c r="E183" s="1"/>
    </row>
    <row r="184" spans="1:5" x14ac:dyDescent="0.3">
      <c r="A184" s="4" t="s">
        <v>23</v>
      </c>
      <c r="B184" s="5" t="s">
        <v>712</v>
      </c>
      <c r="E184" s="1"/>
    </row>
    <row r="185" spans="1:5" x14ac:dyDescent="0.3">
      <c r="A185" s="4" t="s">
        <v>24</v>
      </c>
      <c r="B185" s="5" t="s">
        <v>11</v>
      </c>
      <c r="E185" s="1"/>
    </row>
    <row r="186" spans="1:5" x14ac:dyDescent="0.3">
      <c r="A186" s="4" t="s">
        <v>25</v>
      </c>
      <c r="B186" s="5" t="s">
        <v>733</v>
      </c>
      <c r="E186" s="1"/>
    </row>
    <row r="187" spans="1:5" x14ac:dyDescent="0.3">
      <c r="A187" s="4" t="s">
        <v>676</v>
      </c>
      <c r="B187" s="5" t="s">
        <v>812</v>
      </c>
      <c r="E187" s="1"/>
    </row>
    <row r="188" spans="1:5" x14ac:dyDescent="0.3">
      <c r="A188" s="4" t="s">
        <v>71</v>
      </c>
      <c r="B188" s="5" t="s">
        <v>786</v>
      </c>
      <c r="E188" s="1"/>
    </row>
    <row r="189" spans="1:5" x14ac:dyDescent="0.3">
      <c r="A189" s="4" t="s">
        <v>677</v>
      </c>
      <c r="B189" s="5" t="s">
        <v>736</v>
      </c>
      <c r="E189" s="1"/>
    </row>
    <row r="190" spans="1:5" x14ac:dyDescent="0.3">
      <c r="A190" s="4" t="s">
        <v>73</v>
      </c>
      <c r="B190" s="5" t="s">
        <v>711</v>
      </c>
      <c r="E190" s="1"/>
    </row>
    <row r="191" spans="1:5" x14ac:dyDescent="0.3">
      <c r="A191" s="4" t="s">
        <v>74</v>
      </c>
      <c r="B191" s="5" t="s">
        <v>712</v>
      </c>
      <c r="E191" s="1"/>
    </row>
    <row r="192" spans="1:5" x14ac:dyDescent="0.3">
      <c r="A192" s="4" t="s">
        <v>75</v>
      </c>
      <c r="B192" s="5" t="s">
        <v>11</v>
      </c>
      <c r="E192" s="1"/>
    </row>
    <row r="193" spans="1:5" x14ac:dyDescent="0.3">
      <c r="A193" s="4" t="s">
        <v>76</v>
      </c>
      <c r="B193" s="5" t="s">
        <v>733</v>
      </c>
      <c r="E193" s="1"/>
    </row>
    <row r="194" spans="1:5" x14ac:dyDescent="0.3">
      <c r="A194" s="4"/>
      <c r="B194" s="5"/>
      <c r="E194" s="1"/>
    </row>
    <row r="195" spans="1:5" ht="17.45" customHeight="1" x14ac:dyDescent="0.3">
      <c r="A195" s="6" t="s">
        <v>813</v>
      </c>
      <c r="E195" s="1"/>
    </row>
    <row r="196" spans="1:5" x14ac:dyDescent="0.3">
      <c r="A196" s="9" t="s">
        <v>817</v>
      </c>
      <c r="E196" s="1"/>
    </row>
    <row r="197" spans="1:5" x14ac:dyDescent="0.3">
      <c r="A197" s="3" t="s">
        <v>700</v>
      </c>
      <c r="B197" s="7" t="s">
        <v>701</v>
      </c>
    </row>
    <row r="198" spans="1:5" x14ac:dyDescent="0.3">
      <c r="A198" s="4" t="s">
        <v>13</v>
      </c>
      <c r="B198" s="5" t="s">
        <v>818</v>
      </c>
    </row>
    <row r="199" spans="1:5" x14ac:dyDescent="0.3">
      <c r="A199" s="4" t="s">
        <v>14</v>
      </c>
      <c r="B199" s="5" t="s">
        <v>703</v>
      </c>
    </row>
    <row r="200" spans="1:5" x14ac:dyDescent="0.3">
      <c r="A200" s="4" t="s">
        <v>15</v>
      </c>
      <c r="B200" s="5" t="s">
        <v>819</v>
      </c>
    </row>
    <row r="201" spans="1:5" x14ac:dyDescent="0.3">
      <c r="A201" s="4" t="s">
        <v>820</v>
      </c>
      <c r="B201" s="5" t="s">
        <v>821</v>
      </c>
    </row>
    <row r="202" spans="1:5" x14ac:dyDescent="0.3">
      <c r="A202" s="4" t="s">
        <v>822</v>
      </c>
      <c r="B202" s="5" t="s">
        <v>823</v>
      </c>
    </row>
    <row r="203" spans="1:5" x14ac:dyDescent="0.3">
      <c r="A203" s="4" t="s">
        <v>824</v>
      </c>
      <c r="B203" s="5" t="s">
        <v>825</v>
      </c>
    </row>
    <row r="204" spans="1:5" x14ac:dyDescent="0.3">
      <c r="A204" s="4" t="s">
        <v>826</v>
      </c>
      <c r="B204" s="5" t="s">
        <v>827</v>
      </c>
    </row>
    <row r="206" spans="1:5" ht="17.45" customHeight="1" x14ac:dyDescent="0.3">
      <c r="A206" s="6" t="s">
        <v>828</v>
      </c>
    </row>
    <row r="207" spans="1:5" x14ac:dyDescent="0.3">
      <c r="A207" s="9" t="s">
        <v>829</v>
      </c>
    </row>
    <row r="208" spans="1:5" x14ac:dyDescent="0.3">
      <c r="A208" s="3" t="s">
        <v>700</v>
      </c>
      <c r="B208" s="7" t="s">
        <v>701</v>
      </c>
    </row>
    <row r="209" spans="1:2" x14ac:dyDescent="0.3">
      <c r="A209" s="1" t="s">
        <v>13</v>
      </c>
      <c r="B209" s="5" t="s">
        <v>818</v>
      </c>
    </row>
    <row r="210" spans="1:2" x14ac:dyDescent="0.3">
      <c r="A210" s="1" t="s">
        <v>15</v>
      </c>
      <c r="B210" s="5" t="s">
        <v>704</v>
      </c>
    </row>
    <row r="211" spans="1:2" x14ac:dyDescent="0.3">
      <c r="A211" s="1" t="s">
        <v>14</v>
      </c>
      <c r="B211" s="5" t="s">
        <v>703</v>
      </c>
    </row>
    <row r="212" spans="1:2" x14ac:dyDescent="0.3">
      <c r="A212" s="1" t="s">
        <v>694</v>
      </c>
      <c r="B212" s="5" t="s">
        <v>692</v>
      </c>
    </row>
    <row r="213" spans="1:2" x14ac:dyDescent="0.3">
      <c r="A213" s="1" t="s">
        <v>830</v>
      </c>
      <c r="B213" s="5" t="s">
        <v>832</v>
      </c>
    </row>
    <row r="214" spans="1:2" x14ac:dyDescent="0.3">
      <c r="A214" s="1" t="s">
        <v>135</v>
      </c>
      <c r="B214" s="5" t="s">
        <v>831</v>
      </c>
    </row>
    <row r="215" spans="1:2" x14ac:dyDescent="0.3">
      <c r="A215" s="4"/>
      <c r="B215" s="5"/>
    </row>
    <row r="216" spans="1:2" x14ac:dyDescent="0.3">
      <c r="A216" s="4"/>
      <c r="B216" s="5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nexus_theme_level</vt:lpstr>
      <vt:lpstr>nexus_hall_level</vt:lpstr>
      <vt:lpstr>nexus_node_category</vt:lpstr>
      <vt:lpstr>nexus_node</vt:lpstr>
      <vt:lpstr>nexus_dic_story</vt:lpstr>
      <vt:lpstr>nexus_dic_event</vt:lpstr>
      <vt:lpstr>nexus_dic_relic</vt:lpstr>
      <vt:lpstr>nexus_dic_monster</vt:lpstr>
      <vt:lpstr>nexus_dic_reward</vt:lpstr>
      <vt:lpstr>nexus_normal_mission</vt:lpstr>
      <vt:lpstr>nexus_special_mission</vt:lpstr>
      <vt:lpstr>nexus_investment</vt:lpstr>
      <vt:lpstr>레퍼런스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최수린</cp:lastModifiedBy>
  <dcterms:created xsi:type="dcterms:W3CDTF">2026-07-22T09:44:52Z</dcterms:created>
  <dcterms:modified xsi:type="dcterms:W3CDTF">2026-07-31T08:21:32Z</dcterms:modified>
</cp:coreProperties>
</file>